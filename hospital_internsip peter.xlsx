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A8F9ECEC-0070-4CC0-85E9-5A7DB10E2E7E}" xr6:coauthVersionLast="47" xr6:coauthVersionMax="47" xr10:uidLastSave="{00000000-0000-0000-0000-000000000000}"/>
  <bookViews>
    <workbookView xWindow="-110" yWindow="-110" windowWidth="19420" windowHeight="10300" firstSheet="8" activeTab="10" xr2:uid="{D942D98D-DBD7-4B3E-859C-973453C4EC34}"/>
  </bookViews>
  <sheets>
    <sheet name="Sheet2" sheetId="6" r:id="rId1"/>
    <sheet name="Sheet3" sheetId="7" r:id="rId2"/>
    <sheet name="Sheet4" sheetId="8" r:id="rId3"/>
    <sheet name="Sheet5" sheetId="9" r:id="rId4"/>
    <sheet name="Sheet6" sheetId="10" r:id="rId5"/>
    <sheet name="Sheet7" sheetId="11" r:id="rId6"/>
    <sheet name="Sheet8" sheetId="12" r:id="rId7"/>
    <sheet name="Sheet9" sheetId="13" r:id="rId8"/>
    <sheet name="Sheet10" sheetId="14" r:id="rId9"/>
    <sheet name="Sheet11" sheetId="15" r:id="rId10"/>
    <sheet name="clean_patient_hospital_data (2)" sheetId="5" r:id="rId11"/>
    <sheet name="dirty_patient_hospital_dataset_" sheetId="2" r:id="rId12"/>
    <sheet name="Sheet1" sheetId="1" r:id="rId13"/>
  </sheets>
  <definedNames>
    <definedName name="ExternalData_1" localSheetId="11" hidden="1">dirty_patient_hospital_dataset_!$A$1:$W$1001</definedName>
    <definedName name="ExternalData_4" localSheetId="10" hidden="1">'clean_patient_hospital_data (2)'!$A$1:$Z$818</definedName>
  </definedNames>
  <calcPr calcId="191029"/>
  <pivotCaches>
    <pivotCache cacheId="2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4" i="5" l="1"/>
  <c r="AS5" i="5"/>
  <c r="AS6" i="5"/>
  <c r="AS7" i="5"/>
  <c r="AS8" i="5"/>
  <c r="AS9" i="5"/>
  <c r="AS10" i="5"/>
  <c r="AS11" i="5"/>
  <c r="AS12" i="5"/>
  <c r="AS3" i="5"/>
  <c r="AR2" i="5" a="1"/>
  <c r="AR2" i="5" s="1"/>
  <c r="AP12" i="5"/>
  <c r="AP11" i="5"/>
  <c r="AP10" i="5"/>
  <c r="AP9" i="5"/>
  <c r="AP8" i="5"/>
  <c r="AP7" i="5"/>
  <c r="AP6" i="5"/>
  <c r="AP5" i="5"/>
  <c r="AP4" i="5"/>
  <c r="AP3" i="5"/>
  <c r="AO2" i="5" a="1"/>
  <c r="AO2" i="5" s="1"/>
  <c r="AM11" i="5"/>
  <c r="AM10" i="5"/>
  <c r="AM9" i="5"/>
  <c r="AM8" i="5"/>
  <c r="AM7" i="5"/>
  <c r="AM6" i="5"/>
  <c r="AM5" i="5"/>
  <c r="AM4" i="5"/>
  <c r="AM3" i="5"/>
  <c r="AL2" i="5" a="1"/>
  <c r="AL2" i="5" s="1"/>
  <c r="AI6" i="5"/>
  <c r="AI7" i="5" s="1"/>
  <c r="AI3" i="5"/>
  <c r="AF3" i="5"/>
  <c r="AF6" i="5"/>
  <c r="AF9" i="5"/>
  <c r="AF25" i="5"/>
  <c r="AF24" i="5"/>
  <c r="AF23" i="5"/>
  <c r="AF22" i="5"/>
  <c r="AF21" i="5"/>
  <c r="AF20" i="5"/>
  <c r="AF19" i="5"/>
  <c r="AF18" i="5"/>
  <c r="AF17" i="5"/>
  <c r="AF16" i="5"/>
  <c r="AO15" i="5" a="1"/>
  <c r="AO15" i="5" s="1"/>
  <c r="AJ24" i="5"/>
  <c r="AJ23" i="5"/>
  <c r="AJ22" i="5"/>
  <c r="AJ21" i="5"/>
  <c r="AJ20" i="5"/>
  <c r="AJ19" i="5"/>
  <c r="AJ18" i="5"/>
  <c r="AJ17" i="5"/>
  <c r="AJ16" i="5"/>
  <c r="AI15" i="5" a="1"/>
  <c r="AI15" i="5" s="1"/>
  <c r="AI27" i="5" a="1"/>
  <c r="AI27" i="5" s="1"/>
  <c r="AE29" i="5"/>
  <c r="AT3" i="5" l="1" a="1"/>
  <c r="AT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7A38BB-3E34-4312-B4FB-8F87AF910BB7}" keepAlive="1" name="Query - dirty_patient_hospital_dataset_1000_rows" description="Connection to the 'dirty_patient_hospital_dataset_1000_rows' query in the workbook." type="5" refreshedVersion="8" background="1" saveData="1">
    <dbPr connection="Provider=Microsoft.Mashup.OleDb.1;Data Source=$Workbook$;Location=dirty_patient_hospital_dataset_1000_rows;Extended Properties=&quot;&quot;" command="SELECT * FROM [dirty_patient_hospital_dataset_1000_rows]"/>
  </connection>
  <connection id="2" xr16:uid="{EAA776D0-261E-433A-81D6-5FCCE1ACE5B0}" keepAlive="1" name="Query - dirty_patient_hospital_dataset_1000_rows (2)" description="Connection to the 'dirty_patient_hospital_dataset_1000_rows (2)' query in the workbook." type="5" refreshedVersion="0" background="1">
    <dbPr connection="Provider=Microsoft.Mashup.OleDb.1;Data Source=$Workbook$;Location=&quot;dirty_patient_hospital_dataset_1000_rows (2)&quot;;Extended Properties=&quot;&quot;" command="SELECT * FROM [dirty_patient_hospital_dataset_1000_rows (2)]"/>
  </connection>
  <connection id="3" xr16:uid="{54C0D98C-DB75-4C1D-AA7A-5DB75C24D350}" keepAlive="1" name="Query - dirty_patient_hospital_dataset_1000_rows__2" description="Connection to the 'dirty_patient_hospital_dataset_1000_rows__2' query in the workbook." type="5" refreshedVersion="0" background="1">
    <dbPr connection="Provider=Microsoft.Mashup.OleDb.1;Data Source=$Workbook$;Location=dirty_patient_hospital_dataset_1000_rows__2;Extended Properties=&quot;&quot;" command="SELECT * FROM [dirty_patient_hospital_dataset_1000_rows__2]"/>
  </connection>
  <connection id="4" xr16:uid="{AA9C3A0B-4158-40C6-9C34-4B05FCFDF377}" keepAlive="1" name="Query - dirty_patient_hospital_dataset_1000_rows__2_1" description="Connection to the 'dirty_patient_hospital_dataset_1000_rows__2_1' query in the workbook." type="5" refreshedVersion="8" background="1" saveData="1">
    <dbPr connection="Provider=Microsoft.Mashup.OleDb.1;Data Source=$Workbook$;Location=dirty_patient_hospital_dataset_1000_rows__2_1;Extended Properties=&quot;&quot;" command="SELECT * FROM [dirty_patient_hospital_dataset_1000_rows__2_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<sst xmlns="http://schemas.openxmlformats.org/spreadsheetml/2006/main" count="28251" uniqueCount="2129">
  <si>
    <t>Patient_ID</t>
  </si>
  <si>
    <t>Patient_Name</t>
  </si>
  <si>
    <t>Age</t>
  </si>
  <si>
    <t>Gender</t>
  </si>
  <si>
    <t>State</t>
  </si>
  <si>
    <t>Department</t>
  </si>
  <si>
    <t>Admission_Date</t>
  </si>
  <si>
    <t>Discharge_Date</t>
  </si>
  <si>
    <t>Diagnosis</t>
  </si>
  <si>
    <t>Treatment</t>
  </si>
  <si>
    <t>Doctor</t>
  </si>
  <si>
    <t>Admission_Type</t>
  </si>
  <si>
    <t>Insurance</t>
  </si>
  <si>
    <t>Billing_Amount</t>
  </si>
  <si>
    <t>Medication_Cost</t>
  </si>
  <si>
    <t>Lab_Cost</t>
  </si>
  <si>
    <t>Length_of_Stay</t>
  </si>
  <si>
    <t>Waiting_Time</t>
  </si>
  <si>
    <t>Patient_Rating</t>
  </si>
  <si>
    <t>Readmission</t>
  </si>
  <si>
    <t>Outcome</t>
  </si>
  <si>
    <t>Payment_Status</t>
  </si>
  <si>
    <t>Payment_Method</t>
  </si>
  <si>
    <t>P00001</t>
  </si>
  <si>
    <t>Aditya Kumar</t>
  </si>
  <si>
    <t>Female</t>
  </si>
  <si>
    <t>Lagos</t>
  </si>
  <si>
    <t>General medicine</t>
  </si>
  <si>
    <t>2025-10-16</t>
  </si>
  <si>
    <t>Gastritis</t>
  </si>
  <si>
    <t>Observation</t>
  </si>
  <si>
    <t>Dr. Ibrahim</t>
  </si>
  <si>
    <t>Urgent</t>
  </si>
  <si>
    <t/>
  </si>
  <si>
    <t>Yes</t>
  </si>
  <si>
    <t>Improved</t>
  </si>
  <si>
    <t>Cash</t>
  </si>
  <si>
    <t>P00002</t>
  </si>
  <si>
    <t>Ishaan Malhotra</t>
  </si>
  <si>
    <t>Other</t>
  </si>
  <si>
    <t>Delta</t>
  </si>
  <si>
    <t>Dermatology</t>
  </si>
  <si>
    <t>2025-12-19</t>
  </si>
  <si>
    <t>IV therapy</t>
  </si>
  <si>
    <t>Emergency</t>
  </si>
  <si>
    <t>Hygeia HMO</t>
  </si>
  <si>
    <t>No</t>
  </si>
  <si>
    <t xml:space="preserve">Partial </t>
  </si>
  <si>
    <t>P00003</t>
  </si>
  <si>
    <t>Aditya Sharma</t>
  </si>
  <si>
    <t>M</t>
  </si>
  <si>
    <t>Kano</t>
  </si>
  <si>
    <t>2025-09-10</t>
  </si>
  <si>
    <t>Pneumonia</t>
  </si>
  <si>
    <t>Chemotherapy</t>
  </si>
  <si>
    <t>Dr. Adeyemi</t>
  </si>
  <si>
    <t>emergency</t>
  </si>
  <si>
    <t>Leadway Health</t>
  </si>
  <si>
    <t>recovered</t>
  </si>
  <si>
    <t>Mobile Money</t>
  </si>
  <si>
    <t>P00004</t>
  </si>
  <si>
    <t>Aditya Nair</t>
  </si>
  <si>
    <t xml:space="preserve"> Lagos</t>
  </si>
  <si>
    <t>Pediatrics</t>
  </si>
  <si>
    <t>2026-06-06</t>
  </si>
  <si>
    <t>medication</t>
  </si>
  <si>
    <t>Elective</t>
  </si>
  <si>
    <t xml:space="preserve">Improved </t>
  </si>
  <si>
    <t>paid</t>
  </si>
  <si>
    <t>P00005</t>
  </si>
  <si>
    <t>Aisha Kumar</t>
  </si>
  <si>
    <t>FEMALE</t>
  </si>
  <si>
    <t>Abuja (FCT)</t>
  </si>
  <si>
    <t>2024-10-03</t>
  </si>
  <si>
    <t>NHIA</t>
  </si>
  <si>
    <t>Pending</t>
  </si>
  <si>
    <t>P00006</t>
  </si>
  <si>
    <t>Kavya Patel</t>
  </si>
  <si>
    <t>male</t>
  </si>
  <si>
    <t>2024-09-28</t>
  </si>
  <si>
    <t xml:space="preserve">Surgery </t>
  </si>
  <si>
    <t>Dr. Musa</t>
  </si>
  <si>
    <t>Self pay</t>
  </si>
  <si>
    <t>Bank Transfer</t>
  </si>
  <si>
    <t>P00007</t>
  </si>
  <si>
    <t>Aisha Patel</t>
  </si>
  <si>
    <t>Rivers</t>
  </si>
  <si>
    <t>Surgery</t>
  </si>
  <si>
    <t>2025-11-27</t>
  </si>
  <si>
    <t xml:space="preserve">Hypertension </t>
  </si>
  <si>
    <t>Wound Care</t>
  </si>
  <si>
    <t>Dr. Chukwu</t>
  </si>
  <si>
    <t>URGENT</t>
  </si>
  <si>
    <t>Avon HMO</t>
  </si>
  <si>
    <t>yes</t>
  </si>
  <si>
    <t>Recovered</t>
  </si>
  <si>
    <t>P00008</t>
  </si>
  <si>
    <t>Riya Malhotra</t>
  </si>
  <si>
    <t xml:space="preserve">Cardiology </t>
  </si>
  <si>
    <t>2026-01-06</t>
  </si>
  <si>
    <t>Appendicitis</t>
  </si>
  <si>
    <t>Deceased</t>
  </si>
  <si>
    <t>Partial</t>
  </si>
  <si>
    <t>bank transfer</t>
  </si>
  <si>
    <t>P00009</t>
  </si>
  <si>
    <t>Rohan Joshi</t>
  </si>
  <si>
    <t>F</t>
  </si>
  <si>
    <t>Kwara</t>
  </si>
  <si>
    <t>Orthopedics</t>
  </si>
  <si>
    <t>2024-04-24</t>
  </si>
  <si>
    <t>P00010</t>
  </si>
  <si>
    <t>Aditya Mehta</t>
  </si>
  <si>
    <t>Anambra</t>
  </si>
  <si>
    <t>09/03/2025</t>
  </si>
  <si>
    <t>Heart Disease</t>
  </si>
  <si>
    <t>Counseling</t>
  </si>
  <si>
    <t xml:space="preserve">Dr. Okafor </t>
  </si>
  <si>
    <t>P00011</t>
  </si>
  <si>
    <t>Rohan Kapoor</t>
  </si>
  <si>
    <t>Male</t>
  </si>
  <si>
    <t>Cardiology</t>
  </si>
  <si>
    <t>2025-12-25</t>
  </si>
  <si>
    <t>Dr. Yusuf</t>
  </si>
  <si>
    <t>AXA MANSARD</t>
  </si>
  <si>
    <t>P00012</t>
  </si>
  <si>
    <t>Meera Kapoor</t>
  </si>
  <si>
    <t>2026-04-06</t>
  </si>
  <si>
    <t>Fracture</t>
  </si>
  <si>
    <t>Dr. Balogun</t>
  </si>
  <si>
    <t>Self-Pay</t>
  </si>
  <si>
    <t>Paid</t>
  </si>
  <si>
    <t>Card</t>
  </si>
  <si>
    <t>P00013</t>
  </si>
  <si>
    <t>Aditya Rao</t>
  </si>
  <si>
    <t>lagos</t>
  </si>
  <si>
    <t>Neurology</t>
  </si>
  <si>
    <t>2025-04-04</t>
  </si>
  <si>
    <t>Dialysis</t>
  </si>
  <si>
    <t>P00014</t>
  </si>
  <si>
    <t>Diya Kumar</t>
  </si>
  <si>
    <t>2026-06-04</t>
  </si>
  <si>
    <t>Medication</t>
  </si>
  <si>
    <t>MediPlus</t>
  </si>
  <si>
    <t>P00015</t>
  </si>
  <si>
    <t>Rahul Shah</t>
  </si>
  <si>
    <t>Oncology</t>
  </si>
  <si>
    <t>2024-02-28</t>
  </si>
  <si>
    <t>Physiotherapy</t>
  </si>
  <si>
    <t>Dr. Okafor</t>
  </si>
  <si>
    <t>Referred</t>
  </si>
  <si>
    <t>P00016</t>
  </si>
  <si>
    <t>2025-09-26</t>
  </si>
  <si>
    <t>Antibiotics</t>
  </si>
  <si>
    <t>Dr. Eze</t>
  </si>
  <si>
    <t>NO</t>
  </si>
  <si>
    <t>P00017</t>
  </si>
  <si>
    <t>Neha Das</t>
  </si>
  <si>
    <t>Oyo</t>
  </si>
  <si>
    <t>2024-01-10</t>
  </si>
  <si>
    <t>Asthma</t>
  </si>
  <si>
    <t>P00018</t>
  </si>
  <si>
    <t>Ishaan Kapoor</t>
  </si>
  <si>
    <t>2025-06-25</t>
  </si>
  <si>
    <t>Dr. Bello</t>
  </si>
  <si>
    <t>PENDING</t>
  </si>
  <si>
    <t>P00019</t>
  </si>
  <si>
    <t>Neha Reddy</t>
  </si>
  <si>
    <t>2024-09-14</t>
  </si>
  <si>
    <t>hypertenson</t>
  </si>
  <si>
    <t>AXA Mansard</t>
  </si>
  <si>
    <t>P00020</t>
  </si>
  <si>
    <t>Priya Kumar</t>
  </si>
  <si>
    <t>2025-12-08</t>
  </si>
  <si>
    <t>Anemia</t>
  </si>
  <si>
    <t>Dr. Adebayo</t>
  </si>
  <si>
    <t>P00021</t>
  </si>
  <si>
    <t>Rahul Gupta</t>
  </si>
  <si>
    <t>Kaduna</t>
  </si>
  <si>
    <t>2026-06-14</t>
  </si>
  <si>
    <t>CARD</t>
  </si>
  <si>
    <t>P00022</t>
  </si>
  <si>
    <t>Ananya Das</t>
  </si>
  <si>
    <t>2025-04-26</t>
  </si>
  <si>
    <t>Reliance HMO</t>
  </si>
  <si>
    <t>P00023</t>
  </si>
  <si>
    <t>Zara Reddy</t>
  </si>
  <si>
    <t>2025-11-26</t>
  </si>
  <si>
    <t>P00024</t>
  </si>
  <si>
    <t>Diya Joshi</t>
  </si>
  <si>
    <t>2025-03-22</t>
  </si>
  <si>
    <t>P00025</t>
  </si>
  <si>
    <t>Zara Joshi</t>
  </si>
  <si>
    <t>Enugu</t>
  </si>
  <si>
    <t>Maternity</t>
  </si>
  <si>
    <t>2025-03-06</t>
  </si>
  <si>
    <t>P00026</t>
  </si>
  <si>
    <t>Rohan Sharma</t>
  </si>
  <si>
    <t>2026-03-23</t>
  </si>
  <si>
    <t>P00027</t>
  </si>
  <si>
    <t>Kabir Malhotra</t>
  </si>
  <si>
    <t>2025-04-11</t>
  </si>
  <si>
    <t>P00028</t>
  </si>
  <si>
    <t>Kabir Kapoor</t>
  </si>
  <si>
    <t xml:space="preserve">Rivers </t>
  </si>
  <si>
    <t>2026-05-18</t>
  </si>
  <si>
    <t>P00029</t>
  </si>
  <si>
    <t>Rohan Singh</t>
  </si>
  <si>
    <t>2024-10-10</t>
  </si>
  <si>
    <t>dr. Adeyemi</t>
  </si>
  <si>
    <t>P00030</t>
  </si>
  <si>
    <t>Priya Gupta</t>
  </si>
  <si>
    <t>2025-02-21</t>
  </si>
  <si>
    <t>P00031</t>
  </si>
  <si>
    <t>04/02/2026</t>
  </si>
  <si>
    <t>P00032</t>
  </si>
  <si>
    <t>Meera Gupta</t>
  </si>
  <si>
    <t>2025-10-20</t>
  </si>
  <si>
    <t>P00033</t>
  </si>
  <si>
    <t>Rohan Verma</t>
  </si>
  <si>
    <t>Edo</t>
  </si>
  <si>
    <t>2024-01-20</t>
  </si>
  <si>
    <t>Diabetes</t>
  </si>
  <si>
    <t>P00034</t>
  </si>
  <si>
    <t>Ishaan Patel</t>
  </si>
  <si>
    <t>2026-02-24</t>
  </si>
  <si>
    <t>P00035</t>
  </si>
  <si>
    <t>Arjun Shah</t>
  </si>
  <si>
    <t>General Medicine</t>
  </si>
  <si>
    <t>2024-11-04</t>
  </si>
  <si>
    <t>P00036</t>
  </si>
  <si>
    <t>Aditya Gupta</t>
  </si>
  <si>
    <t>2025-03-21</t>
  </si>
  <si>
    <t>P00037</t>
  </si>
  <si>
    <t>Ananya Reddy</t>
  </si>
  <si>
    <t>23/01/2025</t>
  </si>
  <si>
    <t>Kidney Infection</t>
  </si>
  <si>
    <t>P00038</t>
  </si>
  <si>
    <t>Maya Mehta</t>
  </si>
  <si>
    <t>2025-05-15</t>
  </si>
  <si>
    <t>P00039</t>
  </si>
  <si>
    <t>Kabir Kumar</t>
  </si>
  <si>
    <t>2024-12-04</t>
  </si>
  <si>
    <t>IV Therapy</t>
  </si>
  <si>
    <t>P00040</t>
  </si>
  <si>
    <t>Vivaan Reddy</t>
  </si>
  <si>
    <t>2025-06-21</t>
  </si>
  <si>
    <t>P00041</t>
  </si>
  <si>
    <t>2024-04-15</t>
  </si>
  <si>
    <t>P00042</t>
  </si>
  <si>
    <t>Diya Das</t>
  </si>
  <si>
    <t>2026-08-29</t>
  </si>
  <si>
    <t>P00043</t>
  </si>
  <si>
    <t>Isha Verma</t>
  </si>
  <si>
    <t>2026-01-27</t>
  </si>
  <si>
    <t>P00044</t>
  </si>
  <si>
    <t>Rahul Joshi</t>
  </si>
  <si>
    <t>2024-10-16</t>
  </si>
  <si>
    <t>Malaria</t>
  </si>
  <si>
    <t>P00045</t>
  </si>
  <si>
    <t>Zara Sharma</t>
  </si>
  <si>
    <t>2026-03-22</t>
  </si>
  <si>
    <t>P00046</t>
  </si>
  <si>
    <t>Isha Joshi</t>
  </si>
  <si>
    <t>Ogun</t>
  </si>
  <si>
    <t>2024-08-22</t>
  </si>
  <si>
    <t>P00047</t>
  </si>
  <si>
    <t>Ananya Mehta</t>
  </si>
  <si>
    <t>2024-11-24</t>
  </si>
  <si>
    <t>P00048</t>
  </si>
  <si>
    <t>Riya Singh</t>
  </si>
  <si>
    <t>2024-01-02</t>
  </si>
  <si>
    <t>P00049</t>
  </si>
  <si>
    <t>2025-10-07</t>
  </si>
  <si>
    <t>Hypertension</t>
  </si>
  <si>
    <t>P00050</t>
  </si>
  <si>
    <t>Aisha Rao</t>
  </si>
  <si>
    <t>2025-05-09</t>
  </si>
  <si>
    <t>Migraine</t>
  </si>
  <si>
    <t>P00051</t>
  </si>
  <si>
    <t>Rahul Nair</t>
  </si>
  <si>
    <t>2026-05-07</t>
  </si>
  <si>
    <t>P00052</t>
  </si>
  <si>
    <t>Sneha Rao</t>
  </si>
  <si>
    <t>2025-04-29</t>
  </si>
  <si>
    <t>P00053</t>
  </si>
  <si>
    <t>Aisha Joshi</t>
  </si>
  <si>
    <t>2024-06-07</t>
  </si>
  <si>
    <t>P00054</t>
  </si>
  <si>
    <t>Diya Rao</t>
  </si>
  <si>
    <t>11/03/2024</t>
  </si>
  <si>
    <t>P00055</t>
  </si>
  <si>
    <t>Rahul Verma</t>
  </si>
  <si>
    <t>2025-03-17</t>
  </si>
  <si>
    <t>P00056</t>
  </si>
  <si>
    <t>Ishaan Shah</t>
  </si>
  <si>
    <t>2024-09-18</t>
  </si>
  <si>
    <t>P00057</t>
  </si>
  <si>
    <t>Zara Malhotra</t>
  </si>
  <si>
    <t>2024-10-29</t>
  </si>
  <si>
    <t>P00058</t>
  </si>
  <si>
    <t>Aisha Kapoor</t>
  </si>
  <si>
    <t>2026-01-08</t>
  </si>
  <si>
    <t>P00059</t>
  </si>
  <si>
    <t>Rahul Das</t>
  </si>
  <si>
    <t>2025-01-09</t>
  </si>
  <si>
    <t>P00060</t>
  </si>
  <si>
    <t>Priya Patel</t>
  </si>
  <si>
    <t>2025-07-24</t>
  </si>
  <si>
    <t>P00061</t>
  </si>
  <si>
    <t>Diya Verma</t>
  </si>
  <si>
    <t>2024-12-01</t>
  </si>
  <si>
    <t>P00062</t>
  </si>
  <si>
    <t>Neha Kumar</t>
  </si>
  <si>
    <t>2025-01-14</t>
  </si>
  <si>
    <t>P00063</t>
  </si>
  <si>
    <t>Rahul Singh</t>
  </si>
  <si>
    <t>2025-10-22</t>
  </si>
  <si>
    <t>P00064</t>
  </si>
  <si>
    <t>Kabir Patel</t>
  </si>
  <si>
    <t>2025-08-23</t>
  </si>
  <si>
    <t>P00065</t>
  </si>
  <si>
    <t>Priya Reddy</t>
  </si>
  <si>
    <t>2024-08-31</t>
  </si>
  <si>
    <t>P00066</t>
  </si>
  <si>
    <t>2026-01-14</t>
  </si>
  <si>
    <t>P00067</t>
  </si>
  <si>
    <t>2025-07-15</t>
  </si>
  <si>
    <t>P00068</t>
  </si>
  <si>
    <t>Aditya Shah</t>
  </si>
  <si>
    <t>2025-03-01</t>
  </si>
  <si>
    <t>P00069</t>
  </si>
  <si>
    <t>Arjun Nair</t>
  </si>
  <si>
    <t>P00070</t>
  </si>
  <si>
    <t>Ananya Kapoor</t>
  </si>
  <si>
    <t>2024-12-24</t>
  </si>
  <si>
    <t>P00071</t>
  </si>
  <si>
    <t>2024-05-26</t>
  </si>
  <si>
    <t>P00072</t>
  </si>
  <si>
    <t>Ananya Kumar</t>
  </si>
  <si>
    <t>2024-02-23</t>
  </si>
  <si>
    <t>P00073</t>
  </si>
  <si>
    <t>Rohan Malhotra</t>
  </si>
  <si>
    <t>2025-11-25</t>
  </si>
  <si>
    <t>P00074</t>
  </si>
  <si>
    <t>Vivaan Shah</t>
  </si>
  <si>
    <t>28/06/2024</t>
  </si>
  <si>
    <t>P00075</t>
  </si>
  <si>
    <t>Arjun Kumar</t>
  </si>
  <si>
    <t>2025-08-10</t>
  </si>
  <si>
    <t>P00076</t>
  </si>
  <si>
    <t>Rohan Kumar</t>
  </si>
  <si>
    <t>2026-02-02</t>
  </si>
  <si>
    <t>P00077</t>
  </si>
  <si>
    <t>Aditya Verma</t>
  </si>
  <si>
    <t>2026-02-16</t>
  </si>
  <si>
    <t>P00078</t>
  </si>
  <si>
    <t>2025-06-03</t>
  </si>
  <si>
    <t>P00079</t>
  </si>
  <si>
    <t>Neha Verma</t>
  </si>
  <si>
    <t>2024-07-11</t>
  </si>
  <si>
    <t>P00080</t>
  </si>
  <si>
    <t>2025-01-31</t>
  </si>
  <si>
    <t>P00081</t>
  </si>
  <si>
    <t>Riya Shah</t>
  </si>
  <si>
    <t>2024-06-02</t>
  </si>
  <si>
    <t>P00082</t>
  </si>
  <si>
    <t>2026-08-27</t>
  </si>
  <si>
    <t>P00083</t>
  </si>
  <si>
    <t>Priya Joshi</t>
  </si>
  <si>
    <t>2026-05-05</t>
  </si>
  <si>
    <t>P00084</t>
  </si>
  <si>
    <t>Diya Malhotra</t>
  </si>
  <si>
    <t>2026-03-13</t>
  </si>
  <si>
    <t>P00085</t>
  </si>
  <si>
    <t>Ananya Verma</t>
  </si>
  <si>
    <t>2026-03-31</t>
  </si>
  <si>
    <t>P00086</t>
  </si>
  <si>
    <t>Aarav Mehta</t>
  </si>
  <si>
    <t>2024-08-15</t>
  </si>
  <si>
    <t>P00087</t>
  </si>
  <si>
    <t>2024-05-20</t>
  </si>
  <si>
    <t>P00088</t>
  </si>
  <si>
    <t>23/04/2024</t>
  </si>
  <si>
    <t>P00089</t>
  </si>
  <si>
    <t>Sneha Malhotra</t>
  </si>
  <si>
    <t>2025-03-15</t>
  </si>
  <si>
    <t>P00090</t>
  </si>
  <si>
    <t>2025-10-12</t>
  </si>
  <si>
    <t>P00091</t>
  </si>
  <si>
    <t>Vivaan Mehta</t>
  </si>
  <si>
    <t>2025-12-13</t>
  </si>
  <si>
    <t>P00092</t>
  </si>
  <si>
    <t>2024-09-16</t>
  </si>
  <si>
    <t>P00093</t>
  </si>
  <si>
    <t>Diya Mehta</t>
  </si>
  <si>
    <t>2025-12-09</t>
  </si>
  <si>
    <t>P00094</t>
  </si>
  <si>
    <t>Vivaan Patel</t>
  </si>
  <si>
    <t>2026-01-04</t>
  </si>
  <si>
    <t>P00095</t>
  </si>
  <si>
    <t>Vivaan Nair</t>
  </si>
  <si>
    <t>2024-06-12</t>
  </si>
  <si>
    <t>P00096</t>
  </si>
  <si>
    <t>Meera Rao</t>
  </si>
  <si>
    <t>2024-03-19</t>
  </si>
  <si>
    <t>P00097</t>
  </si>
  <si>
    <t>Priya Kapoor</t>
  </si>
  <si>
    <t>2025-09-18</t>
  </si>
  <si>
    <t>P00098</t>
  </si>
  <si>
    <t>2025-12-29</t>
  </si>
  <si>
    <t>P00099</t>
  </si>
  <si>
    <t>2024-03-08</t>
  </si>
  <si>
    <t>P00100</t>
  </si>
  <si>
    <t>2025-07-18</t>
  </si>
  <si>
    <t>P00101</t>
  </si>
  <si>
    <t>Zara Kapoor</t>
  </si>
  <si>
    <t>2026-05-16</t>
  </si>
  <si>
    <t>P00102</t>
  </si>
  <si>
    <t>2026-06-03</t>
  </si>
  <si>
    <t>P00103</t>
  </si>
  <si>
    <t>Priya Shah</t>
  </si>
  <si>
    <t>2025-12-06</t>
  </si>
  <si>
    <t>P00104</t>
  </si>
  <si>
    <t>Maya Kapoor</t>
  </si>
  <si>
    <t>2025-04-22</t>
  </si>
  <si>
    <t>P00105</t>
  </si>
  <si>
    <t>Kavya Nair</t>
  </si>
  <si>
    <t>2025-05-25</t>
  </si>
  <si>
    <t>P00106</t>
  </si>
  <si>
    <t>Riya Kumar</t>
  </si>
  <si>
    <t>2026-05-17</t>
  </si>
  <si>
    <t>P00107</t>
  </si>
  <si>
    <t>Sneha Shah</t>
  </si>
  <si>
    <t>2025-07-17</t>
  </si>
  <si>
    <t>P00108</t>
  </si>
  <si>
    <t>Sneha Reddy</t>
  </si>
  <si>
    <t>2025-04-30</t>
  </si>
  <si>
    <t>P00109</t>
  </si>
  <si>
    <t>Maya Nair</t>
  </si>
  <si>
    <t>2024-12-05</t>
  </si>
  <si>
    <t>P00110</t>
  </si>
  <si>
    <t>Rohan Shah</t>
  </si>
  <si>
    <t>P00111</t>
  </si>
  <si>
    <t>Riya Mehta</t>
  </si>
  <si>
    <t>2026-06-12</t>
  </si>
  <si>
    <t>P00112</t>
  </si>
  <si>
    <t>Kavya Mehta</t>
  </si>
  <si>
    <t>2026-04-02</t>
  </si>
  <si>
    <t>P00113</t>
  </si>
  <si>
    <t>P00114</t>
  </si>
  <si>
    <t>P00115</t>
  </si>
  <si>
    <t>Maya Kumar</t>
  </si>
  <si>
    <t>2026-08-09</t>
  </si>
  <si>
    <t>P00116</t>
  </si>
  <si>
    <t>2024-06-28</t>
  </si>
  <si>
    <t>P00117</t>
  </si>
  <si>
    <t>Kabir Sharma</t>
  </si>
  <si>
    <t>2025-07-10</t>
  </si>
  <si>
    <t>P00118</t>
  </si>
  <si>
    <t>Aarav Gupta</t>
  </si>
  <si>
    <t>P00119</t>
  </si>
  <si>
    <t>2025-08-19</t>
  </si>
  <si>
    <t>P00120</t>
  </si>
  <si>
    <t>2026-07-27</t>
  </si>
  <si>
    <t>P00121</t>
  </si>
  <si>
    <t>Kabir Mehta</t>
  </si>
  <si>
    <t>2026-06-13</t>
  </si>
  <si>
    <t>P00122</t>
  </si>
  <si>
    <t>Aarav Shah</t>
  </si>
  <si>
    <t>P00123</t>
  </si>
  <si>
    <t>Isha Mehta</t>
  </si>
  <si>
    <t>2025-03-09</t>
  </si>
  <si>
    <t>P00124</t>
  </si>
  <si>
    <t>2025-01-19</t>
  </si>
  <si>
    <t>P00125</t>
  </si>
  <si>
    <t>Aditya Patel</t>
  </si>
  <si>
    <t>2024-09-10</t>
  </si>
  <si>
    <t>P00126</t>
  </si>
  <si>
    <t>2024-09-07</t>
  </si>
  <si>
    <t>P00127</t>
  </si>
  <si>
    <t>Meera Malhotra</t>
  </si>
  <si>
    <t>2025-11-07</t>
  </si>
  <si>
    <t>P00128</t>
  </si>
  <si>
    <t>Isha Reddy</t>
  </si>
  <si>
    <t>2024-07-07</t>
  </si>
  <si>
    <t>P00129</t>
  </si>
  <si>
    <t>2024-03-21</t>
  </si>
  <si>
    <t>P00130</t>
  </si>
  <si>
    <t>Aisha Malhotra</t>
  </si>
  <si>
    <t>2024-01-16</t>
  </si>
  <si>
    <t>P00131</t>
  </si>
  <si>
    <t>Rahul Kapoor</t>
  </si>
  <si>
    <t>2025-01-03</t>
  </si>
  <si>
    <t>P00132</t>
  </si>
  <si>
    <t>Kavya Verma</t>
  </si>
  <si>
    <t>2025-03-03</t>
  </si>
  <si>
    <t>P00133</t>
  </si>
  <si>
    <t>Rahul Patel</t>
  </si>
  <si>
    <t>P00134</t>
  </si>
  <si>
    <t>Isha Malhotra</t>
  </si>
  <si>
    <t>2025-09-24</t>
  </si>
  <si>
    <t>P00135</t>
  </si>
  <si>
    <t>2024-09-03</t>
  </si>
  <si>
    <t>P00136</t>
  </si>
  <si>
    <t>P00137</t>
  </si>
  <si>
    <t>Ishaan Nair</t>
  </si>
  <si>
    <t>2025-06-24</t>
  </si>
  <si>
    <t>P00138</t>
  </si>
  <si>
    <t>Priya Sharma</t>
  </si>
  <si>
    <t>2024-11-02</t>
  </si>
  <si>
    <t>P00139</t>
  </si>
  <si>
    <t>Maya Joshi</t>
  </si>
  <si>
    <t>2025-09-20</t>
  </si>
  <si>
    <t>P00140</t>
  </si>
  <si>
    <t>2024-03-16</t>
  </si>
  <si>
    <t>P00141</t>
  </si>
  <si>
    <t>Diya Shah</t>
  </si>
  <si>
    <t>2024-03-30</t>
  </si>
  <si>
    <t>P00142</t>
  </si>
  <si>
    <t>Isha Gupta</t>
  </si>
  <si>
    <t>2024-09-05</t>
  </si>
  <si>
    <t>P00143</t>
  </si>
  <si>
    <t>Isha Das</t>
  </si>
  <si>
    <t>2025-10-02</t>
  </si>
  <si>
    <t>P00144</t>
  </si>
  <si>
    <t>2025-09-09</t>
  </si>
  <si>
    <t>P00145</t>
  </si>
  <si>
    <t>2025-07-12</t>
  </si>
  <si>
    <t>P00146</t>
  </si>
  <si>
    <t>P00147</t>
  </si>
  <si>
    <t>Neha Malhotra</t>
  </si>
  <si>
    <t>2024-02-15</t>
  </si>
  <si>
    <t>P00148</t>
  </si>
  <si>
    <t>Sneha Verma</t>
  </si>
  <si>
    <t>P00149</t>
  </si>
  <si>
    <t>2024-03-09</t>
  </si>
  <si>
    <t>P00150</t>
  </si>
  <si>
    <t>Ishaan Kumar</t>
  </si>
  <si>
    <t>2025-10-06</t>
  </si>
  <si>
    <t>P00151</t>
  </si>
  <si>
    <t>Meera Nair</t>
  </si>
  <si>
    <t>2026-03-29</t>
  </si>
  <si>
    <t>P00152</t>
  </si>
  <si>
    <t>Meera Shah</t>
  </si>
  <si>
    <t>2025-11-20</t>
  </si>
  <si>
    <t>P00153</t>
  </si>
  <si>
    <t>2025-07-04</t>
  </si>
  <si>
    <t>P00154</t>
  </si>
  <si>
    <t>Rahul Reddy</t>
  </si>
  <si>
    <t>2025-12-02</t>
  </si>
  <si>
    <t>P00155</t>
  </si>
  <si>
    <t>2025-05-22</t>
  </si>
  <si>
    <t>P00156</t>
  </si>
  <si>
    <t>P00157</t>
  </si>
  <si>
    <t>2024-10-14</t>
  </si>
  <si>
    <t>P00158</t>
  </si>
  <si>
    <t>2024-11-25</t>
  </si>
  <si>
    <t>P00159</t>
  </si>
  <si>
    <t>Meera Kumar</t>
  </si>
  <si>
    <t>2026-08-31</t>
  </si>
  <si>
    <t>P00160</t>
  </si>
  <si>
    <t>Kabir Verma</t>
  </si>
  <si>
    <t>2024-10-17</t>
  </si>
  <si>
    <t>P00161</t>
  </si>
  <si>
    <t>Diya Kapoor</t>
  </si>
  <si>
    <t>2026-07-20</t>
  </si>
  <si>
    <t>P00162</t>
  </si>
  <si>
    <t>Isha Kapoor</t>
  </si>
  <si>
    <t>P00163</t>
  </si>
  <si>
    <t>Aarav Nair</t>
  </si>
  <si>
    <t>2024-04-14</t>
  </si>
  <si>
    <t>P00164</t>
  </si>
  <si>
    <t>2024-06-04</t>
  </si>
  <si>
    <t>P00165</t>
  </si>
  <si>
    <t>Kavya Shah</t>
  </si>
  <si>
    <t>2025-09-14</t>
  </si>
  <si>
    <t>P00166</t>
  </si>
  <si>
    <t>Maya Patel</t>
  </si>
  <si>
    <t>13/01/2024</t>
  </si>
  <si>
    <t>P00167</t>
  </si>
  <si>
    <t>Aditya Reddy</t>
  </si>
  <si>
    <t>2025-02-11</t>
  </si>
  <si>
    <t>P00168</t>
  </si>
  <si>
    <t>Zara Nair</t>
  </si>
  <si>
    <t>P00169</t>
  </si>
  <si>
    <t>2024-01-13</t>
  </si>
  <si>
    <t>P00170</t>
  </si>
  <si>
    <t>Ananya Malhotra</t>
  </si>
  <si>
    <t>2024-10-05</t>
  </si>
  <si>
    <t>P00171</t>
  </si>
  <si>
    <t>Isha Kumar</t>
  </si>
  <si>
    <t>2025-06-05</t>
  </si>
  <si>
    <t>P00172</t>
  </si>
  <si>
    <t>2024-03-20</t>
  </si>
  <si>
    <t>P00173</t>
  </si>
  <si>
    <t>Aarav Kumar</t>
  </si>
  <si>
    <t>2026-03-14</t>
  </si>
  <si>
    <t>P00174</t>
  </si>
  <si>
    <t>Ananya Patel</t>
  </si>
  <si>
    <t>2024-12-09</t>
  </si>
  <si>
    <t>P00175</t>
  </si>
  <si>
    <t>2026-07-06</t>
  </si>
  <si>
    <t>P00176</t>
  </si>
  <si>
    <t>2026-05-01</t>
  </si>
  <si>
    <t>P00177</t>
  </si>
  <si>
    <t>Aditya Kapoor</t>
  </si>
  <si>
    <t>2025-04-07</t>
  </si>
  <si>
    <t>P00178</t>
  </si>
  <si>
    <t>Aarav Sharma</t>
  </si>
  <si>
    <t>2024-09-23</t>
  </si>
  <si>
    <t>P00179</t>
  </si>
  <si>
    <t>Vivaan Verma</t>
  </si>
  <si>
    <t>2025-01-16</t>
  </si>
  <si>
    <t>P00180</t>
  </si>
  <si>
    <t>2025-05-23</t>
  </si>
  <si>
    <t>P00181</t>
  </si>
  <si>
    <t>Priya Verma</t>
  </si>
  <si>
    <t>2025-05-05</t>
  </si>
  <si>
    <t>P00182</t>
  </si>
  <si>
    <t>2025-02-01</t>
  </si>
  <si>
    <t>P00183</t>
  </si>
  <si>
    <t>Maya Singh</t>
  </si>
  <si>
    <t>2024-02-27</t>
  </si>
  <si>
    <t>P00184</t>
  </si>
  <si>
    <t>Zara Kumar</t>
  </si>
  <si>
    <t>2025-05-19</t>
  </si>
  <si>
    <t>P00185</t>
  </si>
  <si>
    <t>2026-06-08</t>
  </si>
  <si>
    <t>P00186</t>
  </si>
  <si>
    <t>P00187</t>
  </si>
  <si>
    <t>P00188</t>
  </si>
  <si>
    <t>Meera Verma</t>
  </si>
  <si>
    <t>2026-04-21</t>
  </si>
  <si>
    <t>P00189</t>
  </si>
  <si>
    <t>Vivaan Gupta</t>
  </si>
  <si>
    <t>22/01/2025</t>
  </si>
  <si>
    <t>P00190</t>
  </si>
  <si>
    <t>Kabir Nair</t>
  </si>
  <si>
    <t>2026-06-28</t>
  </si>
  <si>
    <t>P00191</t>
  </si>
  <si>
    <t>2024-07-13</t>
  </si>
  <si>
    <t>P00192</t>
  </si>
  <si>
    <t>2024-04-09</t>
  </si>
  <si>
    <t>P00193</t>
  </si>
  <si>
    <t>Priya Malhotra</t>
  </si>
  <si>
    <t>2024-07-10</t>
  </si>
  <si>
    <t>P00194</t>
  </si>
  <si>
    <t>2026-05-10</t>
  </si>
  <si>
    <t>P00195</t>
  </si>
  <si>
    <t>P00196</t>
  </si>
  <si>
    <t>Rohan Nair</t>
  </si>
  <si>
    <t>2025-02-10</t>
  </si>
  <si>
    <t>P00197</t>
  </si>
  <si>
    <t>Ananya Shah</t>
  </si>
  <si>
    <t>2025-07-30</t>
  </si>
  <si>
    <t>P00198</t>
  </si>
  <si>
    <t>Arjun Das</t>
  </si>
  <si>
    <t>2026-06-29</t>
  </si>
  <si>
    <t>P00199</t>
  </si>
  <si>
    <t>P00200</t>
  </si>
  <si>
    <t>Priya Das</t>
  </si>
  <si>
    <t>2026-06-19</t>
  </si>
  <si>
    <t>P00201</t>
  </si>
  <si>
    <t>04/09/2024</t>
  </si>
  <si>
    <t>P00202</t>
  </si>
  <si>
    <t>2024-08-07</t>
  </si>
  <si>
    <t>P00203</t>
  </si>
  <si>
    <t>2025-12-30</t>
  </si>
  <si>
    <t>P00204</t>
  </si>
  <si>
    <t>Rahul Rao</t>
  </si>
  <si>
    <t>2024-03-06</t>
  </si>
  <si>
    <t>P00205</t>
  </si>
  <si>
    <t>2024-11-23</t>
  </si>
  <si>
    <t>P00206</t>
  </si>
  <si>
    <t>P00207</t>
  </si>
  <si>
    <t>P00208</t>
  </si>
  <si>
    <t>2024-06-03</t>
  </si>
  <si>
    <t>P00209</t>
  </si>
  <si>
    <t>2024-06-21</t>
  </si>
  <si>
    <t>P00210</t>
  </si>
  <si>
    <t>Meera Reddy</t>
  </si>
  <si>
    <t>2026-02-14</t>
  </si>
  <si>
    <t>P00211</t>
  </si>
  <si>
    <t>Meera Sharma</t>
  </si>
  <si>
    <t>2024-10-24</t>
  </si>
  <si>
    <t>P00212</t>
  </si>
  <si>
    <t>2025-08-26</t>
  </si>
  <si>
    <t>P00213</t>
  </si>
  <si>
    <t>Sneha Kapoor</t>
  </si>
  <si>
    <t>P00214</t>
  </si>
  <si>
    <t>2025-09-15</t>
  </si>
  <si>
    <t>P00215</t>
  </si>
  <si>
    <t>Diya Gupta</t>
  </si>
  <si>
    <t>2026-07-17</t>
  </si>
  <si>
    <t>P00216</t>
  </si>
  <si>
    <t>Neha Nair</t>
  </si>
  <si>
    <t>P00217</t>
  </si>
  <si>
    <t>Vivaan Das</t>
  </si>
  <si>
    <t>2024-04-26</t>
  </si>
  <si>
    <t>P00218</t>
  </si>
  <si>
    <t>P00219</t>
  </si>
  <si>
    <t>Meera Singh</t>
  </si>
  <si>
    <t>P00220</t>
  </si>
  <si>
    <t>Ananya Sharma</t>
  </si>
  <si>
    <t>P00221</t>
  </si>
  <si>
    <t>21/03/2024</t>
  </si>
  <si>
    <t>P00222</t>
  </si>
  <si>
    <t>2025-09-25</t>
  </si>
  <si>
    <t>P00223</t>
  </si>
  <si>
    <t>Kavya Singh</t>
  </si>
  <si>
    <t>P00224</t>
  </si>
  <si>
    <t>2024-07-19</t>
  </si>
  <si>
    <t>P00225</t>
  </si>
  <si>
    <t>Meera Joshi</t>
  </si>
  <si>
    <t>2024-05-17</t>
  </si>
  <si>
    <t>P00226</t>
  </si>
  <si>
    <t>Riya Joshi</t>
  </si>
  <si>
    <t>P00227</t>
  </si>
  <si>
    <t>01/08/2026</t>
  </si>
  <si>
    <t>P00228</t>
  </si>
  <si>
    <t>P00229</t>
  </si>
  <si>
    <t>Aisha Reddy</t>
  </si>
  <si>
    <t>P00230</t>
  </si>
  <si>
    <t>Kabir Joshi</t>
  </si>
  <si>
    <t>2026-05-31</t>
  </si>
  <si>
    <t>P00231</t>
  </si>
  <si>
    <t>Rohan Rao</t>
  </si>
  <si>
    <t>2024-02-11</t>
  </si>
  <si>
    <t>P00232</t>
  </si>
  <si>
    <t>Sneha Singh</t>
  </si>
  <si>
    <t>2025-11-08</t>
  </si>
  <si>
    <t>P00233</t>
  </si>
  <si>
    <t>2024-08-06</t>
  </si>
  <si>
    <t>P00234</t>
  </si>
  <si>
    <t>2026-06-25</t>
  </si>
  <si>
    <t>P00235</t>
  </si>
  <si>
    <t>Riya Das</t>
  </si>
  <si>
    <t>2026-08-28</t>
  </si>
  <si>
    <t>P00236</t>
  </si>
  <si>
    <t>2026-08-20</t>
  </si>
  <si>
    <t>P00237</t>
  </si>
  <si>
    <t>Sneha Patel</t>
  </si>
  <si>
    <t>2025-02-18</t>
  </si>
  <si>
    <t>P00238</t>
  </si>
  <si>
    <t>2026-08-06</t>
  </si>
  <si>
    <t>P00239</t>
  </si>
  <si>
    <t>2025-09-02</t>
  </si>
  <si>
    <t>P00240</t>
  </si>
  <si>
    <t>2026-05-22</t>
  </si>
  <si>
    <t>P00241</t>
  </si>
  <si>
    <t>2024-11-21</t>
  </si>
  <si>
    <t>P00242</t>
  </si>
  <si>
    <t>P00243</t>
  </si>
  <si>
    <t>Riya Gupta</t>
  </si>
  <si>
    <t>2025-07-05</t>
  </si>
  <si>
    <t>P00244</t>
  </si>
  <si>
    <t>P00245</t>
  </si>
  <si>
    <t>2024-05-23</t>
  </si>
  <si>
    <t>P00246</t>
  </si>
  <si>
    <t>Kabir Shah</t>
  </si>
  <si>
    <t>P00247</t>
  </si>
  <si>
    <t>Neha Singh</t>
  </si>
  <si>
    <t>2025-06-13</t>
  </si>
  <si>
    <t>P00248</t>
  </si>
  <si>
    <t>2024-06-10</t>
  </si>
  <si>
    <t>P00249</t>
  </si>
  <si>
    <t>2025-08-29</t>
  </si>
  <si>
    <t>P00250</t>
  </si>
  <si>
    <t>Sneha Gupta</t>
  </si>
  <si>
    <t>P00251</t>
  </si>
  <si>
    <t>Kavya Rao</t>
  </si>
  <si>
    <t>2024-03-11</t>
  </si>
  <si>
    <t>P00252</t>
  </si>
  <si>
    <t>2024-04-30</t>
  </si>
  <si>
    <t>P00253</t>
  </si>
  <si>
    <t>P00254</t>
  </si>
  <si>
    <t>Ananya Joshi</t>
  </si>
  <si>
    <t>2026-04-03</t>
  </si>
  <si>
    <t>P00255</t>
  </si>
  <si>
    <t>2024-07-02</t>
  </si>
  <si>
    <t>P00256</t>
  </si>
  <si>
    <t>Rahul Mehta</t>
  </si>
  <si>
    <t>2025-12-14</t>
  </si>
  <si>
    <t>P00257</t>
  </si>
  <si>
    <t>P00258</t>
  </si>
  <si>
    <t>2025-11-01</t>
  </si>
  <si>
    <t>P00259</t>
  </si>
  <si>
    <t>Riya Patel</t>
  </si>
  <si>
    <t>2024-12-22</t>
  </si>
  <si>
    <t>P00260</t>
  </si>
  <si>
    <t>Arjun Gupta</t>
  </si>
  <si>
    <t>2024-09-20</t>
  </si>
  <si>
    <t>P00261</t>
  </si>
  <si>
    <t>2024-08-23</t>
  </si>
  <si>
    <t>P00262</t>
  </si>
  <si>
    <t>Ishaan Das</t>
  </si>
  <si>
    <t>P00263</t>
  </si>
  <si>
    <t>Maya Das</t>
  </si>
  <si>
    <t>2026-07-31</t>
  </si>
  <si>
    <t>P00264</t>
  </si>
  <si>
    <t>Arjun Kapoor</t>
  </si>
  <si>
    <t>P00265</t>
  </si>
  <si>
    <t>2025-01-23</t>
  </si>
  <si>
    <t>P00266</t>
  </si>
  <si>
    <t>2024-10-13</t>
  </si>
  <si>
    <t>P00267</t>
  </si>
  <si>
    <t>2024-06-29</t>
  </si>
  <si>
    <t>P00268</t>
  </si>
  <si>
    <t>2026-02-01</t>
  </si>
  <si>
    <t>P00269</t>
  </si>
  <si>
    <t>Rohan Das</t>
  </si>
  <si>
    <t>2024-10-18</t>
  </si>
  <si>
    <t>P00270</t>
  </si>
  <si>
    <t>2025-08-08</t>
  </si>
  <si>
    <t>P00271</t>
  </si>
  <si>
    <t>Arjun Patel</t>
  </si>
  <si>
    <t>2025-02-27</t>
  </si>
  <si>
    <t>P00272</t>
  </si>
  <si>
    <t>P00273</t>
  </si>
  <si>
    <t>2026-07-26</t>
  </si>
  <si>
    <t>P00274</t>
  </si>
  <si>
    <t>Riya Sharma</t>
  </si>
  <si>
    <t>2024-11-11</t>
  </si>
  <si>
    <t>P00275</t>
  </si>
  <si>
    <t>2026-02-23</t>
  </si>
  <si>
    <t>P00276</t>
  </si>
  <si>
    <t>Kabir Singh</t>
  </si>
  <si>
    <t>2025-03-08</t>
  </si>
  <si>
    <t>P00277</t>
  </si>
  <si>
    <t>Neha Kapoor</t>
  </si>
  <si>
    <t>29/09/2025</t>
  </si>
  <si>
    <t>P00278</t>
  </si>
  <si>
    <t>P00279</t>
  </si>
  <si>
    <t>Arjun Reddy</t>
  </si>
  <si>
    <t>2026-04-28</t>
  </si>
  <si>
    <t>P00280</t>
  </si>
  <si>
    <t>2026-08-16</t>
  </si>
  <si>
    <t>P00281</t>
  </si>
  <si>
    <t>P00282</t>
  </si>
  <si>
    <t>P00283</t>
  </si>
  <si>
    <t>Priya Mehta</t>
  </si>
  <si>
    <t>2026-01-11</t>
  </si>
  <si>
    <t>P00284</t>
  </si>
  <si>
    <t>2025-07-21</t>
  </si>
  <si>
    <t>P00285</t>
  </si>
  <si>
    <t>2025-09-27</t>
  </si>
  <si>
    <t>P00286</t>
  </si>
  <si>
    <t>2026-08-18</t>
  </si>
  <si>
    <t>P00287</t>
  </si>
  <si>
    <t>2024-01-14</t>
  </si>
  <si>
    <t>P00288</t>
  </si>
  <si>
    <t>2025-06-15</t>
  </si>
  <si>
    <t>P00289</t>
  </si>
  <si>
    <t>2025-12-20</t>
  </si>
  <si>
    <t>P00290</t>
  </si>
  <si>
    <t>2024-11-27</t>
  </si>
  <si>
    <t>P00291</t>
  </si>
  <si>
    <t>Rahul Kumar</t>
  </si>
  <si>
    <t>2024-01-23</t>
  </si>
  <si>
    <t>P00292</t>
  </si>
  <si>
    <t>Maya Shah</t>
  </si>
  <si>
    <t>2024-08-10</t>
  </si>
  <si>
    <t>P00293</t>
  </si>
  <si>
    <t>Sneha Sharma</t>
  </si>
  <si>
    <t>2026-04-16</t>
  </si>
  <si>
    <t>P00294</t>
  </si>
  <si>
    <t>2024-06-05</t>
  </si>
  <si>
    <t>P00295</t>
  </si>
  <si>
    <t>2025-05-28</t>
  </si>
  <si>
    <t>P00296</t>
  </si>
  <si>
    <t>P00297</t>
  </si>
  <si>
    <t>Kavya Sharma</t>
  </si>
  <si>
    <t>2025-01-17</t>
  </si>
  <si>
    <t>P00298</t>
  </si>
  <si>
    <t>2026-02-07</t>
  </si>
  <si>
    <t>P00299</t>
  </si>
  <si>
    <t>2024-01-09</t>
  </si>
  <si>
    <t>P00300</t>
  </si>
  <si>
    <t>2025-05-11</t>
  </si>
  <si>
    <t>P00301</t>
  </si>
  <si>
    <t>2024-08-29</t>
  </si>
  <si>
    <t>P00302</t>
  </si>
  <si>
    <t>P00303</t>
  </si>
  <si>
    <t>Aarav Malhotra</t>
  </si>
  <si>
    <t>2025-06-20</t>
  </si>
  <si>
    <t>P00304</t>
  </si>
  <si>
    <t>P00305</t>
  </si>
  <si>
    <t>2025-04-25</t>
  </si>
  <si>
    <t>P00306</t>
  </si>
  <si>
    <t>2024-06-30</t>
  </si>
  <si>
    <t>P00307</t>
  </si>
  <si>
    <t>Vivaan Kumar</t>
  </si>
  <si>
    <t>2024-02-09</t>
  </si>
  <si>
    <t>P00308</t>
  </si>
  <si>
    <t>2025-04-17</t>
  </si>
  <si>
    <t>P00309</t>
  </si>
  <si>
    <t>P00310</t>
  </si>
  <si>
    <t>2025-01-28</t>
  </si>
  <si>
    <t>P00311</t>
  </si>
  <si>
    <t>Zara Rao</t>
  </si>
  <si>
    <t>2024-07-04</t>
  </si>
  <si>
    <t>P00312</t>
  </si>
  <si>
    <t>2025-03-28</t>
  </si>
  <si>
    <t>P00313</t>
  </si>
  <si>
    <t>Aditya Malhotra</t>
  </si>
  <si>
    <t>P00314</t>
  </si>
  <si>
    <t>2025-03-13</t>
  </si>
  <si>
    <t>P00315</t>
  </si>
  <si>
    <t>P00316</t>
  </si>
  <si>
    <t>Aisha Mehta</t>
  </si>
  <si>
    <t>2024-07-17</t>
  </si>
  <si>
    <t>P00317</t>
  </si>
  <si>
    <t>2024-10-15</t>
  </si>
  <si>
    <t>P00318</t>
  </si>
  <si>
    <t>2026-08-02</t>
  </si>
  <si>
    <t>P00319</t>
  </si>
  <si>
    <t>Zara Patel</t>
  </si>
  <si>
    <t>P00320</t>
  </si>
  <si>
    <t>2024-02-02</t>
  </si>
  <si>
    <t>P00321</t>
  </si>
  <si>
    <t>Sneha Joshi</t>
  </si>
  <si>
    <t>2025-06-02</t>
  </si>
  <si>
    <t>P00322</t>
  </si>
  <si>
    <t>Diya Sharma</t>
  </si>
  <si>
    <t>P00323</t>
  </si>
  <si>
    <t>2024-07-16</t>
  </si>
  <si>
    <t>P00324</t>
  </si>
  <si>
    <t>2024-10-04</t>
  </si>
  <si>
    <t>P00325</t>
  </si>
  <si>
    <t>Neha Patel</t>
  </si>
  <si>
    <t>P00326</t>
  </si>
  <si>
    <t>Aarav Patel</t>
  </si>
  <si>
    <t>2024-08-25</t>
  </si>
  <si>
    <t>P00327</t>
  </si>
  <si>
    <t>2026-02-25</t>
  </si>
  <si>
    <t>P00328</t>
  </si>
  <si>
    <t>P00329</t>
  </si>
  <si>
    <t>P00330</t>
  </si>
  <si>
    <t>Aisha Gupta</t>
  </si>
  <si>
    <t>2026-04-09</t>
  </si>
  <si>
    <t>P00331</t>
  </si>
  <si>
    <t>Vivaan Sharma</t>
  </si>
  <si>
    <t>P00332</t>
  </si>
  <si>
    <t>2026-06-05</t>
  </si>
  <si>
    <t>P00333</t>
  </si>
  <si>
    <t>Aditya Singh</t>
  </si>
  <si>
    <t>P00334</t>
  </si>
  <si>
    <t>P00335</t>
  </si>
  <si>
    <t>2025-02-24</t>
  </si>
  <si>
    <t>P00336</t>
  </si>
  <si>
    <t>2026-01-29</t>
  </si>
  <si>
    <t>P00337</t>
  </si>
  <si>
    <t>2024-11-07</t>
  </si>
  <si>
    <t>P00338</t>
  </si>
  <si>
    <t>P00339</t>
  </si>
  <si>
    <t>2024-05-28</t>
  </si>
  <si>
    <t>P00340</t>
  </si>
  <si>
    <t>2025-05-02</t>
  </si>
  <si>
    <t>P00341</t>
  </si>
  <si>
    <t>Maya Malhotra</t>
  </si>
  <si>
    <t>2025-06-28</t>
  </si>
  <si>
    <t>P00342</t>
  </si>
  <si>
    <t>2025-07-14</t>
  </si>
  <si>
    <t>P00343</t>
  </si>
  <si>
    <t>2025-11-03</t>
  </si>
  <si>
    <t>P00344</t>
  </si>
  <si>
    <t>Ananya Singh</t>
  </si>
  <si>
    <t>2026-02-26</t>
  </si>
  <si>
    <t>P00345</t>
  </si>
  <si>
    <t>2024-07-01</t>
  </si>
  <si>
    <t>P00346</t>
  </si>
  <si>
    <t>Meera Das</t>
  </si>
  <si>
    <t>2025-10-30</t>
  </si>
  <si>
    <t>P00347</t>
  </si>
  <si>
    <t>Aditya Das</t>
  </si>
  <si>
    <t>P00348</t>
  </si>
  <si>
    <t>Ishaan Singh</t>
  </si>
  <si>
    <t>10/02/2024</t>
  </si>
  <si>
    <t>P00349</t>
  </si>
  <si>
    <t>2025-02-02</t>
  </si>
  <si>
    <t>P00350</t>
  </si>
  <si>
    <t>2024-08-26</t>
  </si>
  <si>
    <t>P00351</t>
  </si>
  <si>
    <t>Meera Mehta</t>
  </si>
  <si>
    <t>2024-06-23</t>
  </si>
  <si>
    <t>P00352</t>
  </si>
  <si>
    <t>P00353</t>
  </si>
  <si>
    <t>2025-10-09</t>
  </si>
  <si>
    <t>P00354</t>
  </si>
  <si>
    <t>2024-06-27</t>
  </si>
  <si>
    <t>P00355</t>
  </si>
  <si>
    <t>2025-07-06</t>
  </si>
  <si>
    <t>P00356</t>
  </si>
  <si>
    <t>P00357</t>
  </si>
  <si>
    <t>2026-02-04</t>
  </si>
  <si>
    <t>P00358</t>
  </si>
  <si>
    <t>2025-09-16</t>
  </si>
  <si>
    <t>P00359</t>
  </si>
  <si>
    <t>2025-04-14</t>
  </si>
  <si>
    <t>P00360</t>
  </si>
  <si>
    <t>Kavya Kapoor</t>
  </si>
  <si>
    <t>2024-01-15</t>
  </si>
  <si>
    <t>P00361</t>
  </si>
  <si>
    <t>2026-03-28</t>
  </si>
  <si>
    <t>P00362</t>
  </si>
  <si>
    <t>Aarav Das</t>
  </si>
  <si>
    <t>2025-12-21</t>
  </si>
  <si>
    <t>P00363</t>
  </si>
  <si>
    <t>2024-10-30</t>
  </si>
  <si>
    <t>P00364</t>
  </si>
  <si>
    <t>2025-12-22</t>
  </si>
  <si>
    <t>P00365</t>
  </si>
  <si>
    <t>2025-05-12</t>
  </si>
  <si>
    <t>P00366</t>
  </si>
  <si>
    <t>2024-10-09</t>
  </si>
  <si>
    <t>P00367</t>
  </si>
  <si>
    <t>P00368</t>
  </si>
  <si>
    <t>P00369</t>
  </si>
  <si>
    <t>Riya Kapoor</t>
  </si>
  <si>
    <t>15/07/2026</t>
  </si>
  <si>
    <t>P00370</t>
  </si>
  <si>
    <t>Riya Reddy</t>
  </si>
  <si>
    <t>P00371</t>
  </si>
  <si>
    <t>Zara Das</t>
  </si>
  <si>
    <t>2026-08-24</t>
  </si>
  <si>
    <t>P00372</t>
  </si>
  <si>
    <t>Aisha Nair</t>
  </si>
  <si>
    <t>2024-07-18</t>
  </si>
  <si>
    <t>P00373</t>
  </si>
  <si>
    <t>2024-05-31</t>
  </si>
  <si>
    <t>P00374</t>
  </si>
  <si>
    <t>2026-07-08</t>
  </si>
  <si>
    <t>P00375</t>
  </si>
  <si>
    <t>04/08/2025</t>
  </si>
  <si>
    <t>P00376</t>
  </si>
  <si>
    <t>2026-05-04</t>
  </si>
  <si>
    <t>P00377</t>
  </si>
  <si>
    <t>Rohan Mehta</t>
  </si>
  <si>
    <t>2024-09-21</t>
  </si>
  <si>
    <t>P00378</t>
  </si>
  <si>
    <t>Aisha Das</t>
  </si>
  <si>
    <t>2024-12-30</t>
  </si>
  <si>
    <t>P00379</t>
  </si>
  <si>
    <t>2025-12-15</t>
  </si>
  <si>
    <t>P00380</t>
  </si>
  <si>
    <t>Neha Rao</t>
  </si>
  <si>
    <t>P00381</t>
  </si>
  <si>
    <t>P00382</t>
  </si>
  <si>
    <t>P00383</t>
  </si>
  <si>
    <t>2025-09-08</t>
  </si>
  <si>
    <t>P00384</t>
  </si>
  <si>
    <t>P00385</t>
  </si>
  <si>
    <t>P00386</t>
  </si>
  <si>
    <t>2024-03-25</t>
  </si>
  <si>
    <t>P00387</t>
  </si>
  <si>
    <t>2026-08-19</t>
  </si>
  <si>
    <t>P00388</t>
  </si>
  <si>
    <t>2024-03-07</t>
  </si>
  <si>
    <t>P00389</t>
  </si>
  <si>
    <t>P00390</t>
  </si>
  <si>
    <t>P00391</t>
  </si>
  <si>
    <t>2024-01-19</t>
  </si>
  <si>
    <t>P00392</t>
  </si>
  <si>
    <t>P00393</t>
  </si>
  <si>
    <t>2024-12-27</t>
  </si>
  <si>
    <t>P00394</t>
  </si>
  <si>
    <t>Isha Nair</t>
  </si>
  <si>
    <t>2024-08-28</t>
  </si>
  <si>
    <t>P00395</t>
  </si>
  <si>
    <t>Aisha Singh</t>
  </si>
  <si>
    <t>P00396</t>
  </si>
  <si>
    <t>P00397</t>
  </si>
  <si>
    <t>2026-03-25</t>
  </si>
  <si>
    <t>P00398</t>
  </si>
  <si>
    <t>2025-06-12</t>
  </si>
  <si>
    <t>P00399</t>
  </si>
  <si>
    <t>P00400</t>
  </si>
  <si>
    <t>2026-04-27</t>
  </si>
  <si>
    <t>P00401</t>
  </si>
  <si>
    <t>2026-03-12</t>
  </si>
  <si>
    <t>P00402</t>
  </si>
  <si>
    <t>Rohan Patel</t>
  </si>
  <si>
    <t>P00403</t>
  </si>
  <si>
    <t>P00404</t>
  </si>
  <si>
    <t>Neha Shah</t>
  </si>
  <si>
    <t>12/09/2025</t>
  </si>
  <si>
    <t>P00405</t>
  </si>
  <si>
    <t>P00406</t>
  </si>
  <si>
    <t>2026-07-29</t>
  </si>
  <si>
    <t>P00407</t>
  </si>
  <si>
    <t>Kavya Das</t>
  </si>
  <si>
    <t>2024-11-08</t>
  </si>
  <si>
    <t>P00408</t>
  </si>
  <si>
    <t>P00409</t>
  </si>
  <si>
    <t>P00410</t>
  </si>
  <si>
    <t>2024-08-17</t>
  </si>
  <si>
    <t>P00411</t>
  </si>
  <si>
    <t>P00412</t>
  </si>
  <si>
    <t>Zara Shah</t>
  </si>
  <si>
    <t>P00413</t>
  </si>
  <si>
    <t>Rohan Gupta</t>
  </si>
  <si>
    <t>2025-07-26</t>
  </si>
  <si>
    <t>P00414</t>
  </si>
  <si>
    <t>Kavya Malhotra</t>
  </si>
  <si>
    <t>P00415</t>
  </si>
  <si>
    <t>2025-03-26</t>
  </si>
  <si>
    <t>P00416</t>
  </si>
  <si>
    <t>Aarav Reddy</t>
  </si>
  <si>
    <t>2024-04-25</t>
  </si>
  <si>
    <t>P00417</t>
  </si>
  <si>
    <t>P00418</t>
  </si>
  <si>
    <t>Vivaan Kapoor</t>
  </si>
  <si>
    <t>2025-08-31</t>
  </si>
  <si>
    <t>P00419</t>
  </si>
  <si>
    <t>P00420</t>
  </si>
  <si>
    <t>P00421</t>
  </si>
  <si>
    <t>2025-03-20</t>
  </si>
  <si>
    <t>P00422</t>
  </si>
  <si>
    <t>2024-06-01</t>
  </si>
  <si>
    <t>P00423</t>
  </si>
  <si>
    <t>2024-12-29</t>
  </si>
  <si>
    <t>P00424</t>
  </si>
  <si>
    <t>2025-11-17</t>
  </si>
  <si>
    <t>P00425</t>
  </si>
  <si>
    <t>P00426</t>
  </si>
  <si>
    <t>02/08/2024</t>
  </si>
  <si>
    <t>P00427</t>
  </si>
  <si>
    <t>Arjun Joshi</t>
  </si>
  <si>
    <t>P00428</t>
  </si>
  <si>
    <t>2025-08-15</t>
  </si>
  <si>
    <t>P00429</t>
  </si>
  <si>
    <t>P00430</t>
  </si>
  <si>
    <t>Ishaan Gupta</t>
  </si>
  <si>
    <t>2026-05-23</t>
  </si>
  <si>
    <t>P00431</t>
  </si>
  <si>
    <t>2024-06-09</t>
  </si>
  <si>
    <t>P00432</t>
  </si>
  <si>
    <t>Ananya Rao</t>
  </si>
  <si>
    <t>P00433</t>
  </si>
  <si>
    <t>2025-12-24</t>
  </si>
  <si>
    <t>P00434</t>
  </si>
  <si>
    <t>2025-12-26</t>
  </si>
  <si>
    <t>P00435</t>
  </si>
  <si>
    <t>2025-06-01</t>
  </si>
  <si>
    <t>P00436</t>
  </si>
  <si>
    <t>P00437</t>
  </si>
  <si>
    <t>2026-07-13</t>
  </si>
  <si>
    <t>P00438</t>
  </si>
  <si>
    <t>2024-07-29</t>
  </si>
  <si>
    <t>P00439</t>
  </si>
  <si>
    <t>P00440</t>
  </si>
  <si>
    <t>P00441</t>
  </si>
  <si>
    <t>Kavya Kumar</t>
  </si>
  <si>
    <t>P00442</t>
  </si>
  <si>
    <t>P00443</t>
  </si>
  <si>
    <t>Maya Gupta</t>
  </si>
  <si>
    <t>P00444</t>
  </si>
  <si>
    <t>2024-11-06</t>
  </si>
  <si>
    <t>P00445</t>
  </si>
  <si>
    <t>2025-08-09</t>
  </si>
  <si>
    <t>P00446</t>
  </si>
  <si>
    <t>2025-02-23</t>
  </si>
  <si>
    <t>P00447</t>
  </si>
  <si>
    <t>2025-10-21</t>
  </si>
  <si>
    <t>P00448</t>
  </si>
  <si>
    <t>Aisha Shah</t>
  </si>
  <si>
    <t>2025-03-30</t>
  </si>
  <si>
    <t>P00449</t>
  </si>
  <si>
    <t>2024-05-27</t>
  </si>
  <si>
    <t>P00450</t>
  </si>
  <si>
    <t>Aisha Verma</t>
  </si>
  <si>
    <t>P00451</t>
  </si>
  <si>
    <t>2026-07-24</t>
  </si>
  <si>
    <t>P00452</t>
  </si>
  <si>
    <t>Kavya Gupta</t>
  </si>
  <si>
    <t>P00453</t>
  </si>
  <si>
    <t>P00454</t>
  </si>
  <si>
    <t>Zara Mehta</t>
  </si>
  <si>
    <t>17/09/2025</t>
  </si>
  <si>
    <t>P00455</t>
  </si>
  <si>
    <t>Aarav Rao</t>
  </si>
  <si>
    <t>P00456</t>
  </si>
  <si>
    <t>Neha Sharma</t>
  </si>
  <si>
    <t>2026-04-12</t>
  </si>
  <si>
    <t>P00457</t>
  </si>
  <si>
    <t>01/01/2025</t>
  </si>
  <si>
    <t>P00458</t>
  </si>
  <si>
    <t>2024-10-11</t>
  </si>
  <si>
    <t>P00459</t>
  </si>
  <si>
    <t>P00460</t>
  </si>
  <si>
    <t>Aisha Sharma</t>
  </si>
  <si>
    <t>P00461</t>
  </si>
  <si>
    <t>2026-01-25</t>
  </si>
  <si>
    <t>P00462</t>
  </si>
  <si>
    <t>P00463</t>
  </si>
  <si>
    <t>2025-12-11</t>
  </si>
  <si>
    <t>P00464</t>
  </si>
  <si>
    <t>P00465</t>
  </si>
  <si>
    <t>2026-03-19</t>
  </si>
  <si>
    <t>P00466</t>
  </si>
  <si>
    <t>Sneha Das</t>
  </si>
  <si>
    <t>2025-01-01</t>
  </si>
  <si>
    <t>P00467</t>
  </si>
  <si>
    <t>2024-07-24</t>
  </si>
  <si>
    <t>P00468</t>
  </si>
  <si>
    <t>Kabir Das</t>
  </si>
  <si>
    <t>P00469</t>
  </si>
  <si>
    <t>2024-04-27</t>
  </si>
  <si>
    <t>P00470</t>
  </si>
  <si>
    <t>P00471</t>
  </si>
  <si>
    <t>P00472</t>
  </si>
  <si>
    <t>2025-07-02</t>
  </si>
  <si>
    <t>P00473</t>
  </si>
  <si>
    <t>2026-02-08</t>
  </si>
  <si>
    <t>P00474</t>
  </si>
  <si>
    <t>2026-07-05</t>
  </si>
  <si>
    <t>P00475</t>
  </si>
  <si>
    <t>2024-02-12</t>
  </si>
  <si>
    <t>P00476</t>
  </si>
  <si>
    <t>Ishaan Mehta</t>
  </si>
  <si>
    <t>P00477</t>
  </si>
  <si>
    <t>2025-11-30</t>
  </si>
  <si>
    <t>P00478</t>
  </si>
  <si>
    <t>P00479</t>
  </si>
  <si>
    <t>Aarav Verma</t>
  </si>
  <si>
    <t>2024-03-28</t>
  </si>
  <si>
    <t>P00480</t>
  </si>
  <si>
    <t>Meera Patel</t>
  </si>
  <si>
    <t>2025-12-03</t>
  </si>
  <si>
    <t>P00481</t>
  </si>
  <si>
    <t>P00482</t>
  </si>
  <si>
    <t>2024-03-12</t>
  </si>
  <si>
    <t>P00483</t>
  </si>
  <si>
    <t>Aarav Singh</t>
  </si>
  <si>
    <t>2026-06-10</t>
  </si>
  <si>
    <t>P00484</t>
  </si>
  <si>
    <t>2024-12-02</t>
  </si>
  <si>
    <t>P00485</t>
  </si>
  <si>
    <t>2026-07-21</t>
  </si>
  <si>
    <t>P00486</t>
  </si>
  <si>
    <t>P00487</t>
  </si>
  <si>
    <t>2025-12-27</t>
  </si>
  <si>
    <t>P00488</t>
  </si>
  <si>
    <t>2024-05-07</t>
  </si>
  <si>
    <t>P00489</t>
  </si>
  <si>
    <t>2025-11-09</t>
  </si>
  <si>
    <t>P00490</t>
  </si>
  <si>
    <t>2024-07-15</t>
  </si>
  <si>
    <t>P00491</t>
  </si>
  <si>
    <t>Aditya Joshi</t>
  </si>
  <si>
    <t>P00492</t>
  </si>
  <si>
    <t>2024-08-11</t>
  </si>
  <si>
    <t>P00493</t>
  </si>
  <si>
    <t>2026-02-18</t>
  </si>
  <si>
    <t>P00494</t>
  </si>
  <si>
    <t>Zara Verma</t>
  </si>
  <si>
    <t>P00495</t>
  </si>
  <si>
    <t>2026-02-17</t>
  </si>
  <si>
    <t>P00496</t>
  </si>
  <si>
    <t>P00497</t>
  </si>
  <si>
    <t>2024-07-28</t>
  </si>
  <si>
    <t>P00498</t>
  </si>
  <si>
    <t>2026-06-02</t>
  </si>
  <si>
    <t>P00499</t>
  </si>
  <si>
    <t>P00500</t>
  </si>
  <si>
    <t>2026-01-12</t>
  </si>
  <si>
    <t>P00501</t>
  </si>
  <si>
    <t>2026-02-28</t>
  </si>
  <si>
    <t>P00502</t>
  </si>
  <si>
    <t>2025-11-12</t>
  </si>
  <si>
    <t>P00503</t>
  </si>
  <si>
    <t>2026-06-16</t>
  </si>
  <si>
    <t>P00504</t>
  </si>
  <si>
    <t>2026-02-05</t>
  </si>
  <si>
    <t>P00505</t>
  </si>
  <si>
    <t>P00506</t>
  </si>
  <si>
    <t>Arjun Sharma</t>
  </si>
  <si>
    <t>2025-10-13</t>
  </si>
  <si>
    <t>P00507</t>
  </si>
  <si>
    <t>P00508</t>
  </si>
  <si>
    <t>P00509</t>
  </si>
  <si>
    <t>2025-01-12</t>
  </si>
  <si>
    <t>P00510</t>
  </si>
  <si>
    <t>2024-03-24</t>
  </si>
  <si>
    <t>P00511</t>
  </si>
  <si>
    <t>P00512</t>
  </si>
  <si>
    <t>P00513</t>
  </si>
  <si>
    <t>Maya Rao</t>
  </si>
  <si>
    <t>2026-01-30</t>
  </si>
  <si>
    <t>P00514</t>
  </si>
  <si>
    <t>2024-11-16</t>
  </si>
  <si>
    <t>P00515</t>
  </si>
  <si>
    <t>P00516</t>
  </si>
  <si>
    <t>2025-05-21</t>
  </si>
  <si>
    <t>P00517</t>
  </si>
  <si>
    <t>P00518</t>
  </si>
  <si>
    <t>2024-02-25</t>
  </si>
  <si>
    <t>P00519</t>
  </si>
  <si>
    <t>2026-03-15</t>
  </si>
  <si>
    <t>P00520</t>
  </si>
  <si>
    <t>2024-05-01</t>
  </si>
  <si>
    <t>P00521</t>
  </si>
  <si>
    <t>2024-05-04</t>
  </si>
  <si>
    <t>P00522</t>
  </si>
  <si>
    <t>P00523</t>
  </si>
  <si>
    <t>2025-11-05</t>
  </si>
  <si>
    <t>P00524</t>
  </si>
  <si>
    <t>P00525</t>
  </si>
  <si>
    <t>2025-09-12</t>
  </si>
  <si>
    <t>P00526</t>
  </si>
  <si>
    <t>P00527</t>
  </si>
  <si>
    <t>2026-04-20</t>
  </si>
  <si>
    <t>P00528</t>
  </si>
  <si>
    <t>P00529</t>
  </si>
  <si>
    <t>2024-12-23</t>
  </si>
  <si>
    <t>P00530</t>
  </si>
  <si>
    <t>P00531</t>
  </si>
  <si>
    <t>2026-09-02</t>
  </si>
  <si>
    <t>P00532</t>
  </si>
  <si>
    <t>2026-01-31</t>
  </si>
  <si>
    <t>P00533</t>
  </si>
  <si>
    <t>2024-01-08</t>
  </si>
  <si>
    <t>P00534</t>
  </si>
  <si>
    <t>Ishaan Sharma</t>
  </si>
  <si>
    <t>P00535</t>
  </si>
  <si>
    <t>2026-08-13</t>
  </si>
  <si>
    <t>P00536</t>
  </si>
  <si>
    <t>2025-05-18</t>
  </si>
  <si>
    <t>P00537</t>
  </si>
  <si>
    <t>2024-10-02</t>
  </si>
  <si>
    <t>P00538</t>
  </si>
  <si>
    <t>2024-06-13</t>
  </si>
  <si>
    <t>P00539</t>
  </si>
  <si>
    <t>2025-05-27</t>
  </si>
  <si>
    <t>P00540</t>
  </si>
  <si>
    <t>P00541</t>
  </si>
  <si>
    <t>2024-05-29</t>
  </si>
  <si>
    <t>P00542</t>
  </si>
  <si>
    <t>2025-01-07</t>
  </si>
  <si>
    <t>P00543</t>
  </si>
  <si>
    <t>P00544</t>
  </si>
  <si>
    <t>2024-08-03</t>
  </si>
  <si>
    <t>P00545</t>
  </si>
  <si>
    <t>Arjun Rao</t>
  </si>
  <si>
    <t>2025-06-30</t>
  </si>
  <si>
    <t>P00546</t>
  </si>
  <si>
    <t>2026-03-20</t>
  </si>
  <si>
    <t>P00547</t>
  </si>
  <si>
    <t>2025-07-29</t>
  </si>
  <si>
    <t>P00548</t>
  </si>
  <si>
    <t>Vivaan Joshi</t>
  </si>
  <si>
    <t>2024-10-01</t>
  </si>
  <si>
    <t>P00549</t>
  </si>
  <si>
    <t>2025-10-26</t>
  </si>
  <si>
    <t>P00550</t>
  </si>
  <si>
    <t>2024-01-17</t>
  </si>
  <si>
    <t>P00551</t>
  </si>
  <si>
    <t>P00552</t>
  </si>
  <si>
    <t>2025-12-04</t>
  </si>
  <si>
    <t>P00553</t>
  </si>
  <si>
    <t>2026-08-15</t>
  </si>
  <si>
    <t>P00554</t>
  </si>
  <si>
    <t>P00555</t>
  </si>
  <si>
    <t>2026-07-23</t>
  </si>
  <si>
    <t>P00556</t>
  </si>
  <si>
    <t>Diya Nair</t>
  </si>
  <si>
    <t>not available</t>
  </si>
  <si>
    <t>P00557</t>
  </si>
  <si>
    <t>P00558</t>
  </si>
  <si>
    <t>P00559</t>
  </si>
  <si>
    <t>2024-09-08</t>
  </si>
  <si>
    <t>P00560</t>
  </si>
  <si>
    <t>P00561</t>
  </si>
  <si>
    <t>P00562</t>
  </si>
  <si>
    <t>2024-05-30</t>
  </si>
  <si>
    <t>P00563</t>
  </si>
  <si>
    <t>P00564</t>
  </si>
  <si>
    <t>P00565</t>
  </si>
  <si>
    <t>2025-12-10</t>
  </si>
  <si>
    <t>P00566</t>
  </si>
  <si>
    <t>P00567</t>
  </si>
  <si>
    <t>Arjun Mehta</t>
  </si>
  <si>
    <t>2024-11-18</t>
  </si>
  <si>
    <t>P00568</t>
  </si>
  <si>
    <t>P00569</t>
  </si>
  <si>
    <t>P00570</t>
  </si>
  <si>
    <t>Diya Singh</t>
  </si>
  <si>
    <t>P00571</t>
  </si>
  <si>
    <t>2025-12-28</t>
  </si>
  <si>
    <t>P00572</t>
  </si>
  <si>
    <t>2026-05-15</t>
  </si>
  <si>
    <t>P00573</t>
  </si>
  <si>
    <t>2024-08-16</t>
  </si>
  <si>
    <t>P00574</t>
  </si>
  <si>
    <t>P00575</t>
  </si>
  <si>
    <t>2026-03-03</t>
  </si>
  <si>
    <t>P00576</t>
  </si>
  <si>
    <t>P00577</t>
  </si>
  <si>
    <t>P00578</t>
  </si>
  <si>
    <t>P00579</t>
  </si>
  <si>
    <t>2024-08-02</t>
  </si>
  <si>
    <t>P00580</t>
  </si>
  <si>
    <t>P00581</t>
  </si>
  <si>
    <t>P00582</t>
  </si>
  <si>
    <t>2025-01-25</t>
  </si>
  <si>
    <t>P00583</t>
  </si>
  <si>
    <t>P00584</t>
  </si>
  <si>
    <t>Rohan Reddy</t>
  </si>
  <si>
    <t>P00585</t>
  </si>
  <si>
    <t>27/07/2026</t>
  </si>
  <si>
    <t>P00586</t>
  </si>
  <si>
    <t>2026-03-07</t>
  </si>
  <si>
    <t>P00587</t>
  </si>
  <si>
    <t>Arjun Verma</t>
  </si>
  <si>
    <t>2024-04-23</t>
  </si>
  <si>
    <t>P00588</t>
  </si>
  <si>
    <t>P00589</t>
  </si>
  <si>
    <t>2024-09-17</t>
  </si>
  <si>
    <t>P00590</t>
  </si>
  <si>
    <t>P00591</t>
  </si>
  <si>
    <t>P00592</t>
  </si>
  <si>
    <t>P00593</t>
  </si>
  <si>
    <t>P00594</t>
  </si>
  <si>
    <t>2025-01-29</t>
  </si>
  <si>
    <t>P00595</t>
  </si>
  <si>
    <t>Maya Sharma</t>
  </si>
  <si>
    <t>2025-03-07</t>
  </si>
  <si>
    <t>P00596</t>
  </si>
  <si>
    <t>P00597</t>
  </si>
  <si>
    <t>P00598</t>
  </si>
  <si>
    <t>P00599</t>
  </si>
  <si>
    <t>2025-04-16</t>
  </si>
  <si>
    <t>P00600</t>
  </si>
  <si>
    <t>P00601</t>
  </si>
  <si>
    <t>2025-05-14</t>
  </si>
  <si>
    <t>P00602</t>
  </si>
  <si>
    <t>26/07/2024</t>
  </si>
  <si>
    <t>P00603</t>
  </si>
  <si>
    <t>2025-06-27</t>
  </si>
  <si>
    <t>P00604</t>
  </si>
  <si>
    <t>2025-01-26</t>
  </si>
  <si>
    <t>P00605</t>
  </si>
  <si>
    <t>2025-08-12</t>
  </si>
  <si>
    <t>P00606</t>
  </si>
  <si>
    <t>2024-07-27</t>
  </si>
  <si>
    <t>P00607</t>
  </si>
  <si>
    <t>P00608</t>
  </si>
  <si>
    <t>P00609</t>
  </si>
  <si>
    <t>P00610</t>
  </si>
  <si>
    <t>Priya Rao</t>
  </si>
  <si>
    <t>P00611</t>
  </si>
  <si>
    <t>2024-07-14</t>
  </si>
  <si>
    <t>P00612</t>
  </si>
  <si>
    <t>2024-10-23</t>
  </si>
  <si>
    <t>P00613</t>
  </si>
  <si>
    <t>2024-02-21</t>
  </si>
  <si>
    <t>P00614</t>
  </si>
  <si>
    <t>P00615</t>
  </si>
  <si>
    <t>P00616</t>
  </si>
  <si>
    <t>2025-04-24</t>
  </si>
  <si>
    <t>P00617</t>
  </si>
  <si>
    <t>2025-08-02</t>
  </si>
  <si>
    <t>P00618</t>
  </si>
  <si>
    <t>P00619</t>
  </si>
  <si>
    <t>P00620</t>
  </si>
  <si>
    <t>2026-05-02</t>
  </si>
  <si>
    <t>P00621</t>
  </si>
  <si>
    <t>2025-11-04</t>
  </si>
  <si>
    <t>P00622</t>
  </si>
  <si>
    <t>P00623</t>
  </si>
  <si>
    <t>P00624</t>
  </si>
  <si>
    <t>2026-05-09</t>
  </si>
  <si>
    <t>P00625</t>
  </si>
  <si>
    <t>2026-01-20</t>
  </si>
  <si>
    <t>P00626</t>
  </si>
  <si>
    <t>2024-02-08</t>
  </si>
  <si>
    <t>P00627</t>
  </si>
  <si>
    <t>19/10/2024</t>
  </si>
  <si>
    <t>P00628</t>
  </si>
  <si>
    <t>2024-12-14</t>
  </si>
  <si>
    <t>P00629</t>
  </si>
  <si>
    <t>P00630</t>
  </si>
  <si>
    <t>2025-07-01</t>
  </si>
  <si>
    <t>P00631</t>
  </si>
  <si>
    <t>2024-05-22</t>
  </si>
  <si>
    <t>P00632</t>
  </si>
  <si>
    <t>P00633</t>
  </si>
  <si>
    <t>2025-11-29</t>
  </si>
  <si>
    <t>P00634</t>
  </si>
  <si>
    <t>P00635</t>
  </si>
  <si>
    <t>P00636</t>
  </si>
  <si>
    <t>2025-12-31</t>
  </si>
  <si>
    <t>P00637</t>
  </si>
  <si>
    <t>2026-05-11</t>
  </si>
  <si>
    <t>P00638</t>
  </si>
  <si>
    <t>2024-03-27</t>
  </si>
  <si>
    <t>P00639</t>
  </si>
  <si>
    <t>Vivaan Malhotra</t>
  </si>
  <si>
    <t>2026-02-20</t>
  </si>
  <si>
    <t>P00640</t>
  </si>
  <si>
    <t>2026-05-29</t>
  </si>
  <si>
    <t>P00641</t>
  </si>
  <si>
    <t>P00642</t>
  </si>
  <si>
    <t>2025-05-06</t>
  </si>
  <si>
    <t>P00643</t>
  </si>
  <si>
    <t>Rahul Sharma</t>
  </si>
  <si>
    <t>2025-11-02</t>
  </si>
  <si>
    <t>P00644</t>
  </si>
  <si>
    <t>P00645</t>
  </si>
  <si>
    <t>2026-06-15</t>
  </si>
  <si>
    <t>P00646</t>
  </si>
  <si>
    <t>2024-04-18</t>
  </si>
  <si>
    <t>P00647</t>
  </si>
  <si>
    <t>P00648</t>
  </si>
  <si>
    <t>2024-08-24</t>
  </si>
  <si>
    <t>P00649</t>
  </si>
  <si>
    <t>2025-03-04</t>
  </si>
  <si>
    <t>P00650</t>
  </si>
  <si>
    <t>Isha Sharma</t>
  </si>
  <si>
    <t>P00651</t>
  </si>
  <si>
    <t>P00652</t>
  </si>
  <si>
    <t>P00653</t>
  </si>
  <si>
    <t>2025-08-30</t>
  </si>
  <si>
    <t>P00654</t>
  </si>
  <si>
    <t>2026-08-08</t>
  </si>
  <si>
    <t>P00655</t>
  </si>
  <si>
    <t>2024-10-07</t>
  </si>
  <si>
    <t>P00656</t>
  </si>
  <si>
    <t>2026-07-01</t>
  </si>
  <si>
    <t>P00657</t>
  </si>
  <si>
    <t>Sneha Mehta</t>
  </si>
  <si>
    <t>2024-09-26</t>
  </si>
  <si>
    <t>P00658</t>
  </si>
  <si>
    <t>P00659</t>
  </si>
  <si>
    <t>Kavya Reddy</t>
  </si>
  <si>
    <t>P00660</t>
  </si>
  <si>
    <t>P00661</t>
  </si>
  <si>
    <t>2026-06-21</t>
  </si>
  <si>
    <t>P00662</t>
  </si>
  <si>
    <t>2025-09-07</t>
  </si>
  <si>
    <t>P00663</t>
  </si>
  <si>
    <t>2026-01-15</t>
  </si>
  <si>
    <t>P00664</t>
  </si>
  <si>
    <t>P00665</t>
  </si>
  <si>
    <t>P00666</t>
  </si>
  <si>
    <t>Riya Nair</t>
  </si>
  <si>
    <t>2024-05-06</t>
  </si>
  <si>
    <t>P00667</t>
  </si>
  <si>
    <t>Maya Verma</t>
  </si>
  <si>
    <t>P00668</t>
  </si>
  <si>
    <t>2024-10-12</t>
  </si>
  <si>
    <t>P00669</t>
  </si>
  <si>
    <t>2025-01-13</t>
  </si>
  <si>
    <t>P00670</t>
  </si>
  <si>
    <t>P00671</t>
  </si>
  <si>
    <t>2026-03-24</t>
  </si>
  <si>
    <t>P00672</t>
  </si>
  <si>
    <t>Diya Patel</t>
  </si>
  <si>
    <t>2024-07-21</t>
  </si>
  <si>
    <t>P00673</t>
  </si>
  <si>
    <t>Ishaan Rao</t>
  </si>
  <si>
    <t>2025-06-19</t>
  </si>
  <si>
    <t>P00674</t>
  </si>
  <si>
    <t>2024-06-17</t>
  </si>
  <si>
    <t>P00675</t>
  </si>
  <si>
    <t>P00676</t>
  </si>
  <si>
    <t>P00677</t>
  </si>
  <si>
    <t>2024-08-09</t>
  </si>
  <si>
    <t>P00678</t>
  </si>
  <si>
    <t>2025-02-06</t>
  </si>
  <si>
    <t>P00679</t>
  </si>
  <si>
    <t>2024-09-13</t>
  </si>
  <si>
    <t>P00680</t>
  </si>
  <si>
    <t>13/08/2026</t>
  </si>
  <si>
    <t>P00681</t>
  </si>
  <si>
    <t>P00682</t>
  </si>
  <si>
    <t>2025-12-23</t>
  </si>
  <si>
    <t>P00683</t>
  </si>
  <si>
    <t>P00684</t>
  </si>
  <si>
    <t>P00685</t>
  </si>
  <si>
    <t>2025-08-28</t>
  </si>
  <si>
    <t>P00686</t>
  </si>
  <si>
    <t>Priya Nair</t>
  </si>
  <si>
    <t>2024-11-19</t>
  </si>
  <si>
    <t>P00687</t>
  </si>
  <si>
    <t>P00688</t>
  </si>
  <si>
    <t>2025-06-09</t>
  </si>
  <si>
    <t>P00689</t>
  </si>
  <si>
    <t>P00690</t>
  </si>
  <si>
    <t>Rahul Malhotra</t>
  </si>
  <si>
    <t>P00691</t>
  </si>
  <si>
    <t>P00692</t>
  </si>
  <si>
    <t>P00693</t>
  </si>
  <si>
    <t>2025-07-22</t>
  </si>
  <si>
    <t>P00694</t>
  </si>
  <si>
    <t>P00695</t>
  </si>
  <si>
    <t>P00696</t>
  </si>
  <si>
    <t>2024-07-03</t>
  </si>
  <si>
    <t>P00697</t>
  </si>
  <si>
    <t>P00698</t>
  </si>
  <si>
    <t>P00699</t>
  </si>
  <si>
    <t>Vivaan Rao</t>
  </si>
  <si>
    <t>2025-08-27</t>
  </si>
  <si>
    <t>P00700</t>
  </si>
  <si>
    <t>P00701</t>
  </si>
  <si>
    <t>P00702</t>
  </si>
  <si>
    <t>P00703</t>
  </si>
  <si>
    <t>2024-09-06</t>
  </si>
  <si>
    <t>P00704</t>
  </si>
  <si>
    <t>Aarav Kapoor</t>
  </si>
  <si>
    <t>2024-07-31</t>
  </si>
  <si>
    <t>P00705</t>
  </si>
  <si>
    <t>2026-04-26</t>
  </si>
  <si>
    <t>P00706</t>
  </si>
  <si>
    <t>P00707</t>
  </si>
  <si>
    <t>2024-06-08</t>
  </si>
  <si>
    <t>P00708</t>
  </si>
  <si>
    <t>Zara Gupta</t>
  </si>
  <si>
    <t>P00709</t>
  </si>
  <si>
    <t>2025-10-10</t>
  </si>
  <si>
    <t>P00710</t>
  </si>
  <si>
    <t>2024-06-25</t>
  </si>
  <si>
    <t>P00711</t>
  </si>
  <si>
    <t>2025-08-05</t>
  </si>
  <si>
    <t>P00712</t>
  </si>
  <si>
    <t>Arjun Malhotra</t>
  </si>
  <si>
    <t>P00713</t>
  </si>
  <si>
    <t>2025-04-18</t>
  </si>
  <si>
    <t>P00714</t>
  </si>
  <si>
    <t>Arjun Singh</t>
  </si>
  <si>
    <t>2025-03-25</t>
  </si>
  <si>
    <t>P00715</t>
  </si>
  <si>
    <t>2026-01-09</t>
  </si>
  <si>
    <t>P00716</t>
  </si>
  <si>
    <t>P00717</t>
  </si>
  <si>
    <t>2026-08-25</t>
  </si>
  <si>
    <t>P00718</t>
  </si>
  <si>
    <t>P00719</t>
  </si>
  <si>
    <t>Ananya Nair</t>
  </si>
  <si>
    <t>P00720</t>
  </si>
  <si>
    <t>2025-04-15</t>
  </si>
  <si>
    <t>P00721</t>
  </si>
  <si>
    <t>P00722</t>
  </si>
  <si>
    <t>2026-07-28</t>
  </si>
  <si>
    <t>P00723</t>
  </si>
  <si>
    <t>P00724</t>
  </si>
  <si>
    <t>2026-02-11</t>
  </si>
  <si>
    <t>P00725</t>
  </si>
  <si>
    <t>2026-02-13</t>
  </si>
  <si>
    <t>P00726</t>
  </si>
  <si>
    <t>2024-07-06</t>
  </si>
  <si>
    <t>P00727</t>
  </si>
  <si>
    <t>2024-06-24</t>
  </si>
  <si>
    <t>P00728</t>
  </si>
  <si>
    <t>2025-04-05</t>
  </si>
  <si>
    <t>P00729</t>
  </si>
  <si>
    <t>P00730</t>
  </si>
  <si>
    <t>P00731</t>
  </si>
  <si>
    <t>2026-06-20</t>
  </si>
  <si>
    <t>P00732</t>
  </si>
  <si>
    <t>P00733</t>
  </si>
  <si>
    <t>P00734</t>
  </si>
  <si>
    <t>2025-05-31</t>
  </si>
  <si>
    <t>P00735</t>
  </si>
  <si>
    <t>P00736</t>
  </si>
  <si>
    <t>P00737</t>
  </si>
  <si>
    <t>31/10/2025</t>
  </si>
  <si>
    <t>P00738</t>
  </si>
  <si>
    <t>P00739</t>
  </si>
  <si>
    <t>P00740</t>
  </si>
  <si>
    <t>21/08/2026</t>
  </si>
  <si>
    <t>P00741</t>
  </si>
  <si>
    <t>2024-04-12</t>
  </si>
  <si>
    <t>P00742</t>
  </si>
  <si>
    <t>2025-08-01</t>
  </si>
  <si>
    <t>P00743</t>
  </si>
  <si>
    <t>29/01/2026</t>
  </si>
  <si>
    <t>P00744</t>
  </si>
  <si>
    <t>P00745</t>
  </si>
  <si>
    <t>2026-05-27</t>
  </si>
  <si>
    <t>P00746</t>
  </si>
  <si>
    <t>Neha Joshi</t>
  </si>
  <si>
    <t>2025-11-06</t>
  </si>
  <si>
    <t>P00747</t>
  </si>
  <si>
    <t>2026-07-10</t>
  </si>
  <si>
    <t>P00748</t>
  </si>
  <si>
    <t>2024-11-26</t>
  </si>
  <si>
    <t>P00749</t>
  </si>
  <si>
    <t>2024-12-11</t>
  </si>
  <si>
    <t>P00750</t>
  </si>
  <si>
    <t>2024-08-20</t>
  </si>
  <si>
    <t>P00751</t>
  </si>
  <si>
    <t>P00752</t>
  </si>
  <si>
    <t>P00753</t>
  </si>
  <si>
    <t>P00754</t>
  </si>
  <si>
    <t>2024-08-19</t>
  </si>
  <si>
    <t>P00755</t>
  </si>
  <si>
    <t>2026-03-01</t>
  </si>
  <si>
    <t>P00756</t>
  </si>
  <si>
    <t>P00757</t>
  </si>
  <si>
    <t>2025-11-11</t>
  </si>
  <si>
    <t>P00758</t>
  </si>
  <si>
    <t>2026-04-05</t>
  </si>
  <si>
    <t>P00759</t>
  </si>
  <si>
    <t>2024-04-20</t>
  </si>
  <si>
    <t>P00760</t>
  </si>
  <si>
    <t>2026-04-04</t>
  </si>
  <si>
    <t>P00761</t>
  </si>
  <si>
    <t>P00762</t>
  </si>
  <si>
    <t>2024-08-21</t>
  </si>
  <si>
    <t>P00763</t>
  </si>
  <si>
    <t>P00764</t>
  </si>
  <si>
    <t>P00765</t>
  </si>
  <si>
    <t>2024-01-27</t>
  </si>
  <si>
    <t>P00766</t>
  </si>
  <si>
    <t>2025-08-04</t>
  </si>
  <si>
    <t>P00767</t>
  </si>
  <si>
    <t>P00768</t>
  </si>
  <si>
    <t>Riya Verma</t>
  </si>
  <si>
    <t>P00769</t>
  </si>
  <si>
    <t>Ishaan Joshi</t>
  </si>
  <si>
    <t>P00770</t>
  </si>
  <si>
    <t>2025-08-06</t>
  </si>
  <si>
    <t>P00771</t>
  </si>
  <si>
    <t>P00772</t>
  </si>
  <si>
    <t>16/03/2025</t>
  </si>
  <si>
    <t>P00773</t>
  </si>
  <si>
    <t>P00774</t>
  </si>
  <si>
    <t>P00775</t>
  </si>
  <si>
    <t>2024-11-15</t>
  </si>
  <si>
    <t>P00776</t>
  </si>
  <si>
    <t>2024-12-12</t>
  </si>
  <si>
    <t>P00777</t>
  </si>
  <si>
    <t>30/07/2025</t>
  </si>
  <si>
    <t>P00778</t>
  </si>
  <si>
    <t>09/11/2024</t>
  </si>
  <si>
    <t>P00779</t>
  </si>
  <si>
    <t>Kabir Rao</t>
  </si>
  <si>
    <t>P00780</t>
  </si>
  <si>
    <t>2025-08-07</t>
  </si>
  <si>
    <t>P00781</t>
  </si>
  <si>
    <t>2025-09-28</t>
  </si>
  <si>
    <t>P00782</t>
  </si>
  <si>
    <t>2025-10-03</t>
  </si>
  <si>
    <t>P00783</t>
  </si>
  <si>
    <t>2026-01-02</t>
  </si>
  <si>
    <t>P00784</t>
  </si>
  <si>
    <t>2024-04-21</t>
  </si>
  <si>
    <t>P00785</t>
  </si>
  <si>
    <t>2025-05-30</t>
  </si>
  <si>
    <t>P00786</t>
  </si>
  <si>
    <t>P00787</t>
  </si>
  <si>
    <t>P00788</t>
  </si>
  <si>
    <t>2024-05-02</t>
  </si>
  <si>
    <t>P00789</t>
  </si>
  <si>
    <t>05/05/2025</t>
  </si>
  <si>
    <t>P00790</t>
  </si>
  <si>
    <t>P00791</t>
  </si>
  <si>
    <t>P00792</t>
  </si>
  <si>
    <t>2026-06-09</t>
  </si>
  <si>
    <t>P00793</t>
  </si>
  <si>
    <t>P00794</t>
  </si>
  <si>
    <t>P00795</t>
  </si>
  <si>
    <t>Isha Singh</t>
  </si>
  <si>
    <t>P00796</t>
  </si>
  <si>
    <t>18/05/2026</t>
  </si>
  <si>
    <t>P00797</t>
  </si>
  <si>
    <t>2025-08-21</t>
  </si>
  <si>
    <t>P00798</t>
  </si>
  <si>
    <t>Ishaan Reddy</t>
  </si>
  <si>
    <t>2025-11-15</t>
  </si>
  <si>
    <t>P00799</t>
  </si>
  <si>
    <t>2026-07-16</t>
  </si>
  <si>
    <t>P00800</t>
  </si>
  <si>
    <t>2025-10-01</t>
  </si>
  <si>
    <t>P00801</t>
  </si>
  <si>
    <t>2024-12-20</t>
  </si>
  <si>
    <t>P00802</t>
  </si>
  <si>
    <t>2026-03-08</t>
  </si>
  <si>
    <t>P00803</t>
  </si>
  <si>
    <t>P00804</t>
  </si>
  <si>
    <t>2025-09-11</t>
  </si>
  <si>
    <t>P00805</t>
  </si>
  <si>
    <t>P00806</t>
  </si>
  <si>
    <t>P00807</t>
  </si>
  <si>
    <t>2026-07-25</t>
  </si>
  <si>
    <t>P00808</t>
  </si>
  <si>
    <t>P00809</t>
  </si>
  <si>
    <t>P00810</t>
  </si>
  <si>
    <t>2024-06-11</t>
  </si>
  <si>
    <t>P00811</t>
  </si>
  <si>
    <t>P00812</t>
  </si>
  <si>
    <t>2024-12-15</t>
  </si>
  <si>
    <t>P00813</t>
  </si>
  <si>
    <t>2026-03-16</t>
  </si>
  <si>
    <t>P00814</t>
  </si>
  <si>
    <t>P00815</t>
  </si>
  <si>
    <t>P00816</t>
  </si>
  <si>
    <t>2025-01-20</t>
  </si>
  <si>
    <t>P00817</t>
  </si>
  <si>
    <t>P00818</t>
  </si>
  <si>
    <t>P00819</t>
  </si>
  <si>
    <t>P00820</t>
  </si>
  <si>
    <t>2025-10-19</t>
  </si>
  <si>
    <t>P00821</t>
  </si>
  <si>
    <t>2024-08-12</t>
  </si>
  <si>
    <t>P00822</t>
  </si>
  <si>
    <t>26/08/2025</t>
  </si>
  <si>
    <t>P00823</t>
  </si>
  <si>
    <t>18/01/2025</t>
  </si>
  <si>
    <t>P00824</t>
  </si>
  <si>
    <t>2025-02-19</t>
  </si>
  <si>
    <t>P00825</t>
  </si>
  <si>
    <t>P00826</t>
  </si>
  <si>
    <t>P00827</t>
  </si>
  <si>
    <t>2025-01-11</t>
  </si>
  <si>
    <t>P00828</t>
  </si>
  <si>
    <t>2024-05-03</t>
  </si>
  <si>
    <t>P00829</t>
  </si>
  <si>
    <t>2025-01-21</t>
  </si>
  <si>
    <t>P00830</t>
  </si>
  <si>
    <t>2026-06-11</t>
  </si>
  <si>
    <t>P00831</t>
  </si>
  <si>
    <t>2024-06-16</t>
  </si>
  <si>
    <t>P00832</t>
  </si>
  <si>
    <t>2025-07-09</t>
  </si>
  <si>
    <t>P00833</t>
  </si>
  <si>
    <t>2025-09-05</t>
  </si>
  <si>
    <t>P00834</t>
  </si>
  <si>
    <t>2026-08-22</t>
  </si>
  <si>
    <t>P00835</t>
  </si>
  <si>
    <t>P00836</t>
  </si>
  <si>
    <t>2026-09-01</t>
  </si>
  <si>
    <t>P00837</t>
  </si>
  <si>
    <t>17/12/2024</t>
  </si>
  <si>
    <t>P00838</t>
  </si>
  <si>
    <t>P00839</t>
  </si>
  <si>
    <t>Aarav Joshi</t>
  </si>
  <si>
    <t>2025-04-10</t>
  </si>
  <si>
    <t>P00840</t>
  </si>
  <si>
    <t>2025-03-31</t>
  </si>
  <si>
    <t>P00841</t>
  </si>
  <si>
    <t>P00842</t>
  </si>
  <si>
    <t>2025-08-20</t>
  </si>
  <si>
    <t>P00843</t>
  </si>
  <si>
    <t>P00844</t>
  </si>
  <si>
    <t>P00845</t>
  </si>
  <si>
    <t>2024-05-16</t>
  </si>
  <si>
    <t>P00846</t>
  </si>
  <si>
    <t>2025-05-04</t>
  </si>
  <si>
    <t>P00847</t>
  </si>
  <si>
    <t>P00848</t>
  </si>
  <si>
    <t>06/06/2026</t>
  </si>
  <si>
    <t>P00849</t>
  </si>
  <si>
    <t>P00850</t>
  </si>
  <si>
    <t>P00851</t>
  </si>
  <si>
    <t>P00852</t>
  </si>
  <si>
    <t>P00853</t>
  </si>
  <si>
    <t>P00854</t>
  </si>
  <si>
    <t>P00855</t>
  </si>
  <si>
    <t>25/02/2024</t>
  </si>
  <si>
    <t>P00856</t>
  </si>
  <si>
    <t>2025-03-16</t>
  </si>
  <si>
    <t>P00857</t>
  </si>
  <si>
    <t>20/09/2025</t>
  </si>
  <si>
    <t>P00858</t>
  </si>
  <si>
    <t>2026-05-19</t>
  </si>
  <si>
    <t>P00859</t>
  </si>
  <si>
    <t>P00860</t>
  </si>
  <si>
    <t>2025-02-17</t>
  </si>
  <si>
    <t>P00861</t>
  </si>
  <si>
    <t>P00862</t>
  </si>
  <si>
    <t>2026-05-24</t>
  </si>
  <si>
    <t>P00863</t>
  </si>
  <si>
    <t>P00864</t>
  </si>
  <si>
    <t>P00865</t>
  </si>
  <si>
    <t>P00866</t>
  </si>
  <si>
    <t>P00867</t>
  </si>
  <si>
    <t>Kabir Reddy</t>
  </si>
  <si>
    <t>2025-07-08</t>
  </si>
  <si>
    <t>P00868</t>
  </si>
  <si>
    <t>P00869</t>
  </si>
  <si>
    <t>Neha Mehta</t>
  </si>
  <si>
    <t>2026-02-15</t>
  </si>
  <si>
    <t>P00870</t>
  </si>
  <si>
    <t>P00871</t>
  </si>
  <si>
    <t>2024-12-26</t>
  </si>
  <si>
    <t>P00872</t>
  </si>
  <si>
    <t>P00873</t>
  </si>
  <si>
    <t>2024-06-06</t>
  </si>
  <si>
    <t>P00874</t>
  </si>
  <si>
    <t>P00875</t>
  </si>
  <si>
    <t>2026-08-05</t>
  </si>
  <si>
    <t>P00876</t>
  </si>
  <si>
    <t>P00877</t>
  </si>
  <si>
    <t>2026-05-14</t>
  </si>
  <si>
    <t>P00878</t>
  </si>
  <si>
    <t>P00879</t>
  </si>
  <si>
    <t>2025-08-25</t>
  </si>
  <si>
    <t>P00880</t>
  </si>
  <si>
    <t>2026-07-07</t>
  </si>
  <si>
    <t>P00881</t>
  </si>
  <si>
    <t>2024-02-10</t>
  </si>
  <si>
    <t>P00882</t>
  </si>
  <si>
    <t>2026-03-05</t>
  </si>
  <si>
    <t>P00883</t>
  </si>
  <si>
    <t>2026-08-10</t>
  </si>
  <si>
    <t>P00884</t>
  </si>
  <si>
    <t>P00885</t>
  </si>
  <si>
    <t>P00886</t>
  </si>
  <si>
    <t>P00887</t>
  </si>
  <si>
    <t>2026-07-18</t>
  </si>
  <si>
    <t>P00888</t>
  </si>
  <si>
    <t>P00889</t>
  </si>
  <si>
    <t>2026-03-21</t>
  </si>
  <si>
    <t>P00890</t>
  </si>
  <si>
    <t>P00891</t>
  </si>
  <si>
    <t>P00892</t>
  </si>
  <si>
    <t>2025-10-24</t>
  </si>
  <si>
    <t>P00893</t>
  </si>
  <si>
    <t>P00894</t>
  </si>
  <si>
    <t>2025-05-07</t>
  </si>
  <si>
    <t>P00895</t>
  </si>
  <si>
    <t>2026-08-04</t>
  </si>
  <si>
    <t>P00896</t>
  </si>
  <si>
    <t>P00897</t>
  </si>
  <si>
    <t>P00898</t>
  </si>
  <si>
    <t>P00899</t>
  </si>
  <si>
    <t>2024-03-17</t>
  </si>
  <si>
    <t>P00900</t>
  </si>
  <si>
    <t>2024-12-07</t>
  </si>
  <si>
    <t>P00901</t>
  </si>
  <si>
    <t>17/07/2026</t>
  </si>
  <si>
    <t>P00902</t>
  </si>
  <si>
    <t>P00903</t>
  </si>
  <si>
    <t>P00904</t>
  </si>
  <si>
    <t>P00905</t>
  </si>
  <si>
    <t>2025-11-18</t>
  </si>
  <si>
    <t>P00906</t>
  </si>
  <si>
    <t>P00907</t>
  </si>
  <si>
    <t>29/05/2024</t>
  </si>
  <si>
    <t>P00908</t>
  </si>
  <si>
    <t>2024-03-02</t>
  </si>
  <si>
    <t>P00909</t>
  </si>
  <si>
    <t>P00910</t>
  </si>
  <si>
    <t>P00911</t>
  </si>
  <si>
    <t>P00912</t>
  </si>
  <si>
    <t>P00913</t>
  </si>
  <si>
    <t>P00914</t>
  </si>
  <si>
    <t xml:space="preserve">Female </t>
  </si>
  <si>
    <t>P00915</t>
  </si>
  <si>
    <t>Isha Rao</t>
  </si>
  <si>
    <t>P00916</t>
  </si>
  <si>
    <t>P00917</t>
  </si>
  <si>
    <t>2024-02-16</t>
  </si>
  <si>
    <t>P00918</t>
  </si>
  <si>
    <t>P00919</t>
  </si>
  <si>
    <t>2024-03-15</t>
  </si>
  <si>
    <t>P00920</t>
  </si>
  <si>
    <t>P00921</t>
  </si>
  <si>
    <t>Riya Rao</t>
  </si>
  <si>
    <t>P00922</t>
  </si>
  <si>
    <t>2025-09-13</t>
  </si>
  <si>
    <t>P00923</t>
  </si>
  <si>
    <t>2024-08-13</t>
  </si>
  <si>
    <t>P00924</t>
  </si>
  <si>
    <t>P00925</t>
  </si>
  <si>
    <t>P00926</t>
  </si>
  <si>
    <t>17/05/2025</t>
  </si>
  <si>
    <t>P00927</t>
  </si>
  <si>
    <t>P00928</t>
  </si>
  <si>
    <t>P00929</t>
  </si>
  <si>
    <t>P00930</t>
  </si>
  <si>
    <t>P00931</t>
  </si>
  <si>
    <t>2026-01-13</t>
  </si>
  <si>
    <t>P00932</t>
  </si>
  <si>
    <t>P00933</t>
  </si>
  <si>
    <t>P00934</t>
  </si>
  <si>
    <t>P00935</t>
  </si>
  <si>
    <t>2025-08-24</t>
  </si>
  <si>
    <t>P00936</t>
  </si>
  <si>
    <t>P00937</t>
  </si>
  <si>
    <t>P00938</t>
  </si>
  <si>
    <t>P00939</t>
  </si>
  <si>
    <t>2024-03-13</t>
  </si>
  <si>
    <t>P00940</t>
  </si>
  <si>
    <t>P00941</t>
  </si>
  <si>
    <t>2026-08-21</t>
  </si>
  <si>
    <t>P00942</t>
  </si>
  <si>
    <t>P00943</t>
  </si>
  <si>
    <t>P00944</t>
  </si>
  <si>
    <t>P00945</t>
  </si>
  <si>
    <t>P00946</t>
  </si>
  <si>
    <t>2024-10-19</t>
  </si>
  <si>
    <t>P00947</t>
  </si>
  <si>
    <t>12/04/2025</t>
  </si>
  <si>
    <t>P00948</t>
  </si>
  <si>
    <t>P00949</t>
  </si>
  <si>
    <t>P00950</t>
  </si>
  <si>
    <t>2025-10-27</t>
  </si>
  <si>
    <t>P00951</t>
  </si>
  <si>
    <t xml:space="preserve">  John   Doe  </t>
  </si>
  <si>
    <t>P00952</t>
  </si>
  <si>
    <t>2025-11-19</t>
  </si>
  <si>
    <t>P00953</t>
  </si>
  <si>
    <t>2026-07-09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</si>
  <si>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</si>
  <si>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</si>
  <si>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</si>
  <si>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</si>
  <si>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</si>
  <si>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</si>
  <si>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</si>
  <si>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</si>
  <si>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Maya Reddy</t>
  </si>
  <si>
    <t>2026-08-07</t>
  </si>
  <si>
    <t>P00962</t>
  </si>
  <si>
    <t>2025-03-05</t>
  </si>
  <si>
    <t>P00963</t>
  </si>
  <si>
    <t>2025-02-22</t>
  </si>
  <si>
    <t>P00964</t>
  </si>
  <si>
    <t>2025-06-14</t>
  </si>
  <si>
    <t>P00965</t>
  </si>
  <si>
    <t>P00966</t>
  </si>
  <si>
    <t>12/02/2026</t>
  </si>
  <si>
    <t>P00967</t>
  </si>
  <si>
    <t>P00968</t>
  </si>
  <si>
    <t>2025-12-12</t>
  </si>
  <si>
    <t>P00969</t>
  </si>
  <si>
    <t>P00970</t>
  </si>
  <si>
    <t>28/06/2025</t>
  </si>
  <si>
    <t>P00971</t>
  </si>
  <si>
    <t>P00972</t>
  </si>
  <si>
    <t>P00973</t>
  </si>
  <si>
    <t>2024-03-22</t>
  </si>
  <si>
    <t>P00974</t>
  </si>
  <si>
    <t>P00975</t>
  </si>
  <si>
    <t>P00976</t>
  </si>
  <si>
    <t>P00977</t>
  </si>
  <si>
    <t>P00978</t>
  </si>
  <si>
    <t>P00979</t>
  </si>
  <si>
    <t>P00980</t>
  </si>
  <si>
    <t>2025-11-16</t>
  </si>
  <si>
    <t>P00981</t>
  </si>
  <si>
    <t>2024-12-06</t>
  </si>
  <si>
    <t>P00982</t>
  </si>
  <si>
    <t>P00983</t>
  </si>
  <si>
    <t>2025-06-16</t>
  </si>
  <si>
    <t>P00984</t>
  </si>
  <si>
    <t>2026-01-26</t>
  </si>
  <si>
    <t>P00985</t>
  </si>
  <si>
    <t>P00986</t>
  </si>
  <si>
    <t>P00987</t>
  </si>
  <si>
    <t>2024-05-25</t>
  </si>
  <si>
    <t>P00988</t>
  </si>
  <si>
    <t>P00989</t>
  </si>
  <si>
    <t>P00990</t>
  </si>
  <si>
    <t>P00991</t>
  </si>
  <si>
    <t>2025-08-14</t>
  </si>
  <si>
    <t>P00992</t>
  </si>
  <si>
    <t>2025-06-23</t>
  </si>
  <si>
    <t>P00993</t>
  </si>
  <si>
    <t>P00994</t>
  </si>
  <si>
    <t>2024-07-08</t>
  </si>
  <si>
    <t>P00995</t>
  </si>
  <si>
    <t>Ishaan Verma</t>
  </si>
  <si>
    <t>P00996</t>
  </si>
  <si>
    <t>2026-04-23</t>
  </si>
  <si>
    <t>P00997</t>
  </si>
  <si>
    <t>P00998</t>
  </si>
  <si>
    <t>2025-04-02</t>
  </si>
  <si>
    <t>P00999</t>
  </si>
  <si>
    <t>2025-10-28</t>
  </si>
  <si>
    <t>P01000</t>
  </si>
  <si>
    <t>2024-11-30</t>
  </si>
  <si>
    <t>Total_Treatment_cost</t>
  </si>
  <si>
    <t>Patient_Category</t>
  </si>
  <si>
    <t>Waiting_Category</t>
  </si>
  <si>
    <t>Hygeia Hmo</t>
  </si>
  <si>
    <t>Adult</t>
  </si>
  <si>
    <t>Long Wait</t>
  </si>
  <si>
    <t>Iv Therapy</t>
  </si>
  <si>
    <t>Yound Adult</t>
  </si>
  <si>
    <t>Excellent</t>
  </si>
  <si>
    <t>Abuja (Fct)</t>
  </si>
  <si>
    <t>Nhia</t>
  </si>
  <si>
    <t>Self Pay</t>
  </si>
  <si>
    <t>Avon Hmo</t>
  </si>
  <si>
    <t>Senior</t>
  </si>
  <si>
    <t>Axa Mansard</t>
  </si>
  <si>
    <t>Mediplus</t>
  </si>
  <si>
    <t>Acceptable</t>
  </si>
  <si>
    <t>Reliance Hmo</t>
  </si>
  <si>
    <t>Child</t>
  </si>
  <si>
    <t>Avg Billing Per Patient</t>
  </si>
  <si>
    <t>Avg Waiting Time</t>
  </si>
  <si>
    <t>Avg Length Of Stay</t>
  </si>
  <si>
    <t>oncology</t>
  </si>
  <si>
    <t>cardiology</t>
  </si>
  <si>
    <t>general medicine</t>
  </si>
  <si>
    <t>pediatrics</t>
  </si>
  <si>
    <t>neurology</t>
  </si>
  <si>
    <t>orthopedics</t>
  </si>
  <si>
    <t>number of emergency per department</t>
  </si>
  <si>
    <t>Total Hospital Revenue</t>
  </si>
  <si>
    <t>dermatology</t>
  </si>
  <si>
    <t>Readmission rate %</t>
  </si>
  <si>
    <t>Patient with unpaid bills%</t>
  </si>
  <si>
    <t>surgery</t>
  </si>
  <si>
    <t>revenue by department</t>
  </si>
  <si>
    <t>Average patient rating by department</t>
  </si>
  <si>
    <t>find doctors by their dept</t>
  </si>
  <si>
    <t>patients with bills above 500,000</t>
  </si>
  <si>
    <t>List of diagnoses</t>
  </si>
  <si>
    <t>John   Doe</t>
  </si>
  <si>
    <t>doctors ranking by number of patients treated</t>
  </si>
  <si>
    <t>Row Labels</t>
  </si>
  <si>
    <t>Grand Total</t>
  </si>
  <si>
    <t>Count of Patient_ID</t>
  </si>
  <si>
    <t>Sum of Total_Treatment_cost</t>
  </si>
  <si>
    <t>Average of Waiting_Time</t>
  </si>
  <si>
    <t>Average of Patient_Rating</t>
  </si>
  <si>
    <t>Count of Readmission</t>
  </si>
  <si>
    <t>Average of Length_of_Stay</t>
  </si>
  <si>
    <t>2024</t>
  </si>
  <si>
    <t>2025</t>
  </si>
  <si>
    <t>2026</t>
  </si>
  <si>
    <t>Count of Months (Admission_Date)</t>
  </si>
  <si>
    <t>Count of 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</si>
</sst>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peter.xlsx]Sheet2!Number Of patient by Dept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Patient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9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Maternity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  <c:pt idx="8">
                  <c:v>Surgery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140</c:v>
                </c:pt>
                <c:pt idx="1">
                  <c:v>85</c:v>
                </c:pt>
                <c:pt idx="2">
                  <c:v>158</c:v>
                </c:pt>
                <c:pt idx="3">
                  <c:v>79</c:v>
                </c:pt>
                <c:pt idx="4">
                  <c:v>64</c:v>
                </c:pt>
                <c:pt idx="5">
                  <c:v>77</c:v>
                </c:pt>
                <c:pt idx="6">
                  <c:v>66</c:v>
                </c:pt>
                <c:pt idx="7">
                  <c:v>78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F-4386-9BC3-F30F1B10E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817551"/>
        <c:axId val="36621583"/>
      </c:barChart>
      <c:catAx>
        <c:axId val="144981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1583"/>
        <c:crosses val="autoZero"/>
        <c:auto val="1"/>
        <c:lblAlgn val="ctr"/>
        <c:lblOffset val="100"/>
        <c:noMultiLvlLbl val="0"/>
      </c:catAx>
      <c:valAx>
        <c:axId val="3662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1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peter.xlsx]Sheet3!Revenue by department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Maternity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  <c:pt idx="8">
                  <c:v>Surgery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40254066.890000015</c:v>
                </c:pt>
                <c:pt idx="1">
                  <c:v>25728625.290000003</c:v>
                </c:pt>
                <c:pt idx="2">
                  <c:v>47674476.100000001</c:v>
                </c:pt>
                <c:pt idx="3">
                  <c:v>23768773.640000001</c:v>
                </c:pt>
                <c:pt idx="4">
                  <c:v>19589682.519999996</c:v>
                </c:pt>
                <c:pt idx="5">
                  <c:v>24475192.270000003</c:v>
                </c:pt>
                <c:pt idx="6">
                  <c:v>19119754.93</c:v>
                </c:pt>
                <c:pt idx="7">
                  <c:v>23289883.399999999</c:v>
                </c:pt>
                <c:pt idx="8">
                  <c:v>20539712.24000001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A-4115-8E28-856268541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843535"/>
        <c:axId val="36611503"/>
      </c:barChart>
      <c:catAx>
        <c:axId val="144984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1503"/>
        <c:crosses val="autoZero"/>
        <c:auto val="1"/>
        <c:lblAlgn val="ctr"/>
        <c:lblOffset val="100"/>
        <c:noMultiLvlLbl val="0"/>
      </c:catAx>
      <c:valAx>
        <c:axId val="3661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peter.xlsx]Sheet4!Patients by admission type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Patients by Admission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170</c:v>
                </c:pt>
                <c:pt idx="1">
                  <c:v>318</c:v>
                </c:pt>
                <c:pt idx="2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C-4889-8B39-9C321FAA5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849567"/>
        <c:axId val="36612943"/>
      </c:barChart>
      <c:catAx>
        <c:axId val="144984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2943"/>
        <c:crosses val="autoZero"/>
        <c:auto val="1"/>
        <c:lblAlgn val="ctr"/>
        <c:lblOffset val="100"/>
        <c:noMultiLvlLbl val="0"/>
      </c:catAx>
      <c:valAx>
        <c:axId val="3661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peter.xlsx]Sheet5!Average waiting time by department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waiting time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101.03037383177571</c:v>
                </c:pt>
                <c:pt idx="1">
                  <c:v>99.352185089974299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A-4DC6-A265-580DAB776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9871839"/>
        <c:axId val="36645583"/>
      </c:barChart>
      <c:catAx>
        <c:axId val="1449871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5583"/>
        <c:crosses val="autoZero"/>
        <c:auto val="1"/>
        <c:lblAlgn val="ctr"/>
        <c:lblOffset val="100"/>
        <c:noMultiLvlLbl val="0"/>
      </c:catAx>
      <c:valAx>
        <c:axId val="3664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7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peter.xlsx]Sheet6!Average patient rating by department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patient rating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Sheet6!$A$4:$A$13</c:f>
              <c:strCache>
                <c:ptCount val="9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Maternity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  <c:pt idx="8">
                  <c:v>Surgery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9"/>
                <c:pt idx="0">
                  <c:v>3.7485714285714282</c:v>
                </c:pt>
                <c:pt idx="1">
                  <c:v>3.5811764705882365</c:v>
                </c:pt>
                <c:pt idx="2">
                  <c:v>3.50886075949367</c:v>
                </c:pt>
                <c:pt idx="3">
                  <c:v>3.8151898734177214</c:v>
                </c:pt>
                <c:pt idx="4">
                  <c:v>3.4656249999999997</c:v>
                </c:pt>
                <c:pt idx="5">
                  <c:v>3.448051948051948</c:v>
                </c:pt>
                <c:pt idx="6">
                  <c:v>3.6106060606060604</c:v>
                </c:pt>
                <c:pt idx="7">
                  <c:v>3.7025641025641014</c:v>
                </c:pt>
                <c:pt idx="8">
                  <c:v>3.6357142857142852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8-4393-8491-CB35B335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1126959"/>
        <c:axId val="36623983"/>
      </c:barChart>
      <c:catAx>
        <c:axId val="1331126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3983"/>
        <c:crosses val="autoZero"/>
        <c:auto val="1"/>
        <c:lblAlgn val="ctr"/>
        <c:lblOffset val="100"/>
        <c:noMultiLvlLbl val="0"/>
      </c:catAx>
      <c:valAx>
        <c:axId val="3662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2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peter.xlsx]Sheet7!Revenue by state.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Revenue by state.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Sheet7!$A$4:$A$16</c:f>
              <c:strCache>
                <c:ptCount val="12"/>
                <c:pt idx="0">
                  <c:v>Abuja (Fct)</c:v>
                </c:pt>
                <c:pt idx="1">
                  <c:v>Anambra</c:v>
                </c:pt>
                <c:pt idx="2">
                  <c:v>Delta</c:v>
                </c:pt>
                <c:pt idx="3">
                  <c:v>Edo</c:v>
                </c:pt>
                <c:pt idx="4">
                  <c:v>Enugu</c:v>
                </c:pt>
                <c:pt idx="5">
                  <c:v>Kaduna</c:v>
                </c:pt>
                <c:pt idx="6">
                  <c:v>Kano</c:v>
                </c:pt>
                <c:pt idx="7">
                  <c:v>Kwara</c:v>
                </c:pt>
                <c:pt idx="8">
                  <c:v>Lagos</c:v>
                </c:pt>
                <c:pt idx="9">
                  <c:v>Ogun</c:v>
                </c:pt>
                <c:pt idx="10">
                  <c:v>Oyo</c:v>
                </c:pt>
                <c:pt idx="11">
                  <c:v>Rivers</c:v>
                </c:pt>
              </c:strCache>
            </c:strRef>
          </c:cat>
          <c:val>
            <c:numRef>
              <c:f>Sheet7!$B$4:$B$16</c:f>
              <c:numCache>
                <c:formatCode>General</c:formatCode>
                <c:ptCount val="12"/>
                <c:pt idx="0">
                  <c:v>19050427.899999991</c:v>
                </c:pt>
                <c:pt idx="1">
                  <c:v>20358512.020000007</c:v>
                </c:pt>
                <c:pt idx="2">
                  <c:v>12163179.950000003</c:v>
                </c:pt>
                <c:pt idx="3">
                  <c:v>16489336.579999996</c:v>
                </c:pt>
                <c:pt idx="4">
                  <c:v>20763813.949999999</c:v>
                </c:pt>
                <c:pt idx="5">
                  <c:v>17696471.830000002</c:v>
                </c:pt>
                <c:pt idx="6">
                  <c:v>15033292.179999998</c:v>
                </c:pt>
                <c:pt idx="7">
                  <c:v>12708861.689999999</c:v>
                </c:pt>
                <c:pt idx="8">
                  <c:v>52263349.100000024</c:v>
                </c:pt>
                <c:pt idx="9">
                  <c:v>15045727.93</c:v>
                </c:pt>
                <c:pt idx="10">
                  <c:v>16073026.599999996</c:v>
                </c:pt>
                <c:pt idx="11">
                  <c:v>26794167.550000008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A-4D1D-9463-F6DCC831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1129279"/>
        <c:axId val="36574543"/>
      </c:barChart>
      <c:catAx>
        <c:axId val="1331129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4543"/>
        <c:crosses val="autoZero"/>
        <c:auto val="1"/>
        <c:lblAlgn val="ctr"/>
        <c:lblOffset val="100"/>
        <c:noMultiLvlLbl val="0"/>
      </c:catAx>
      <c:valAx>
        <c:axId val="3657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2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peter.xlsx]Sheet8!Number of readmissions by department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Number of readmissions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Sheet8!$A$4:$A$13</c:f>
              <c:strCache>
                <c:ptCount val="9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Maternity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  <c:pt idx="8">
                  <c:v>Surgery</c:v>
                </c:pt>
              </c:strCache>
            </c:strRef>
          </c:cat>
          <c:val>
            <c:numRef>
              <c:f>Sheet8!$B$4:$B$13</c:f>
              <c:numCache>
                <c:formatCode>General</c:formatCode>
                <c:ptCount val="9"/>
                <c:pt idx="0">
                  <c:v>140</c:v>
                </c:pt>
                <c:pt idx="1">
                  <c:v>85</c:v>
                </c:pt>
                <c:pt idx="2">
                  <c:v>158</c:v>
                </c:pt>
                <c:pt idx="3">
                  <c:v>79</c:v>
                </c:pt>
                <c:pt idx="4">
                  <c:v>64</c:v>
                </c:pt>
                <c:pt idx="5">
                  <c:v>77</c:v>
                </c:pt>
                <c:pt idx="6">
                  <c:v>66</c:v>
                </c:pt>
                <c:pt idx="7">
                  <c:v>78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0-4412-9CD9-24E577F27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879263"/>
        <c:axId val="36627823"/>
      </c:barChart>
      <c:catAx>
        <c:axId val="144987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7823"/>
        <c:crosses val="autoZero"/>
        <c:auto val="1"/>
        <c:lblAlgn val="ctr"/>
        <c:lblOffset val="100"/>
        <c:noMultiLvlLbl val="0"/>
      </c:catAx>
      <c:valAx>
        <c:axId val="3662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7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peter.xlsx]Sheet9!Average length of stay by diagnosis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length of stay by diagnosis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Sheet9!$A$4:$A$16</c:f>
              <c:strCache>
                <c:ptCount val="12"/>
                <c:pt idx="0">
                  <c:v>Anemia</c:v>
                </c:pt>
                <c:pt idx="1">
                  <c:v>Appendicitis</c:v>
                </c:pt>
                <c:pt idx="2">
                  <c:v>Asthma</c:v>
                </c:pt>
                <c:pt idx="3">
                  <c:v>Diabetes</c:v>
                </c:pt>
                <c:pt idx="4">
                  <c:v>Fracture</c:v>
                </c:pt>
                <c:pt idx="5">
                  <c:v>Gastritis</c:v>
                </c:pt>
                <c:pt idx="6">
                  <c:v>Heart Disease</c:v>
                </c:pt>
                <c:pt idx="7">
                  <c:v>Hypertension</c:v>
                </c:pt>
                <c:pt idx="8">
                  <c:v>Kidney Infection</c:v>
                </c:pt>
                <c:pt idx="9">
                  <c:v>Malaria</c:v>
                </c:pt>
                <c:pt idx="10">
                  <c:v>Migraine</c:v>
                </c:pt>
                <c:pt idx="11">
                  <c:v>Pneumonia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3.2857142857142856</c:v>
                </c:pt>
                <c:pt idx="1">
                  <c:v>3.2678571428571428</c:v>
                </c:pt>
                <c:pt idx="2">
                  <c:v>3.6949152542372881</c:v>
                </c:pt>
                <c:pt idx="3">
                  <c:v>3.125</c:v>
                </c:pt>
                <c:pt idx="4">
                  <c:v>3.5925925925925926</c:v>
                </c:pt>
                <c:pt idx="5">
                  <c:v>3.5283018867924527</c:v>
                </c:pt>
                <c:pt idx="6">
                  <c:v>3.4117647058823528</c:v>
                </c:pt>
                <c:pt idx="7">
                  <c:v>3.6923076923076925</c:v>
                </c:pt>
                <c:pt idx="8">
                  <c:v>3.8695652173913042</c:v>
                </c:pt>
                <c:pt idx="9">
                  <c:v>2.8688524590163933</c:v>
                </c:pt>
                <c:pt idx="10">
                  <c:v>4.5</c:v>
                </c:pt>
                <c:pt idx="11">
                  <c:v>3.7168141592920354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8-4ADD-AEF6-422A715D5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433056"/>
        <c:axId val="36626383"/>
      </c:barChart>
      <c:catAx>
        <c:axId val="26343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6383"/>
        <c:crosses val="autoZero"/>
        <c:auto val="1"/>
        <c:lblAlgn val="ctr"/>
        <c:lblOffset val="100"/>
        <c:noMultiLvlLbl val="0"/>
      </c:catAx>
      <c:valAx>
        <c:axId val="3662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3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peter.xlsx]Sheet10!Monthly admission trend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Sheet10!$A$4:$A$7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Sheet10!$B$4:$B$7</c:f>
              <c:numCache>
                <c:formatCode>General</c:formatCode>
                <c:ptCount val="3"/>
                <c:pt idx="0">
                  <c:v>295</c:v>
                </c:pt>
                <c:pt idx="1">
                  <c:v>323</c:v>
                </c:pt>
                <c:pt idx="2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0-4EFA-BE7B-322489469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216848"/>
        <c:axId val="36641263"/>
      </c:lineChart>
      <c:catAx>
        <c:axId val="26521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1263"/>
        <c:crosses val="autoZero"/>
        <c:auto val="1"/>
        <c:lblAlgn val="ctr"/>
        <c:lblOffset val="100"/>
        <c:noMultiLvlLbl val="0"/>
      </c:catAx>
      <c:valAx>
        <c:axId val="3664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1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[hospital_internsip peter.xlsx]Sheet11!Payment status by department.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Payment status by department.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Sheet11!$A$4:$A$13</c:f>
              <c:strCache>
                <c:ptCount val="9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Maternity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  <c:pt idx="8">
                  <c:v>Surgery</c:v>
                </c:pt>
              </c:strCache>
            </c:strRef>
          </c:cat>
          <c:val>
            <c:numRef>
              <c:f>Sheet11!$B$4:$B$13</c:f>
              <c:numCache>
                <c:formatCode>General</c:formatCode>
                <c:ptCount val="9"/>
                <c:pt idx="0">
                  <c:v>140</c:v>
                </c:pt>
                <c:pt idx="1">
                  <c:v>85</c:v>
                </c:pt>
                <c:pt idx="2">
                  <c:v>158</c:v>
                </c:pt>
                <c:pt idx="3">
                  <c:v>79</c:v>
                </c:pt>
                <c:pt idx="4">
                  <c:v>64</c:v>
                </c:pt>
                <c:pt idx="5">
                  <c:v>77</c:v>
                </c:pt>
                <c:pt idx="6">
                  <c:v>66</c:v>
                </c:pt>
                <c:pt idx="7">
                  <c:v>78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1-4FE9-A747-85D7F88FA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822191"/>
        <c:axId val="36598063"/>
      </c:barChart>
      <c:catAx>
        <c:axId val="144982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8063"/>
        <c:crosses val="autoZero"/>
        <c:auto val="1"/>
        <c:lblAlgn val="ctr"/>
        <c:lblOffset val="100"/>
        <c:noMultiLvlLbl val="0"/>
      </c:catAx>
      <c:valAx>
        <c:axId val="3659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2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155575</xdr:rowOff>
    </xdr:from>
    <xdr:to>
      <xdr:col>11</xdr:col>
      <xdr:colOff>295275</xdr:colOff>
      <xdr:row>16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6E814-C4F2-72EC-37B9-1225A9EB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434975</xdr:colOff>
      <xdr:row>1</xdr:row>
      <xdr:rowOff>149225</xdr:rowOff>
    </xdr:from>
    <xdr:to>
      <xdr:col>10</xdr:col>
      <xdr:colOff>130175</xdr:colOff>
      <xdr:row>16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A1F5F-0B7E-C0EA-66B8-2608CC19E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1</xdr:row>
      <xdr:rowOff>174625</xdr:rowOff>
    </xdr:from>
    <xdr:to>
      <xdr:col>10</xdr:col>
      <xdr:colOff>511175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3C186-2FC4-2D43-1412-702B832C3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479425</xdr:colOff>
      <xdr:row>1</xdr:row>
      <xdr:rowOff>155575</xdr:rowOff>
    </xdr:from>
    <xdr:to>
      <xdr:col>10</xdr:col>
      <xdr:colOff>174625</xdr:colOff>
      <xdr:row>16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60206-F13E-547B-1708-DAAF174A5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1</xdr:row>
      <xdr:rowOff>174625</xdr:rowOff>
    </xdr:from>
    <xdr:to>
      <xdr:col>10</xdr:col>
      <xdr:colOff>511175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3E842-7988-C52D-6622-55D997C88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498475</xdr:colOff>
      <xdr:row>1</xdr:row>
      <xdr:rowOff>34925</xdr:rowOff>
    </xdr:from>
    <xdr:to>
      <xdr:col>10</xdr:col>
      <xdr:colOff>193675</xdr:colOff>
      <xdr:row>16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8970A-07CE-2D74-AA6A-B6D94DE94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1</xdr:row>
      <xdr:rowOff>174625</xdr:rowOff>
    </xdr:from>
    <xdr:to>
      <xdr:col>10</xdr:col>
      <xdr:colOff>511175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88E23-D2B6-CA9B-25A9-CC10267A1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1</xdr:row>
      <xdr:rowOff>174625</xdr:rowOff>
    </xdr:from>
    <xdr:to>
      <xdr:col>10</xdr:col>
      <xdr:colOff>511175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D093E-27C0-CD41-C78F-871E753F9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511175</xdr:colOff>
      <xdr:row>1</xdr:row>
      <xdr:rowOff>85725</xdr:rowOff>
    </xdr:from>
    <xdr:to>
      <xdr:col>10</xdr:col>
      <xdr:colOff>206375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53F2C-A4C4-4B8E-426F-3A4907F39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403225</xdr:colOff>
      <xdr:row>2</xdr:row>
      <xdr:rowOff>161925</xdr:rowOff>
    </xdr:from>
    <xdr:to>
      <xdr:col>11</xdr:col>
      <xdr:colOff>98425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547EB-841B-E12C-D361-6AC18BE42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72.159785648146" createdVersion="8" refreshedVersion="8" minRefreshableVersion="3" recordCount="817" xr:uid="{2FB724CF-B11F-45CD-BDB7-D75FA4485D6A}">
  <cacheSource type="worksheet">
    <worksheetSource name="dirty_patient_hospital_dataset_1000_rows__2_1_1"/>
  </cacheSource>
  <cacheFields count="29">
    <cacheField name="Patient_ID" numFmtId="0">
      <sharedItems count="817"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7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9"/>
        <s v="P00040"/>
        <s v="P00041"/>
        <s v="P00042"/>
        <s v="P00045"/>
        <s v="P00046"/>
        <s v="P00047"/>
        <s v="P00049"/>
        <s v="P00050"/>
        <s v="P00051"/>
        <s v="P00053"/>
        <s v="P00054"/>
        <s v="P00055"/>
        <s v="P00056"/>
        <s v="P00057"/>
        <s v="P00059"/>
        <s v="P00060"/>
        <s v="P00062"/>
        <s v="P00063"/>
        <s v="P00064"/>
        <s v="P00065"/>
        <s v="P00067"/>
        <s v="P00068"/>
        <s v="P00069"/>
        <s v="P00070"/>
        <s v="P00071"/>
        <s v="P00072"/>
        <s v="P00075"/>
        <s v="P00076"/>
        <s v="P00077"/>
        <s v="P00078"/>
        <s v="P00079"/>
        <s v="P00081"/>
        <s v="P00082"/>
        <s v="P00083"/>
        <s v="P00084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3"/>
        <s v="P00104"/>
        <s v="P00106"/>
        <s v="P00107"/>
        <s v="P00108"/>
        <s v="P00109"/>
        <s v="P00110"/>
        <s v="P00111"/>
        <s v="P00112"/>
        <s v="P00113"/>
        <s v="P00114"/>
        <s v="P00118"/>
        <s v="P00120"/>
        <s v="P00121"/>
        <s v="P00122"/>
        <s v="P00123"/>
        <s v="P00125"/>
        <s v="P00126"/>
        <s v="P00127"/>
        <s v="P00128"/>
        <s v="P00129"/>
        <s v="P00130"/>
        <s v="P00131"/>
        <s v="P00132"/>
        <s v="P00133"/>
        <s v="P00135"/>
        <s v="P00136"/>
        <s v="P00137"/>
        <s v="P00138"/>
        <s v="P00140"/>
        <s v="P00141"/>
        <s v="P00142"/>
        <s v="P00143"/>
        <s v="P00144"/>
        <s v="P00145"/>
        <s v="P00146"/>
        <s v="P00147"/>
        <s v="P00148"/>
        <s v="P00149"/>
        <s v="P00151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1"/>
        <s v="P00183"/>
        <s v="P00184"/>
        <s v="P00187"/>
        <s v="P00190"/>
        <s v="P00192"/>
        <s v="P00193"/>
        <s v="P00194"/>
        <s v="P00195"/>
        <s v="P00196"/>
        <s v="P00197"/>
        <s v="P00199"/>
        <s v="P00200"/>
        <s v="P00201"/>
        <s v="P00203"/>
        <s v="P00207"/>
        <s v="P00208"/>
        <s v="P00209"/>
        <s v="P00211"/>
        <s v="P00212"/>
        <s v="P00213"/>
        <s v="P00214"/>
        <s v="P00215"/>
        <s v="P00216"/>
        <s v="P00217"/>
        <s v="P00218"/>
        <s v="P00219"/>
        <s v="P00220"/>
        <s v="P00222"/>
        <s v="P00225"/>
        <s v="P00226"/>
        <s v="P00227"/>
        <s v="P00228"/>
        <s v="P00229"/>
        <s v="P00231"/>
        <s v="P00232"/>
        <s v="P00233"/>
        <s v="P00234"/>
        <s v="P00235"/>
        <s v="P00238"/>
        <s v="P00239"/>
        <s v="P00241"/>
        <s v="P00243"/>
        <s v="P00244"/>
        <s v="P00245"/>
        <s v="P00247"/>
        <s v="P00250"/>
        <s v="P00251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5"/>
        <s v="P00266"/>
        <s v="P00267"/>
        <s v="P00268"/>
        <s v="P00270"/>
        <s v="P00271"/>
        <s v="P00272"/>
        <s v="P00273"/>
        <s v="P00274"/>
        <s v="P00275"/>
        <s v="P00276"/>
        <s v="P00278"/>
        <s v="P00279"/>
        <s v="P00281"/>
        <s v="P00282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300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1"/>
        <s v="P00332"/>
        <s v="P00333"/>
        <s v="P00334"/>
        <s v="P00336"/>
        <s v="P00339"/>
        <s v="P00341"/>
        <s v="P00342"/>
        <s v="P00343"/>
        <s v="P00344"/>
        <s v="P00345"/>
        <s v="P00347"/>
        <s v="P00348"/>
        <s v="P00349"/>
        <s v="P00350"/>
        <s v="P00351"/>
        <s v="P00352"/>
        <s v="P00354"/>
        <s v="P00355"/>
        <s v="P00357"/>
        <s v="P00358"/>
        <s v="P00359"/>
        <s v="P00360"/>
        <s v="P00361"/>
        <s v="P00362"/>
        <s v="P00363"/>
        <s v="P00364"/>
        <s v="P00365"/>
        <s v="P00366"/>
        <s v="P00368"/>
        <s v="P00370"/>
        <s v="P00371"/>
        <s v="P00372"/>
        <s v="P00373"/>
        <s v="P00374"/>
        <s v="P00375"/>
        <s v="P00377"/>
        <s v="P00378"/>
        <s v="P00379"/>
        <s v="P00380"/>
        <s v="P00381"/>
        <s v="P00382"/>
        <s v="P00383"/>
        <s v="P00384"/>
        <s v="P00385"/>
        <s v="P00386"/>
        <s v="P00388"/>
        <s v="P00389"/>
        <s v="P00390"/>
        <s v="P00391"/>
        <s v="P00392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9"/>
        <s v="P00423"/>
        <s v="P00424"/>
        <s v="P00425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40"/>
        <s v="P00441"/>
        <s v="P00442"/>
        <s v="P00443"/>
        <s v="P00445"/>
        <s v="P00446"/>
        <s v="P00447"/>
        <s v="P00448"/>
        <s v="P00449"/>
        <s v="P00450"/>
        <s v="P00451"/>
        <s v="P00452"/>
        <s v="P00453"/>
        <s v="P00456"/>
        <s v="P00457"/>
        <s v="P00458"/>
        <s v="P00459"/>
        <s v="P00460"/>
        <s v="P00461"/>
        <s v="P00462"/>
        <s v="P00464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3"/>
        <s v="P00514"/>
        <s v="P00515"/>
        <s v="P00517"/>
        <s v="P00519"/>
        <s v="P00520"/>
        <s v="P00521"/>
        <s v="P00522"/>
        <s v="P00523"/>
        <s v="P00524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40"/>
        <s v="P00541"/>
        <s v="P00542"/>
        <s v="P00543"/>
        <s v="P00544"/>
        <s v="P00545"/>
        <s v="P00546"/>
        <s v="P00547"/>
        <s v="P00548"/>
        <s v="P00549"/>
        <s v="P00551"/>
        <s v="P00552"/>
        <s v="P00553"/>
        <s v="P00554"/>
        <s v="P00555"/>
        <s v="P00557"/>
        <s v="P00558"/>
        <s v="P00559"/>
        <s v="P00560"/>
        <s v="P00562"/>
        <s v="P00563"/>
        <s v="P00564"/>
        <s v="P00565"/>
        <s v="P00566"/>
        <s v="P00568"/>
        <s v="P00569"/>
        <s v="P00570"/>
        <s v="P00571"/>
        <s v="P00572"/>
        <s v="P00574"/>
        <s v="P00575"/>
        <s v="P00576"/>
        <s v="P00577"/>
        <s v="P00578"/>
        <s v="P00579"/>
        <s v="P00580"/>
        <s v="P00584"/>
        <s v="P00586"/>
        <s v="P00587"/>
        <s v="P00588"/>
        <s v="P00589"/>
        <s v="P00590"/>
        <s v="P00591"/>
        <s v="P00592"/>
        <s v="P00594"/>
        <s v="P00595"/>
        <s v="P00598"/>
        <s v="P00599"/>
        <s v="P00600"/>
        <s v="P00601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1"/>
        <s v="P00622"/>
        <s v="P00623"/>
        <s v="P00624"/>
        <s v="P00625"/>
        <s v="P00626"/>
        <s v="P00628"/>
        <s v="P00629"/>
        <s v="P00630"/>
        <s v="P00631"/>
        <s v="P00634"/>
        <s v="P00635"/>
        <s v="P00636"/>
        <s v="P00637"/>
        <s v="P00638"/>
        <s v="P00639"/>
        <s v="P00640"/>
        <s v="P00641"/>
        <s v="P00643"/>
        <s v="P00644"/>
        <s v="P00646"/>
        <s v="P00647"/>
        <s v="P00648"/>
        <s v="P00649"/>
        <s v="P00650"/>
        <s v="P00651"/>
        <s v="P00653"/>
        <s v="P00654"/>
        <s v="P00655"/>
        <s v="P00656"/>
        <s v="P00657"/>
        <s v="P00658"/>
        <s v="P00659"/>
        <s v="P00661"/>
        <s v="P00664"/>
        <s v="P00666"/>
        <s v="P00667"/>
        <s v="P00668"/>
        <s v="P00670"/>
        <s v="P00671"/>
        <s v="P00673"/>
        <s v="P00674"/>
        <s v="P00675"/>
        <s v="P00676"/>
        <s v="P00677"/>
        <s v="P00678"/>
        <s v="P00681"/>
        <s v="P00682"/>
        <s v="P00683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3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41"/>
        <s v="P00742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4"/>
        <s v="P00775"/>
        <s v="P00776"/>
        <s v="P00778"/>
        <s v="P00779"/>
        <s v="P00780"/>
        <s v="P00782"/>
        <s v="P00783"/>
        <s v="P00785"/>
        <s v="P00787"/>
        <s v="P00788"/>
        <s v="P00789"/>
        <s v="P00790"/>
        <s v="P00791"/>
        <s v="P00792"/>
        <s v="P00793"/>
        <s v="P00794"/>
        <s v="P00795"/>
        <s v="P00798"/>
        <s v="P00800"/>
        <s v="P00801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9"/>
        <s v="P00820"/>
        <s v="P00821"/>
        <s v="P00824"/>
        <s v="P00825"/>
        <s v="P00826"/>
        <s v="P00827"/>
        <s v="P00828"/>
        <s v="P00829"/>
        <s v="P00830"/>
        <s v="P00831"/>
        <s v="P00832"/>
        <s v="P00833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6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4"/>
        <s v="P00875"/>
        <s v="P00876"/>
        <s v="P00877"/>
        <s v="P00879"/>
        <s v="P00881"/>
        <s v="P00882"/>
        <s v="P00884"/>
        <s v="P00885"/>
        <s v="P00886"/>
        <s v="P00887"/>
        <s v="P00888"/>
        <s v="P00889"/>
        <s v="P00891"/>
        <s v="P00893"/>
        <s v="P00894"/>
        <s v="P00895"/>
        <s v="P00896"/>
        <s v="P00897"/>
        <s v="P00898"/>
        <s v="P00899"/>
        <s v="P00900"/>
        <s v="P00902"/>
        <s v="P00903"/>
        <s v="P00904"/>
        <s v="P00905"/>
        <s v="P00906"/>
        <s v="P00908"/>
        <s v="P00909"/>
        <s v="P00910"/>
        <s v="P00911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8"/>
        <s v="P00929"/>
        <s v="P00930"/>
        <s v="P00931"/>
        <s v="P00932"/>
        <s v="P00933"/>
        <s v="P00934"/>
        <s v="P00935"/>
        <s v="P00936"/>
        <s v="P00940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6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1"/>
        <s v="P00973"/>
        <s v="P00974"/>
        <s v="P00975"/>
        <s v="P00976"/>
        <s v="P00977"/>
        <s v="P00978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5"/>
        <s v="P00996"/>
        <s v="P00997"/>
        <s v="P00999"/>
        <s v="P01000"/>
      </sharedItems>
    </cacheField>
    <cacheField name="Patient_Name" numFmtId="0">
      <sharedItems/>
    </cacheField>
    <cacheField name="Age" numFmtId="0">
      <sharedItems containsSemiMixedTypes="0" containsString="0" containsNumber="1" containsInteger="1" minValue="0" maxValue="92"/>
    </cacheField>
    <cacheField name="Gender" numFmtId="0">
      <sharedItems count="2">
        <s v="Female"/>
        <s v="Male"/>
      </sharedItems>
    </cacheField>
    <cacheField name="State" numFmtId="0">
      <sharedItems count="12">
        <s v="Lagos"/>
        <s v="Delta"/>
        <s v="Kano"/>
        <s v="Abuja (Fct)"/>
        <s v="Rivers"/>
        <s v="Kwara"/>
        <s v="Anambra"/>
        <s v="Oyo"/>
        <s v="Kaduna"/>
        <s v="Enugu"/>
        <s v="Edo"/>
        <s v="Ogun"/>
      </sharedItems>
    </cacheField>
    <cacheField name="Department" numFmtId="0">
      <sharedItems count="9">
        <s v="General Medicine"/>
        <s v="Dermatology"/>
        <s v="Pediatrics"/>
        <s v="Surgery"/>
        <s v="Cardiology"/>
        <s v="Orthopedics"/>
        <s v="Neurology"/>
        <s v="Oncology"/>
        <s v="Maternity"/>
      </sharedItems>
    </cacheField>
    <cacheField name="Admission_Date" numFmtId="14">
      <sharedItems containsSemiMixedTypes="0" containsNonDate="0" containsDate="1" containsString="0" minDate="2024-01-02T00:00:00" maxDate="2026-12-03T00:00:00" count="553">
        <d v="2025-10-16T00:00:00"/>
        <d v="2025-12-19T00:00:00"/>
        <d v="2025-09-10T00:00:00"/>
        <d v="2026-06-06T00:00:00"/>
        <d v="2024-10-03T00:00:00"/>
        <d v="2024-09-28T00:00:00"/>
        <d v="2025-11-27T00:00:00"/>
        <d v="2026-01-06T00:00:00"/>
        <d v="2024-04-24T00:00:00"/>
        <d v="2025-09-03T00:00:00"/>
        <d v="2025-12-25T00:00:00"/>
        <d v="2026-04-06T00:00:00"/>
        <d v="2025-04-04T00:00:00"/>
        <d v="2026-06-04T00:00:00"/>
        <d v="2024-02-28T00:00:00"/>
        <d v="2024-01-10T00:00:00"/>
        <d v="2026-06-14T00:00:00"/>
        <d v="2025-04-26T00:00:00"/>
        <d v="2025-11-26T00:00:00"/>
        <d v="2025-03-22T00:00:00"/>
        <d v="2025-03-06T00:00:00"/>
        <d v="2026-03-23T00:00:00"/>
        <d v="2025-04-11T00:00:00"/>
        <d v="2026-05-18T00:00:00"/>
        <d v="2024-10-10T00:00:00"/>
        <d v="2025-02-21T00:00:00"/>
        <d v="2026-04-02T00:00:00"/>
        <d v="2025-10-20T00:00:00"/>
        <d v="2024-01-20T00:00:00"/>
        <d v="2026-02-24T00:00:00"/>
        <d v="2024-11-04T00:00:00"/>
        <d v="2024-12-04T00:00:00"/>
        <d v="2025-06-21T00:00:00"/>
        <d v="2024-04-15T00:00:00"/>
        <d v="2026-08-29T00:00:00"/>
        <d v="2026-03-22T00:00:00"/>
        <d v="2024-08-22T00:00:00"/>
        <d v="2024-11-24T00:00:00"/>
        <d v="2025-10-07T00:00:00"/>
        <d v="2025-05-09T00:00:00"/>
        <d v="2026-05-07T00:00:00"/>
        <d v="2024-06-07T00:00:00"/>
        <d v="2024-11-03T00:00:00"/>
        <d v="2025-03-17T00:00:00"/>
        <d v="2024-09-18T00:00:00"/>
        <d v="2024-10-29T00:00:00"/>
        <d v="2025-01-09T00:00:00"/>
        <d v="2025-07-24T00:00:00"/>
        <d v="2025-01-14T00:00:00"/>
        <d v="2025-10-22T00:00:00"/>
        <d v="2025-08-23T00:00:00"/>
        <d v="2024-08-31T00:00:00"/>
        <d v="2025-07-15T00:00:00"/>
        <d v="2025-03-01T00:00:00"/>
        <d v="2024-12-24T00:00:00"/>
        <d v="2024-05-26T00:00:00"/>
        <d v="2024-02-23T00:00:00"/>
        <d v="2025-08-10T00:00:00"/>
        <d v="2026-02-02T00:00:00"/>
        <d v="2026-02-16T00:00:00"/>
        <d v="2025-06-03T00:00:00"/>
        <d v="2024-07-11T00:00:00"/>
        <d v="2024-06-02T00:00:00"/>
        <d v="2026-08-27T00:00:00"/>
        <d v="2026-05-05T00:00:00"/>
        <d v="2026-03-13T00:00:00"/>
        <d v="2025-03-15T00:00:00"/>
        <d v="2025-10-12T00:00:00"/>
        <d v="2025-12-13T00:00:00"/>
        <d v="2024-09-16T00:00:00"/>
        <d v="2025-12-09T00:00:00"/>
        <d v="2026-01-04T00:00:00"/>
        <d v="2024-06-12T00:00:00"/>
        <d v="2024-03-19T00:00:00"/>
        <d v="2025-09-18T00:00:00"/>
        <d v="2025-12-29T00:00:00"/>
        <d v="2024-03-08T00:00:00"/>
        <d v="2025-07-18T00:00:00"/>
        <d v="2026-05-16T00:00:00"/>
        <d v="2025-12-06T00:00:00"/>
        <d v="2025-04-22T00:00:00"/>
        <d v="2026-05-17T00:00:00"/>
        <d v="2025-07-17T00:00:00"/>
        <d v="2025-04-30T00:00:00"/>
        <d v="2024-12-05T00:00:00"/>
        <d v="2026-01-08T00:00:00"/>
        <d v="2026-06-12T00:00:00"/>
        <d v="2024-06-28T00:00:00"/>
        <d v="2026-07-27T00:00:00"/>
        <d v="2026-06-13T00:00:00"/>
        <d v="2025-05-15T00:00:00"/>
        <d v="2025-03-09T00:00:00"/>
        <d v="2024-09-10T00:00:00"/>
        <d v="2024-09-07T00:00:00"/>
        <d v="2025-11-07T00:00:00"/>
        <d v="2024-07-07T00:00:00"/>
        <d v="2024-03-21T00:00:00"/>
        <d v="2024-01-16T00:00:00"/>
        <d v="2025-01-03T00:00:00"/>
        <d v="2025-03-03T00:00:00"/>
        <d v="2024-09-03T00:00:00"/>
        <d v="2025-06-24T00:00:00"/>
        <d v="2024-11-02T00:00:00"/>
        <d v="2024-03-16T00:00:00"/>
        <d v="2024-03-30T00:00:00"/>
        <d v="2024-09-05T00:00:00"/>
        <d v="2025-10-02T00:00:00"/>
        <d v="2025-09-09T00:00:00"/>
        <d v="2025-07-12T00:00:00"/>
        <d v="2024-02-15T00:00:00"/>
        <d v="2024-03-09T00:00:00"/>
        <d v="2026-03-29T00:00:00"/>
        <d v="2025-07-04T00:00:00"/>
        <d v="2025-12-02T00:00:00"/>
        <d v="2025-05-22T00:00:00"/>
        <d v="2024-10-14T00:00:00"/>
        <d v="2024-11-25T00:00:00"/>
        <d v="2026-08-31T00:00:00"/>
        <d v="2024-10-17T00:00:00"/>
        <d v="2026-07-20T00:00:00"/>
        <d v="2024-01-02T00:00:00"/>
        <d v="2024-04-14T00:00:00"/>
        <d v="2024-06-04T00:00:00"/>
        <d v="2025-09-14T00:00:00"/>
        <d v="2025-02-11T00:00:00"/>
        <d v="2024-01-13T00:00:00"/>
        <d v="2024-10-05T00:00:00"/>
        <d v="2025-06-05T00:00:00"/>
        <d v="2024-03-20T00:00:00"/>
        <d v="2026-03-14T00:00:00"/>
        <d v="2024-12-09T00:00:00"/>
        <d v="2026-07-06T00:00:00"/>
        <d v="2026-05-01T00:00:00"/>
        <d v="2025-04-07T00:00:00"/>
        <d v="2024-09-23T00:00:00"/>
        <d v="2025-01-16T00:00:00"/>
        <d v="2025-05-05T00:00:00"/>
        <d v="2024-02-27T00:00:00"/>
        <d v="2025-05-19T00:00:00"/>
        <d v="2026-06-28T00:00:00"/>
        <d v="2024-04-09T00:00:00"/>
        <d v="2024-07-10T00:00:00"/>
        <d v="2026-05-10T00:00:00"/>
        <d v="2025-02-10T00:00:00"/>
        <d v="2025-07-30T00:00:00"/>
        <d v="2026-06-19T00:00:00"/>
        <d v="2025-12-30T00:00:00"/>
        <d v="2024-06-03T00:00:00"/>
        <d v="2024-06-21T00:00:00"/>
        <d v="2024-10-24T00:00:00"/>
        <d v="2025-08-26T00:00:00"/>
        <d v="2025-09-15T00:00:00"/>
        <d v="2026-07-17T00:00:00"/>
        <d v="2024-04-26T00:00:00"/>
        <d v="2025-11-25T00:00:00"/>
        <d v="2025-09-25T00:00:00"/>
        <d v="2024-05-17T00:00:00"/>
        <d v="2024-02-11T00:00:00"/>
        <d v="2025-11-08T00:00:00"/>
        <d v="2024-08-06T00:00:00"/>
        <d v="2026-06-25T00:00:00"/>
        <d v="2026-08-28T00:00:00"/>
        <d v="2026-08-06T00:00:00"/>
        <d v="2025-09-02T00:00:00"/>
        <d v="2024-11-21T00:00:00"/>
        <d v="2025-07-05T00:00:00"/>
        <d v="2024-05-23T00:00:00"/>
        <d v="2025-06-13T00:00:00"/>
        <d v="2024-03-11T00:00:00"/>
        <d v="2026-04-03T00:00:00"/>
        <d v="2024-07-02T00:00:00"/>
        <d v="2025-12-14T00:00:00"/>
        <d v="2025-09-20T00:00:00"/>
        <d v="2025-11-01T00:00:00"/>
        <d v="2024-12-22T00:00:00"/>
        <d v="2024-09-20T00:00:00"/>
        <d v="2024-08-23T00:00:00"/>
        <d v="2026-07-31T00:00:00"/>
        <d v="2025-01-23T00:00:00"/>
        <d v="2024-10-13T00:00:00"/>
        <d v="2024-06-29T00:00:00"/>
        <d v="2026-02-01T00:00:00"/>
        <d v="2025-08-08T00:00:00"/>
        <d v="2025-02-27T00:00:00"/>
        <d v="2026-07-26T00:00:00"/>
        <d v="2024-11-11T00:00:00"/>
        <d v="2026-02-23T00:00:00"/>
        <d v="2025-03-08T00:00:00"/>
        <d v="2026-04-28T00:00:00"/>
        <d v="2025-07-21T00:00:00"/>
        <d v="2025-09-27T00:00:00"/>
        <d v="2026-08-18T00:00:00"/>
        <d v="2024-01-14T00:00:00"/>
        <d v="2025-06-15T00:00:00"/>
        <d v="2025-12-20T00:00:00"/>
        <d v="2024-11-27T00:00:00"/>
        <d v="2024-01-23T00:00:00"/>
        <d v="2024-08-10T00:00:00"/>
        <d v="2026-04-16T00:00:00"/>
        <d v="2024-06-05T00:00:00"/>
        <d v="2025-05-28T00:00:00"/>
        <d v="2025-01-17T00:00:00"/>
        <d v="2026-02-07T00:00:00"/>
        <d v="2025-05-11T00:00:00"/>
        <d v="2025-06-20T00:00:00"/>
        <d v="2025-04-25T00:00:00"/>
        <d v="2024-06-30T00:00:00"/>
        <d v="2024-02-09T00:00:00"/>
        <d v="2025-04-17T00:00:00"/>
        <d v="2025-01-28T00:00:00"/>
        <d v="2024-07-04T00:00:00"/>
        <d v="2025-03-28T00:00:00"/>
        <d v="2025-03-13T00:00:00"/>
        <d v="2026-01-11T00:00:00"/>
        <d v="2024-10-15T00:00:00"/>
        <d v="2026-08-02T00:00:00"/>
        <d v="2024-02-02T00:00:00"/>
        <d v="2025-06-02T00:00:00"/>
        <d v="2024-07-16T00:00:00"/>
        <d v="2024-10-04T00:00:00"/>
        <d v="2024-08-25T00:00:00"/>
        <d v="2026-02-25T00:00:00"/>
        <d v="2026-04-21T00:00:00"/>
        <d v="2025-03-21T00:00:00"/>
        <d v="2026-06-05T00:00:00"/>
        <d v="2026-01-29T00:00:00"/>
        <d v="2024-05-28T00:00:00"/>
        <d v="2025-06-28T00:00:00"/>
        <d v="2025-07-14T00:00:00"/>
        <d v="2025-11-03T00:00:00"/>
        <d v="2026-02-26T00:00:00"/>
        <d v="2024-07-01T00:00:00"/>
        <d v="2024-10-02T00:00:00"/>
        <d v="2025-02-02T00:00:00"/>
        <d v="2024-08-26T00:00:00"/>
        <d v="2024-06-23T00:00:00"/>
        <d v="2024-06-27T00:00:00"/>
        <d v="2025-07-06T00:00:00"/>
        <d v="2026-02-04T00:00:00"/>
        <d v="2025-09-16T00:00:00"/>
        <d v="2025-04-14T00:00:00"/>
        <d v="2024-01-15T00:00:00"/>
        <d v="2026-03-28T00:00:00"/>
        <d v="2025-12-21T00:00:00"/>
        <d v="2024-10-30T00:00:00"/>
        <d v="2025-12-22T00:00:00"/>
        <d v="2025-05-12T00:00:00"/>
        <d v="2024-10-09T00:00:00"/>
        <d v="2026-08-24T00:00:00"/>
        <d v="2024-07-18T00:00:00"/>
        <d v="2024-05-31T00:00:00"/>
        <d v="2026-07-08T00:00:00"/>
        <d v="2025-04-08T00:00:00"/>
        <d v="2024-09-21T00:00:00"/>
        <d v="2024-12-30T00:00:00"/>
        <d v="2025-12-15T00:00:00"/>
        <d v="2024-11-07T00:00:00"/>
        <d v="2026-02-14T00:00:00"/>
        <d v="2025-09-08T00:00:00"/>
        <d v="2025-06-25T00:00:00"/>
        <d v="2026-05-04T00:00:00"/>
        <d v="2024-03-25T00:00:00"/>
        <d v="2024-03-07T00:00:00"/>
        <d v="2025-05-02T00:00:00"/>
        <d v="2024-01-19T00:00:00"/>
        <d v="2024-08-28T00:00:00"/>
        <d v="2026-03-25T00:00:00"/>
        <d v="2025-06-12T00:00:00"/>
        <d v="2026-04-27T00:00:00"/>
        <d v="2026-03-12T00:00:00"/>
        <d v="2026-07-29T00:00:00"/>
        <d v="2024-11-08T00:00:00"/>
        <d v="2026-05-22T00:00:00"/>
        <d v="2024-08-17T00:00:00"/>
        <d v="2024-08-29T00:00:00"/>
        <d v="2025-07-26T00:00:00"/>
        <d v="2025-03-26T00:00:00"/>
        <d v="2024-04-25T00:00:00"/>
        <d v="2024-12-29T00:00:00"/>
        <d v="2025-11-17T00:00:00"/>
        <d v="2025-02-18T00:00:00"/>
        <d v="2025-08-15T00:00:00"/>
        <d v="2026-06-29T00:00:00"/>
        <d v="2026-05-23T00:00:00"/>
        <d v="2024-06-09T00:00:00"/>
        <d v="2024-03-06T00:00:00"/>
        <d v="2025-12-24T00:00:00"/>
        <d v="2025-12-26T00:00:00"/>
        <d v="2025-06-01T00:00:00"/>
        <d v="2026-07-13T00:00:00"/>
        <d v="2024-07-29T00:00:00"/>
        <d v="2024-04-30T00:00:00"/>
        <d v="2025-08-09T00:00:00"/>
        <d v="2025-02-23T00:00:00"/>
        <d v="2025-10-21T00:00:00"/>
        <d v="2025-03-30T00:00:00"/>
        <d v="2024-05-27T00:00:00"/>
        <d v="2025-01-19T00:00:00"/>
        <d v="2026-07-24T00:00:00"/>
        <d v="2025-10-09T00:00:00"/>
        <d v="2026-04-12T00:00:00"/>
        <d v="2025-01-01T00:00:00"/>
        <d v="2024-10-11T00:00:00"/>
        <d v="2026-01-25T00:00:00"/>
        <d v="2025-04-29T00:00:00"/>
        <d v="2024-07-24T00:00:00"/>
        <d v="2024-04-27T00:00:00"/>
        <d v="2025-07-02T00:00:00"/>
        <d v="2026-02-08T00:00:00"/>
        <d v="2026-07-05T00:00:00"/>
        <d v="2024-02-12T00:00:00"/>
        <d v="2025-11-30T00:00:00"/>
        <d v="2024-03-28T00:00:00"/>
        <d v="2025-12-03T00:00:00"/>
        <d v="2024-03-12T00:00:00"/>
        <d v="2026-06-10T00:00:00"/>
        <d v="2024-12-02T00:00:00"/>
        <d v="2026-07-21T00:00:00"/>
        <d v="2024-05-07T00:00:00"/>
        <d v="2025-11-09T00:00:00"/>
        <d v="2024-07-15T00:00:00"/>
        <d v="2024-08-11T00:00:00"/>
        <d v="2026-02-18T00:00:00"/>
        <d v="2025-09-26T00:00:00"/>
        <d v="2026-02-17T00:00:00"/>
        <d v="2024-07-28T00:00:00"/>
        <d v="2026-06-02T00:00:00"/>
        <d v="2026-01-12T00:00:00"/>
        <d v="2026-02-28T00:00:00"/>
        <d v="2025-11-12T00:00:00"/>
        <d v="2026-06-16T00:00:00"/>
        <d v="2026-02-05T00:00:00"/>
        <d v="2025-10-13T00:00:00"/>
        <d v="2025-01-12T00:00:00"/>
        <d v="2024-03-24T00:00:00"/>
        <d v="2026-01-30T00:00:00"/>
        <d v="2024-11-16T00:00:00"/>
        <d v="2026-03-15T00:00:00"/>
        <d v="2024-05-01T00:00:00"/>
        <d v="2024-05-04T00:00:00"/>
        <d v="2025-11-05T00:00:00"/>
        <d v="2026-04-20T00:00:00"/>
        <d v="2024-12-23T00:00:00"/>
        <d v="2026-09-02T00:00:00"/>
        <d v="2026-01-31T00:00:00"/>
        <d v="2024-01-08T00:00:00"/>
        <d v="2026-08-13T00:00:00"/>
        <d v="2025-05-18T00:00:00"/>
        <d v="2024-05-29T00:00:00"/>
        <d v="2025-01-07T00:00:00"/>
        <d v="2024-08-03T00:00:00"/>
        <d v="2025-06-30T00:00:00"/>
        <d v="2026-03-20T00:00:00"/>
        <d v="2025-07-29T00:00:00"/>
        <d v="2024-10-01T00:00:00"/>
        <d v="2025-10-26T00:00:00"/>
        <d v="2025-12-04T00:00:00"/>
        <d v="2026-08-15T00:00:00"/>
        <d v="2026-07-23T00:00:00"/>
        <d v="2024-09-08T00:00:00"/>
        <d v="2024-05-30T00:00:00"/>
        <d v="2025-12-10T00:00:00"/>
        <d v="2025-12-28T00:00:00"/>
        <d v="2026-05-15T00:00:00"/>
        <d v="2026-03-03T00:00:00"/>
        <d v="2024-08-02T00:00:00"/>
        <d v="2026-03-07T00:00:00"/>
        <d v="2024-04-23T00:00:00"/>
        <d v="2024-09-17T00:00:00"/>
        <d v="2024-12-27T00:00:00"/>
        <d v="2025-01-29T00:00:00"/>
        <d v="2025-03-07T00:00:00"/>
        <d v="2025-04-16T00:00:00"/>
        <d v="2025-05-14T00:00:00"/>
        <d v="2025-06-27T00:00:00"/>
        <d v="2025-01-26T00:00:00"/>
        <d v="2025-08-12T00:00:00"/>
        <d v="2024-07-27T00:00:00"/>
        <d v="2024-07-14T00:00:00"/>
        <d v="2024-10-23T00:00:00"/>
        <d v="2024-02-21T00:00:00"/>
        <d v="2025-04-24T00:00:00"/>
        <d v="2025-08-02T00:00:00"/>
        <d v="2025-11-04T00:00:00"/>
        <d v="2025-05-27T00:00:00"/>
        <d v="2026-05-09T00:00:00"/>
        <d v="2026-01-20T00:00:00"/>
        <d v="2024-02-08T00:00:00"/>
        <d v="2024-12-14T00:00:00"/>
        <d v="2025-07-01T00:00:00"/>
        <d v="2024-05-22T00:00:00"/>
        <d v="2025-12-31T00:00:00"/>
        <d v="2026-05-11T00:00:00"/>
        <d v="2024-03-27T00:00:00"/>
        <d v="2026-02-20T00:00:00"/>
        <d v="2026-05-29T00:00:00"/>
        <d v="2025-11-02T00:00:00"/>
        <d v="2024-04-18T00:00:00"/>
        <d v="2024-08-24T00:00:00"/>
        <d v="2025-03-04T00:00:00"/>
        <d v="2025-08-30T00:00:00"/>
        <d v="2026-08-08T00:00:00"/>
        <d v="2024-10-07T00:00:00"/>
        <d v="2026-07-01T00:00:00"/>
        <d v="2024-09-26T00:00:00"/>
        <d v="2026-06-21T00:00:00"/>
        <d v="2024-05-06T00:00:00"/>
        <d v="2024-10-12T00:00:00"/>
        <d v="2026-03-24T00:00:00"/>
        <d v="2025-06-19T00:00:00"/>
        <d v="2024-06-17T00:00:00"/>
        <d v="2024-08-09T00:00:00"/>
        <d v="2025-02-06T00:00:00"/>
        <d v="2025-12-23T00:00:00"/>
        <d v="2025-08-28T00:00:00"/>
        <d v="2024-11-19T00:00:00"/>
        <d v="2025-06-09T00:00:00"/>
        <d v="2026-03-31T00:00:00"/>
        <d v="2025-07-22T00:00:00"/>
        <d v="2024-07-03T00:00:00"/>
        <d v="2025-08-27T00:00:00"/>
        <d v="2026-01-14T00:00:00"/>
        <d v="2024-09-06T00:00:00"/>
        <d v="2025-11-20T00:00:00"/>
        <d v="2024-06-08T00:00:00"/>
        <d v="2025-10-10T00:00:00"/>
        <d v="2024-06-25T00:00:00"/>
        <d v="2025-08-05T00:00:00"/>
        <d v="2025-04-18T00:00:00"/>
        <d v="2025-03-25T00:00:00"/>
        <d v="2026-01-09T00:00:00"/>
        <d v="2026-08-25T00:00:00"/>
        <d v="2025-04-15T00:00:00"/>
        <d v="2026-07-28T00:00:00"/>
        <d v="2026-02-11T00:00:00"/>
        <d v="2024-07-06T00:00:00"/>
        <d v="2024-06-24T00:00:00"/>
        <d v="2025-04-05T00:00:00"/>
        <d v="2026-05-02T00:00:00"/>
        <d v="2026-06-20T00:00:00"/>
        <d v="2025-05-31T00:00:00"/>
        <d v="2024-04-12T00:00:00"/>
        <d v="2025-08-01T00:00:00"/>
        <d v="2026-05-27T00:00:00"/>
        <d v="2025-11-06T00:00:00"/>
        <d v="2026-07-10T00:00:00"/>
        <d v="2024-11-26T00:00:00"/>
        <d v="2024-12-11T00:00:00"/>
        <d v="2024-08-20T00:00:00"/>
        <d v="2024-08-15T00:00:00"/>
        <d v="2024-08-19T00:00:00"/>
        <d v="2025-11-11T00:00:00"/>
        <d v="2026-04-05T00:00:00"/>
        <d v="2024-04-20T00:00:00"/>
        <d v="2026-04-04T00:00:00"/>
        <d v="2024-08-21T00:00:00"/>
        <d v="2024-01-27T00:00:00"/>
        <d v="2025-08-04T00:00:00"/>
        <d v="2025-08-06T00:00:00"/>
        <d v="2024-11-15T00:00:00"/>
        <d v="2024-12-12T00:00:00"/>
        <d v="2024-09-11T00:00:00"/>
        <d v="2025-08-07T00:00:00"/>
        <d v="2025-10-03T00:00:00"/>
        <d v="2026-01-02T00:00:00"/>
        <d v="2025-05-30T00:00:00"/>
        <d v="2024-05-02T00:00:00"/>
        <d v="2026-06-09T00:00:00"/>
        <d v="2025-11-15T00:00:00"/>
        <d v="2025-10-01T00:00:00"/>
        <d v="2024-12-20T00:00:00"/>
        <d v="2025-09-11T00:00:00"/>
        <d v="2026-07-25T00:00:00"/>
        <d v="2025-12-08T00:00:00"/>
        <d v="2024-06-11T00:00:00"/>
        <d v="2024-12-15T00:00:00"/>
        <d v="2026-03-16T00:00:00"/>
        <d v="2024-12-01T00:00:00"/>
        <d v="2025-01-20T00:00:00"/>
        <d v="2025-10-19T00:00:00"/>
        <d v="2024-08-12T00:00:00"/>
        <d v="2025-02-19T00:00:00"/>
        <d v="2025-01-11T00:00:00"/>
        <d v="2024-05-03T00:00:00"/>
        <d v="2025-01-21T00:00:00"/>
        <d v="2026-06-11T00:00:00"/>
        <d v="2024-06-16T00:00:00"/>
        <d v="2025-07-09T00:00:00"/>
        <d v="2025-09-05T00:00:00"/>
        <d v="2025-04-10T00:00:00"/>
        <d v="2025-03-31T00:00:00"/>
        <d v="2025-09-07T00:00:00"/>
        <d v="2025-08-20T00:00:00"/>
        <d v="2024-05-16T00:00:00"/>
        <d v="2025-05-04T00:00:00"/>
        <d v="2025-11-29T00:00:00"/>
        <d v="2024-07-13T00:00:00"/>
        <d v="2025-03-16T00:00:00"/>
        <d v="2026-05-19T00:00:00"/>
        <d v="2025-02-17T00:00:00"/>
        <d v="2026-05-24T00:00:00"/>
        <d v="2024-07-19T00:00:00"/>
        <d v="2025-07-08T00:00:00"/>
        <d v="2026-02-15T00:00:00"/>
        <d v="2024-12-26T00:00:00"/>
        <d v="2026-08-05T00:00:00"/>
        <d v="2026-05-14T00:00:00"/>
        <d v="2025-08-25T00:00:00"/>
        <d v="2024-02-10T00:00:00"/>
        <d v="2026-03-05T00:00:00"/>
        <d v="2026-07-18T00:00:00"/>
        <d v="2026-03-21T00:00:00"/>
        <d v="2024-01-17T00:00:00"/>
        <d v="2025-05-07T00:00:00"/>
        <d v="2026-08-04T00:00:00"/>
        <d v="2024-03-17T00:00:00"/>
        <d v="2024-12-07T00:00:00"/>
        <d v="2025-11-18T00:00:00"/>
        <d v="2024-03-02T00:00:00"/>
        <d v="2024-02-16T00:00:00"/>
        <d v="2024-03-15T00:00:00"/>
        <d v="2024-02-25T00:00:00"/>
        <d v="2025-09-13T00:00:00"/>
        <d v="2024-08-13T00:00:00"/>
        <d v="2025-01-13T00:00:00"/>
        <d v="2026-01-13T00:00:00"/>
        <d v="2025-08-24T00:00:00"/>
        <d v="2026-08-22T00:00:00"/>
        <d v="2024-10-19T00:00:00"/>
        <d v="2025-10-27T00:00:00"/>
        <d v="2025-11-19T00:00:00"/>
        <d v="2026-07-09T00:00:00"/>
        <d v="2026-08-10T00:00:00"/>
        <d v="2026-08-07T00:00:00"/>
        <d v="2025-03-05T00:00:00"/>
        <d v="2025-02-22T00:00:00"/>
        <d v="2025-06-14T00:00:00"/>
        <d v="2026-12-02T00:00:00"/>
        <d v="2025-12-12T00:00:00"/>
        <d v="2025-01-25T00:00:00"/>
        <d v="2024-03-22T00:00:00"/>
        <d v="2025-11-16T00:00:00"/>
        <d v="2024-12-06T00:00:00"/>
        <d v="2026-04-26T00:00:00"/>
        <d v="2025-06-16T00:00:00"/>
        <d v="2026-01-26T00:00:00"/>
        <d v="2024-05-25T00:00:00"/>
        <d v="2026-03-19T00:00:00"/>
        <d v="2025-08-14T00:00:00"/>
        <d v="2025-06-23T00:00:00"/>
        <d v="2026-04-23T00:00:00"/>
        <d v="2025-10-28T00:00:00"/>
        <d v="2024-11-30T00:00:00"/>
      </sharedItems>
      <fieldGroup par="28"/>
    </cacheField>
    <cacheField name="Discharge_Date" numFmtId="14">
      <sharedItems containsSemiMixedTypes="0" containsNonDate="0" containsDate="1" containsString="0" minDate="2024-01-03T00:00:00" maxDate="2026-09-11T00:00:00"/>
    </cacheField>
    <cacheField name="Diagnosis" numFmtId="0">
      <sharedItems count="12">
        <s v="Gastritis"/>
        <s v="Pneumonia"/>
        <s v="Hypertension"/>
        <s v="Appendicitis"/>
        <s v="Heart Disease"/>
        <s v="Fracture"/>
        <s v="Asthma"/>
        <s v="Diabetes"/>
        <s v="Migraine"/>
        <s v="Kidney Infection"/>
        <s v="Anemia"/>
        <s v="Malaria"/>
      </sharedItems>
    </cacheField>
    <cacheField name="Treatment" numFmtId="0">
      <sharedItems/>
    </cacheField>
    <cacheField name="Doctor" numFmtId="0">
      <sharedItems/>
    </cacheField>
    <cacheField name="Admission_Type" numFmtId="0">
      <sharedItems count="3">
        <s v="Urgent"/>
        <s v="Emergency"/>
        <s v="Elective"/>
      </sharedItems>
    </cacheField>
    <cacheField name="Insurance" numFmtId="0">
      <sharedItems/>
    </cacheField>
    <cacheField name="Billing_Amount" numFmtId="0">
      <sharedItems containsSemiMixedTypes="0" containsString="0" containsNumber="1" minValue="0" maxValue="651043.31000000006"/>
    </cacheField>
    <cacheField name="Medication_Cost" numFmtId="0">
      <sharedItems containsSemiMixedTypes="0" containsString="0" containsNumber="1" minValue="0" maxValue="118226.38"/>
    </cacheField>
    <cacheField name="Lab_Cost" numFmtId="0">
      <sharedItems containsSemiMixedTypes="0" containsString="0" containsNumber="1" minValue="0" maxValue="162787.13"/>
    </cacheField>
    <cacheField name="Length_of_Stay" numFmtId="0">
      <sharedItems containsSemiMixedTypes="0" containsString="0" containsNumber="1" containsInteger="1" minValue="0" maxValue="27"/>
    </cacheField>
    <cacheField name="Waiting_Time" numFmtId="0">
      <sharedItems containsSemiMixedTypes="0" containsString="0" containsNumber="1" containsInteger="1" minValue="0" maxValue="334"/>
    </cacheField>
    <cacheField name="Patient_Rating" numFmtId="0">
      <sharedItems containsSemiMixedTypes="0" containsString="0" containsNumber="1" minValue="0" maxValue="7"/>
    </cacheField>
    <cacheField name="Readmission" numFmtId="0">
      <sharedItems count="2">
        <s v="Yes"/>
        <s v="No"/>
      </sharedItems>
    </cacheField>
    <cacheField name="Outcome" numFmtId="0">
      <sharedItems/>
    </cacheField>
    <cacheField name="Payment_Status" numFmtId="0">
      <sharedItems count="3">
        <s v="Partial"/>
        <s v="Paid"/>
        <s v="Pending"/>
      </sharedItems>
    </cacheField>
    <cacheField name="Payment_Method" numFmtId="0">
      <sharedItems/>
    </cacheField>
    <cacheField name="Total_Treatment_cost" numFmtId="0">
      <sharedItems containsSemiMixedTypes="0" containsString="0" containsNumber="1" minValue="418.54" maxValue="750195.15"/>
    </cacheField>
    <cacheField name="Patient_Category" numFmtId="0">
      <sharedItems/>
    </cacheField>
    <cacheField name="Waiting_Category" numFmtId="0">
      <sharedItems/>
    </cacheField>
    <cacheField name="Months (Admission_Date)" numFmtId="0" databaseField="0">
      <fieldGroup base="6">
        <rangePr groupBy="months" startDate="2024-01-02T00:00:00" endDate="2026-12-03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/2026"/>
        </groupItems>
      </fieldGroup>
    </cacheField>
    <cacheField name="Quarters (Admission_Date)" numFmtId="0" databaseField="0">
      <fieldGroup base="6">
        <rangePr groupBy="quarters" startDate="2024-01-02T00:00:00" endDate="2026-12-03T00:00:00"/>
        <groupItems count="6">
          <s v="&lt;1/2/2024"/>
          <s v="Qtr1"/>
          <s v="Qtr2"/>
          <s v="Qtr3"/>
          <s v="Qtr4"/>
          <s v="&gt;12/3/2026"/>
        </groupItems>
      </fieldGroup>
    </cacheField>
    <cacheField name="Years (Admission_Date)" numFmtId="0" databaseField="0">
      <fieldGroup base="6">
        <rangePr groupBy="years" startDate="2024-01-02T00:00:00" endDate="2026-12-03T00:00:00"/>
        <groupItems count="5">
          <s v="&lt;1/2/2024"/>
          <s v="2024"/>
          <s v="2025"/>
          <s v="2026"/>
          <s v="&gt;12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7">
  <r>
    <x v="0"/>
    <s v="Aditya Kumar"/>
    <n v="39"/>
    <x v="0"/>
    <x v="0"/>
    <x v="0"/>
    <x v="0"/>
    <d v="2025-10-20T00:00:00"/>
    <x v="0"/>
    <s v="Observation"/>
    <s v="Dr. Ibrahim"/>
    <x v="0"/>
    <s v="Hygeia Hmo"/>
    <n v="310676.40000000002"/>
    <n v="68075.75"/>
    <n v="37975.4"/>
    <n v="4"/>
    <n v="77"/>
    <n v="5"/>
    <x v="0"/>
    <s v="Improved"/>
    <x v="0"/>
    <s v="Cash"/>
    <n v="416727.55000000005"/>
    <s v="Adult"/>
    <s v="Long Wait"/>
  </r>
  <r>
    <x v="1"/>
    <s v="Ishaan Malhotra"/>
    <n v="32"/>
    <x v="1"/>
    <x v="1"/>
    <x v="1"/>
    <x v="1"/>
    <d v="2025-12-24T00:00:00"/>
    <x v="0"/>
    <s v="Iv Therapy"/>
    <s v="Dr. Adeyemi"/>
    <x v="1"/>
    <s v="Hygeia Hmo"/>
    <n v="295958.40999999997"/>
    <n v="18414.560000000001"/>
    <n v="31028.11"/>
    <n v="5"/>
    <n v="113"/>
    <n v="1.2"/>
    <x v="1"/>
    <s v="Improved"/>
    <x v="0"/>
    <s v="Insurance"/>
    <n v="345401.07999999996"/>
    <s v="Yound Adult"/>
    <s v="Long Wait"/>
  </r>
  <r>
    <x v="2"/>
    <s v="Aditya Sharma"/>
    <n v="30"/>
    <x v="1"/>
    <x v="2"/>
    <x v="0"/>
    <x v="2"/>
    <d v="2025-09-11T00:00:00"/>
    <x v="1"/>
    <s v="Chemotherapy"/>
    <s v="Dr. Adeyemi"/>
    <x v="1"/>
    <s v="Leadway Health"/>
    <n v="78203.64"/>
    <n v="37856.18"/>
    <n v="17759.28"/>
    <n v="1"/>
    <n v="0"/>
    <n v="5"/>
    <x v="1"/>
    <s v="Recovered"/>
    <x v="0"/>
    <s v="Mobile Money"/>
    <n v="133819.1"/>
    <s v="Yound Adult"/>
    <s v="Excellent"/>
  </r>
  <r>
    <x v="3"/>
    <s v="Aditya Nair"/>
    <n v="44"/>
    <x v="0"/>
    <x v="0"/>
    <x v="2"/>
    <x v="3"/>
    <d v="2026-06-08T00:00:00"/>
    <x v="1"/>
    <s v="Medication"/>
    <s v="Dr. Musa"/>
    <x v="2"/>
    <s v="Hygeia Hmo"/>
    <n v="20535.25"/>
    <n v="16390.43"/>
    <n v="48327.68"/>
    <n v="2"/>
    <n v="8"/>
    <n v="4.2"/>
    <x v="1"/>
    <s v="Improved"/>
    <x v="1"/>
    <s v="Insurance"/>
    <n v="85253.36"/>
    <s v="Adult"/>
    <s v="Excellent"/>
  </r>
  <r>
    <x v="4"/>
    <s v="Aisha Kumar"/>
    <n v="36"/>
    <x v="0"/>
    <x v="3"/>
    <x v="2"/>
    <x v="4"/>
    <d v="2024-10-05T00:00:00"/>
    <x v="1"/>
    <s v="Observation"/>
    <s v="Dr. Musa"/>
    <x v="1"/>
    <s v="Nhia"/>
    <n v="135761.07"/>
    <n v="76306.95"/>
    <n v="44595.08"/>
    <n v="2"/>
    <n v="15"/>
    <n v="4.8"/>
    <x v="1"/>
    <s v="Recovered"/>
    <x v="2"/>
    <s v="Mobile Money"/>
    <n v="256663.10000000003"/>
    <s v="Adult"/>
    <s v="Excellent"/>
  </r>
  <r>
    <x v="5"/>
    <s v="Kavya Patel"/>
    <n v="47"/>
    <x v="1"/>
    <x v="1"/>
    <x v="0"/>
    <x v="5"/>
    <d v="2024-09-29T00:00:00"/>
    <x v="0"/>
    <s v="Surgery"/>
    <s v="Dr. Musa"/>
    <x v="1"/>
    <s v="Self Pay"/>
    <n v="0"/>
    <n v="0"/>
    <n v="50905.84"/>
    <n v="1"/>
    <n v="150"/>
    <n v="3.9"/>
    <x v="1"/>
    <s v="Improved"/>
    <x v="1"/>
    <s v="Bank Transfer"/>
    <n v="50905.84"/>
    <s v="Adult"/>
    <s v="Long Wait"/>
  </r>
  <r>
    <x v="6"/>
    <s v="Aisha Patel"/>
    <n v="36"/>
    <x v="1"/>
    <x v="4"/>
    <x v="3"/>
    <x v="6"/>
    <d v="2025-11-29T00:00:00"/>
    <x v="2"/>
    <s v="Wound Care"/>
    <s v="Dr. Chukwu"/>
    <x v="0"/>
    <s v="Avon Hmo"/>
    <n v="13006.92"/>
    <n v="12003.89"/>
    <n v="31180.84"/>
    <n v="2"/>
    <n v="174"/>
    <n v="4.0999999999999996"/>
    <x v="0"/>
    <s v="Recovered"/>
    <x v="2"/>
    <s v="Bank Transfer"/>
    <n v="56191.649999999994"/>
    <s v="Adult"/>
    <s v="Long Wait"/>
  </r>
  <r>
    <x v="7"/>
    <s v="Riya Malhotra"/>
    <n v="50"/>
    <x v="1"/>
    <x v="4"/>
    <x v="4"/>
    <x v="7"/>
    <d v="2026-01-07T00:00:00"/>
    <x v="3"/>
    <s v="Chemotherapy"/>
    <s v="Dr. Adeyemi"/>
    <x v="0"/>
    <s v="Leadway Health"/>
    <n v="166088.48000000001"/>
    <n v="13076.95"/>
    <n v="63350.29"/>
    <n v="1"/>
    <n v="172"/>
    <n v="4.9000000000000004"/>
    <x v="1"/>
    <s v="Deceased"/>
    <x v="0"/>
    <s v="Bank Transfer"/>
    <n v="242515.72000000003"/>
    <s v="Adult"/>
    <s v="Long Wait"/>
  </r>
  <r>
    <x v="8"/>
    <s v="Rohan Joshi"/>
    <n v="36"/>
    <x v="0"/>
    <x v="5"/>
    <x v="5"/>
    <x v="8"/>
    <d v="2024-04-25T00:00:00"/>
    <x v="1"/>
    <s v="Observation"/>
    <s v="Dr. Musa"/>
    <x v="1"/>
    <s v="Leadway Health"/>
    <n v="266376.88"/>
    <n v="54388.63"/>
    <n v="30624.77"/>
    <n v="1"/>
    <n v="81"/>
    <n v="2.2999999999999998"/>
    <x v="1"/>
    <s v="Deceased"/>
    <x v="2"/>
    <s v="Bank Transfer"/>
    <n v="351390.28"/>
    <s v="Adult"/>
    <s v="Long Wait"/>
  </r>
  <r>
    <x v="9"/>
    <s v="Aditya Mehta"/>
    <n v="60"/>
    <x v="0"/>
    <x v="6"/>
    <x v="0"/>
    <x v="9"/>
    <d v="2025-03-10T00:00:00"/>
    <x v="4"/>
    <s v="Counseling"/>
    <s v="Dr. Okafor"/>
    <x v="1"/>
    <s v="Nhia"/>
    <n v="409873.6"/>
    <n v="28199.75"/>
    <n v="75105.990000000005"/>
    <n v="1"/>
    <n v="122"/>
    <n v="3.8"/>
    <x v="1"/>
    <s v="Deceased"/>
    <x v="2"/>
    <s v="Mobile Money"/>
    <n v="513179.33999999997"/>
    <s v="Senior"/>
    <s v="Long Wait"/>
  </r>
  <r>
    <x v="10"/>
    <s v="Rohan Kapoor"/>
    <n v="76"/>
    <x v="1"/>
    <x v="1"/>
    <x v="4"/>
    <x v="10"/>
    <d v="2025-12-29T00:00:00"/>
    <x v="1"/>
    <s v="Counseling"/>
    <s v="Dr. Yusuf"/>
    <x v="1"/>
    <s v="Axa Mansard"/>
    <n v="214984.35"/>
    <n v="69116.09"/>
    <n v="0"/>
    <n v="4"/>
    <n v="156"/>
    <n v="3.8"/>
    <x v="1"/>
    <s v="Recovered"/>
    <x v="2"/>
    <s v="Mobile Money"/>
    <n v="284100.44"/>
    <s v="Senior"/>
    <s v="Long Wait"/>
  </r>
  <r>
    <x v="11"/>
    <s v="Meera Kapoor"/>
    <n v="45"/>
    <x v="1"/>
    <x v="6"/>
    <x v="4"/>
    <x v="11"/>
    <d v="2026-04-08T00:00:00"/>
    <x v="5"/>
    <s v="Medication"/>
    <s v="Dr. Balogun"/>
    <x v="2"/>
    <s v="Self Pay"/>
    <n v="0"/>
    <n v="24508.2"/>
    <n v="55713.38"/>
    <n v="2"/>
    <n v="205"/>
    <n v="3"/>
    <x v="0"/>
    <s v="Recovered"/>
    <x v="1"/>
    <s v="Card"/>
    <n v="80221.58"/>
    <s v="Adult"/>
    <s v="Long Wait"/>
  </r>
  <r>
    <x v="12"/>
    <s v="Aditya Rao"/>
    <n v="31"/>
    <x v="1"/>
    <x v="0"/>
    <x v="6"/>
    <x v="12"/>
    <d v="2025-04-05T00:00:00"/>
    <x v="0"/>
    <s v="Dialysis"/>
    <s v="Dr. Ibrahim"/>
    <x v="2"/>
    <s v="Leadway Health"/>
    <n v="348156.3"/>
    <n v="38218.78"/>
    <n v="29107.19"/>
    <n v="1"/>
    <n v="133"/>
    <n v="3.8"/>
    <x v="0"/>
    <s v="Improved"/>
    <x v="1"/>
    <s v="Card"/>
    <n v="415482.26999999996"/>
    <s v="Yound Adult"/>
    <s v="Long Wait"/>
  </r>
  <r>
    <x v="13"/>
    <s v="Diya Kumar"/>
    <n v="27"/>
    <x v="1"/>
    <x v="2"/>
    <x v="6"/>
    <x v="13"/>
    <d v="2026-06-10T00:00:00"/>
    <x v="2"/>
    <s v="Medication"/>
    <s v="Dr. Balogun"/>
    <x v="2"/>
    <s v="Mediplus"/>
    <n v="174127.3"/>
    <n v="20197.3"/>
    <n v="1094.55"/>
    <n v="6"/>
    <n v="117"/>
    <n v="4"/>
    <x v="1"/>
    <s v="Improved"/>
    <x v="1"/>
    <s v="Bank Transfer"/>
    <n v="195419.14999999997"/>
    <s v="Yound Adult"/>
    <s v="Long Wait"/>
  </r>
  <r>
    <x v="14"/>
    <s v="Rahul Shah"/>
    <n v="37"/>
    <x v="1"/>
    <x v="2"/>
    <x v="7"/>
    <x v="14"/>
    <d v="2024-03-02T00:00:00"/>
    <x v="2"/>
    <s v="Physiotherapy"/>
    <s v="Dr. Okafor"/>
    <x v="0"/>
    <s v="Leadway Health"/>
    <n v="21848.1"/>
    <n v="19483.87"/>
    <n v="34718.559999999998"/>
    <n v="3"/>
    <n v="34"/>
    <n v="3.5"/>
    <x v="1"/>
    <s v="Referred"/>
    <x v="2"/>
    <s v="Card"/>
    <n v="76050.53"/>
    <s v="Adult"/>
    <s v="Acceptable"/>
  </r>
  <r>
    <x v="15"/>
    <s v="Neha Das"/>
    <n v="92"/>
    <x v="1"/>
    <x v="7"/>
    <x v="4"/>
    <x v="15"/>
    <d v="2024-01-13T00:00:00"/>
    <x v="6"/>
    <s v="Chemotherapy"/>
    <s v="Dr. Eze"/>
    <x v="0"/>
    <s v="Nhia"/>
    <n v="193069.46"/>
    <n v="37538.68"/>
    <n v="43958.65"/>
    <n v="3"/>
    <n v="7"/>
    <n v="5"/>
    <x v="1"/>
    <s v="Deceased"/>
    <x v="0"/>
    <s v="Insurance"/>
    <n v="274566.78999999998"/>
    <s v="Senior"/>
    <s v="Excellent"/>
  </r>
  <r>
    <x v="16"/>
    <s v="Rahul Gupta"/>
    <n v="71"/>
    <x v="0"/>
    <x v="8"/>
    <x v="5"/>
    <x v="16"/>
    <d v="2026-06-17T00:00:00"/>
    <x v="3"/>
    <s v="Iv Therapy"/>
    <s v="Dr. Eze"/>
    <x v="0"/>
    <s v="Self Pay"/>
    <n v="0"/>
    <n v="34615.85"/>
    <n v="52796.480000000003"/>
    <n v="3"/>
    <n v="153"/>
    <n v="4"/>
    <x v="0"/>
    <s v="Referred"/>
    <x v="0"/>
    <s v="Card"/>
    <n v="87412.33"/>
    <s v="Senior"/>
    <s v="Long Wait"/>
  </r>
  <r>
    <x v="17"/>
    <s v="Ananya Das"/>
    <n v="54"/>
    <x v="0"/>
    <x v="6"/>
    <x v="5"/>
    <x v="17"/>
    <d v="2025-04-27T00:00:00"/>
    <x v="1"/>
    <s v="Antibiotics"/>
    <s v="Dr. Eze"/>
    <x v="0"/>
    <s v="Reliance Hmo"/>
    <n v="261577.85"/>
    <n v="36262.32"/>
    <n v="55393.45"/>
    <n v="1"/>
    <n v="43"/>
    <n v="4"/>
    <x v="0"/>
    <s v="Recovered"/>
    <x v="1"/>
    <s v="Card"/>
    <n v="353233.62"/>
    <s v="Adult"/>
    <s v="Acceptable"/>
  </r>
  <r>
    <x v="18"/>
    <s v="Zara Reddy"/>
    <n v="27"/>
    <x v="0"/>
    <x v="0"/>
    <x v="4"/>
    <x v="18"/>
    <d v="2025-11-29T00:00:00"/>
    <x v="0"/>
    <s v="Physiotherapy"/>
    <s v="Dr. Musa"/>
    <x v="2"/>
    <s v="Axa Mansard"/>
    <n v="481208.43"/>
    <n v="41845.82"/>
    <n v="9260.9"/>
    <n v="3"/>
    <n v="144"/>
    <n v="5"/>
    <x v="1"/>
    <s v="Recovered"/>
    <x v="0"/>
    <s v="Bank Transfer"/>
    <n v="532315.15"/>
    <s v="Yound Adult"/>
    <s v="Long Wait"/>
  </r>
  <r>
    <x v="19"/>
    <s v="Diya Joshi"/>
    <n v="68"/>
    <x v="1"/>
    <x v="0"/>
    <x v="4"/>
    <x v="19"/>
    <d v="2025-03-27T00:00:00"/>
    <x v="6"/>
    <s v="Antibiotics"/>
    <s v="Dr. Balogun"/>
    <x v="1"/>
    <s v="Axa Mansard"/>
    <n v="105104.48"/>
    <n v="54084.4"/>
    <n v="57383.43"/>
    <n v="5"/>
    <n v="156"/>
    <n v="5"/>
    <x v="1"/>
    <s v="Improved"/>
    <x v="2"/>
    <s v="Insurance"/>
    <n v="216572.31"/>
    <s v="Senior"/>
    <s v="Long Wait"/>
  </r>
  <r>
    <x v="20"/>
    <s v="Zara Joshi"/>
    <n v="26"/>
    <x v="1"/>
    <x v="9"/>
    <x v="8"/>
    <x v="20"/>
    <d v="2025-03-08T00:00:00"/>
    <x v="4"/>
    <s v="Counseling"/>
    <s v="Dr. Adebayo"/>
    <x v="1"/>
    <s v="Axa Mansard"/>
    <n v="95467.98"/>
    <n v="9604.74"/>
    <n v="42686.95"/>
    <n v="2"/>
    <n v="120"/>
    <n v="4.0999999999999996"/>
    <x v="1"/>
    <s v="Recovered"/>
    <x v="1"/>
    <s v="Card"/>
    <n v="147759.66999999998"/>
    <s v="Yound Adult"/>
    <s v="Long Wait"/>
  </r>
  <r>
    <x v="21"/>
    <s v="Rohan Sharma"/>
    <n v="43"/>
    <x v="1"/>
    <x v="4"/>
    <x v="2"/>
    <x v="21"/>
    <d v="2026-03-28T00:00:00"/>
    <x v="4"/>
    <s v="Medication"/>
    <s v="Dr. Okafor"/>
    <x v="0"/>
    <s v="Nhia"/>
    <n v="423494.77"/>
    <n v="23383.58"/>
    <n v="126605.07"/>
    <n v="5"/>
    <n v="141"/>
    <n v="2.6"/>
    <x v="1"/>
    <s v="Deceased"/>
    <x v="2"/>
    <s v="Mobile Money"/>
    <n v="573483.42000000004"/>
    <s v="Adult"/>
    <s v="Long Wait"/>
  </r>
  <r>
    <x v="22"/>
    <s v="Kabir Malhotra"/>
    <n v="53"/>
    <x v="0"/>
    <x v="6"/>
    <x v="0"/>
    <x v="22"/>
    <d v="2025-04-12T00:00:00"/>
    <x v="2"/>
    <s v="Dialysis"/>
    <s v="Dr. Balogun"/>
    <x v="0"/>
    <s v="Hygeia Hmo"/>
    <n v="188715.21"/>
    <n v="47850.01"/>
    <n v="59197.13"/>
    <n v="1"/>
    <n v="89"/>
    <n v="2.6"/>
    <x v="1"/>
    <s v="Recovered"/>
    <x v="2"/>
    <s v="Card"/>
    <n v="295762.34999999998"/>
    <s v="Adult"/>
    <s v="Long Wait"/>
  </r>
  <r>
    <x v="23"/>
    <s v="Kabir Kapoor"/>
    <n v="33"/>
    <x v="0"/>
    <x v="4"/>
    <x v="6"/>
    <x v="23"/>
    <d v="2026-05-19T00:00:00"/>
    <x v="1"/>
    <s v="Medication"/>
    <s v="Dr. Adebayo"/>
    <x v="0"/>
    <s v="Self Pay"/>
    <n v="339895.83"/>
    <n v="35352.339999999997"/>
    <n v="7627.84"/>
    <n v="1"/>
    <n v="107"/>
    <n v="4.2"/>
    <x v="1"/>
    <s v="Recovered"/>
    <x v="2"/>
    <s v="Card"/>
    <n v="382876.01000000007"/>
    <s v="Yound Adult"/>
    <s v="Long Wait"/>
  </r>
  <r>
    <x v="24"/>
    <s v="Rohan Singh"/>
    <n v="46"/>
    <x v="0"/>
    <x v="1"/>
    <x v="2"/>
    <x v="24"/>
    <d v="2024-10-11T00:00:00"/>
    <x v="1"/>
    <s v="Surgery"/>
    <s v="Dr. Adeyemi"/>
    <x v="2"/>
    <s v="Reliance Hmo"/>
    <n v="228149.22"/>
    <n v="1425.74"/>
    <n v="55733.62"/>
    <n v="1"/>
    <n v="137"/>
    <n v="5"/>
    <x v="0"/>
    <s v="Improved"/>
    <x v="0"/>
    <s v="Card"/>
    <n v="285308.58"/>
    <s v="Adult"/>
    <s v="Long Wait"/>
  </r>
  <r>
    <x v="25"/>
    <s v="Priya Gupta"/>
    <n v="12"/>
    <x v="0"/>
    <x v="4"/>
    <x v="3"/>
    <x v="25"/>
    <d v="2025-02-27T00:00:00"/>
    <x v="1"/>
    <s v="Observation"/>
    <s v="Dr. Chukwu"/>
    <x v="1"/>
    <s v="Self Pay"/>
    <n v="88704.49"/>
    <n v="42875.88"/>
    <n v="60413.58"/>
    <n v="6"/>
    <n v="133"/>
    <n v="5"/>
    <x v="0"/>
    <s v="Recovered"/>
    <x v="0"/>
    <s v="Card"/>
    <n v="191993.95"/>
    <s v="Child"/>
    <s v="Long Wait"/>
  </r>
  <r>
    <x v="26"/>
    <s v="Zara Reddy"/>
    <n v="67"/>
    <x v="0"/>
    <x v="4"/>
    <x v="5"/>
    <x v="26"/>
    <d v="2026-02-08T00:00:00"/>
    <x v="0"/>
    <s v="Counseling"/>
    <s v="Dr. Chukwu"/>
    <x v="1"/>
    <s v="Self Pay"/>
    <n v="353560.25"/>
    <n v="46284.78"/>
    <n v="35541.919999999998"/>
    <n v="4"/>
    <n v="151"/>
    <n v="1.6"/>
    <x v="1"/>
    <s v="Recovered"/>
    <x v="0"/>
    <s v="Card"/>
    <n v="435386.95"/>
    <s v="Senior"/>
    <s v="Long Wait"/>
  </r>
  <r>
    <x v="27"/>
    <s v="Meera Gupta"/>
    <n v="32"/>
    <x v="1"/>
    <x v="8"/>
    <x v="5"/>
    <x v="27"/>
    <d v="2025-10-22T00:00:00"/>
    <x v="1"/>
    <s v="Physiotherapy"/>
    <s v="Dr. Okafor"/>
    <x v="2"/>
    <s v="Self Pay"/>
    <n v="231462.38"/>
    <n v="87866.46"/>
    <n v="0"/>
    <n v="2"/>
    <n v="146"/>
    <n v="1.6"/>
    <x v="0"/>
    <s v="Deceased"/>
    <x v="0"/>
    <s v="Bank Transfer"/>
    <n v="319328.84000000003"/>
    <s v="Yound Adult"/>
    <s v="Long Wait"/>
  </r>
  <r>
    <x v="28"/>
    <s v="Rohan Verma"/>
    <n v="66"/>
    <x v="1"/>
    <x v="10"/>
    <x v="5"/>
    <x v="28"/>
    <d v="2024-01-22T00:00:00"/>
    <x v="7"/>
    <s v="Iv Therapy"/>
    <s v="Dr. Okafor"/>
    <x v="1"/>
    <s v="Axa Mansard"/>
    <n v="228999.2"/>
    <n v="3056.38"/>
    <n v="23540.89"/>
    <n v="2"/>
    <n v="145"/>
    <n v="2.8"/>
    <x v="1"/>
    <s v="Deceased"/>
    <x v="1"/>
    <s v="Bank Transfer"/>
    <n v="255596.47000000003"/>
    <s v="Senior"/>
    <s v="Long Wait"/>
  </r>
  <r>
    <x v="29"/>
    <s v="Ishaan Patel"/>
    <n v="44"/>
    <x v="0"/>
    <x v="9"/>
    <x v="8"/>
    <x v="29"/>
    <d v="2026-02-27T00:00:00"/>
    <x v="5"/>
    <s v="Iv Therapy"/>
    <s v="Dr. Yusuf"/>
    <x v="0"/>
    <s v="Avon Hmo"/>
    <n v="128775.95"/>
    <n v="83598.600000000006"/>
    <n v="64017.57"/>
    <n v="3"/>
    <n v="0"/>
    <n v="3.9"/>
    <x v="1"/>
    <s v="Recovered"/>
    <x v="2"/>
    <s v="Card"/>
    <n v="276392.12"/>
    <s v="Adult"/>
    <s v="Excellent"/>
  </r>
  <r>
    <x v="30"/>
    <s v="Arjun Shah"/>
    <n v="61"/>
    <x v="0"/>
    <x v="2"/>
    <x v="0"/>
    <x v="30"/>
    <d v="2024-11-05T00:00:00"/>
    <x v="2"/>
    <s v="Medication"/>
    <s v="Dr. Yusuf"/>
    <x v="1"/>
    <s v="Axa Mansard"/>
    <n v="109047.1"/>
    <n v="27131.59"/>
    <n v="60149.62"/>
    <n v="1"/>
    <n v="159"/>
    <n v="2.1"/>
    <x v="1"/>
    <s v="Improved"/>
    <x v="1"/>
    <s v="Card"/>
    <n v="196328.31"/>
    <s v="Senior"/>
    <s v="Long Wait"/>
  </r>
  <r>
    <x v="31"/>
    <s v="Kabir Kumar"/>
    <n v="11"/>
    <x v="0"/>
    <x v="4"/>
    <x v="2"/>
    <x v="31"/>
    <d v="2024-12-13T00:00:00"/>
    <x v="4"/>
    <s v="Iv Therapy"/>
    <s v="Dr. Ibrahim"/>
    <x v="1"/>
    <s v="Hygeia Hmo"/>
    <n v="158393.76999999999"/>
    <n v="33268.51"/>
    <n v="88238.2"/>
    <n v="9"/>
    <n v="0"/>
    <n v="5"/>
    <x v="0"/>
    <s v="Improved"/>
    <x v="2"/>
    <s v="Mobile Money"/>
    <n v="279900.48"/>
    <s v="Child"/>
    <s v="Excellent"/>
  </r>
  <r>
    <x v="32"/>
    <s v="Vivaan Reddy"/>
    <n v="21"/>
    <x v="1"/>
    <x v="7"/>
    <x v="2"/>
    <x v="32"/>
    <d v="2025-06-24T00:00:00"/>
    <x v="6"/>
    <s v="Iv Therapy"/>
    <s v="Dr. Ibrahim"/>
    <x v="2"/>
    <s v="Hygeia Hmo"/>
    <n v="284694.49"/>
    <n v="34976.49"/>
    <n v="26993.49"/>
    <n v="3"/>
    <n v="100"/>
    <n v="3.2"/>
    <x v="0"/>
    <s v="Recovered"/>
    <x v="0"/>
    <s v="Insurance"/>
    <n v="346664.47"/>
    <s v="Yound Adult"/>
    <s v="Long Wait"/>
  </r>
  <r>
    <x v="33"/>
    <s v="Kavya Patel"/>
    <n v="57"/>
    <x v="1"/>
    <x v="5"/>
    <x v="1"/>
    <x v="33"/>
    <d v="2024-04-18T00:00:00"/>
    <x v="6"/>
    <s v="Dialysis"/>
    <s v="Dr. Yusuf"/>
    <x v="0"/>
    <s v="Axa Mansard"/>
    <n v="442042.35"/>
    <n v="0"/>
    <n v="108991"/>
    <n v="3"/>
    <n v="0"/>
    <n v="3.5"/>
    <x v="1"/>
    <s v="Recovered"/>
    <x v="2"/>
    <s v="Card"/>
    <n v="551033.35"/>
    <s v="Adult"/>
    <s v="Excellent"/>
  </r>
  <r>
    <x v="34"/>
    <s v="Diya Das"/>
    <n v="49"/>
    <x v="1"/>
    <x v="4"/>
    <x v="5"/>
    <x v="34"/>
    <d v="2026-09-02T00:00:00"/>
    <x v="5"/>
    <s v="Chemotherapy"/>
    <s v="Dr. Okafor"/>
    <x v="1"/>
    <s v="Self Pay"/>
    <n v="132822.07"/>
    <n v="24796.94"/>
    <n v="30209.97"/>
    <n v="4"/>
    <n v="50"/>
    <n v="4.8"/>
    <x v="1"/>
    <s v="Deceased"/>
    <x v="2"/>
    <s v="Card"/>
    <n v="187828.98"/>
    <s v="Adult"/>
    <s v="Acceptable"/>
  </r>
  <r>
    <x v="35"/>
    <s v="Zara Sharma"/>
    <n v="38"/>
    <x v="1"/>
    <x v="5"/>
    <x v="1"/>
    <x v="35"/>
    <d v="2026-03-26T00:00:00"/>
    <x v="5"/>
    <s v="Dialysis"/>
    <s v="Dr. Adeyemi"/>
    <x v="2"/>
    <s v="Mediplus"/>
    <n v="189524.63"/>
    <n v="57469.42"/>
    <n v="69762.490000000005"/>
    <n v="4"/>
    <n v="156"/>
    <n v="4.5"/>
    <x v="0"/>
    <s v="Recovered"/>
    <x v="2"/>
    <s v="Card"/>
    <n v="316756.53999999998"/>
    <s v="Adult"/>
    <s v="Long Wait"/>
  </r>
  <r>
    <x v="36"/>
    <s v="Isha Joshi"/>
    <n v="58"/>
    <x v="1"/>
    <x v="11"/>
    <x v="8"/>
    <x v="36"/>
    <d v="2024-08-25T00:00:00"/>
    <x v="1"/>
    <s v="Iv Therapy"/>
    <s v="Dr. Chukwu"/>
    <x v="0"/>
    <s v="Mediplus"/>
    <n v="176562.65"/>
    <n v="38104.160000000003"/>
    <n v="41095.71"/>
    <n v="3"/>
    <n v="102"/>
    <n v="4.5"/>
    <x v="0"/>
    <s v="Recovered"/>
    <x v="2"/>
    <s v="Bank Transfer"/>
    <n v="255762.52"/>
    <s v="Adult"/>
    <s v="Long Wait"/>
  </r>
  <r>
    <x v="37"/>
    <s v="Ananya Mehta"/>
    <n v="89"/>
    <x v="0"/>
    <x v="9"/>
    <x v="0"/>
    <x v="37"/>
    <d v="2024-11-25T00:00:00"/>
    <x v="2"/>
    <s v="Surgery"/>
    <s v="Dr. Chukwu"/>
    <x v="2"/>
    <s v="Mediplus"/>
    <n v="79157.570000000007"/>
    <n v="0"/>
    <n v="79743.33"/>
    <n v="1"/>
    <n v="154"/>
    <n v="4.5"/>
    <x v="0"/>
    <s v="Recovered"/>
    <x v="2"/>
    <s v="Card"/>
    <n v="158900.90000000002"/>
    <s v="Senior"/>
    <s v="Long Wait"/>
  </r>
  <r>
    <x v="38"/>
    <s v="Rohan Verma"/>
    <n v="35"/>
    <x v="0"/>
    <x v="9"/>
    <x v="2"/>
    <x v="38"/>
    <d v="2025-10-08T00:00:00"/>
    <x v="2"/>
    <s v="Chemotherapy"/>
    <s v="Dr. Balogun"/>
    <x v="1"/>
    <s v="Reliance Hmo"/>
    <n v="277810.40000000002"/>
    <n v="15906.89"/>
    <n v="20333.39"/>
    <n v="1"/>
    <n v="113"/>
    <n v="4"/>
    <x v="0"/>
    <s v="Improved"/>
    <x v="1"/>
    <s v="Card"/>
    <n v="314050.68000000005"/>
    <s v="Yound Adult"/>
    <s v="Long Wait"/>
  </r>
  <r>
    <x v="39"/>
    <s v="Aisha Rao"/>
    <n v="32"/>
    <x v="0"/>
    <x v="1"/>
    <x v="1"/>
    <x v="39"/>
    <d v="2025-05-11T00:00:00"/>
    <x v="8"/>
    <s v="Counseling"/>
    <s v="Dr. Ibrahim"/>
    <x v="0"/>
    <s v="Axa Mansard"/>
    <n v="252486.99"/>
    <n v="0"/>
    <n v="2776.09"/>
    <n v="2"/>
    <n v="41"/>
    <n v="3.4"/>
    <x v="1"/>
    <s v="Referred"/>
    <x v="2"/>
    <s v="Insurance"/>
    <n v="255263.08"/>
    <s v="Yound Adult"/>
    <s v="Acceptable"/>
  </r>
  <r>
    <x v="40"/>
    <s v="Rahul Nair"/>
    <n v="75"/>
    <x v="0"/>
    <x v="8"/>
    <x v="1"/>
    <x v="40"/>
    <d v="2026-05-10T00:00:00"/>
    <x v="8"/>
    <s v="Antibiotics"/>
    <s v="Dr. Yusuf"/>
    <x v="0"/>
    <s v="Axa Mansard"/>
    <n v="340072.35"/>
    <n v="26001.54"/>
    <n v="44429.51"/>
    <n v="3"/>
    <n v="19"/>
    <n v="3.7"/>
    <x v="1"/>
    <s v="Referred"/>
    <x v="0"/>
    <s v="Mobile Money"/>
    <n v="410503.39999999997"/>
    <s v="Senior"/>
    <s v="Excellent"/>
  </r>
  <r>
    <x v="41"/>
    <s v="Aisha Joshi"/>
    <n v="34"/>
    <x v="0"/>
    <x v="0"/>
    <x v="4"/>
    <x v="41"/>
    <d v="2024-06-12T00:00:00"/>
    <x v="0"/>
    <s v="Antibiotics"/>
    <s v="Dr. Musa"/>
    <x v="0"/>
    <s v="Self Pay"/>
    <n v="251372.95"/>
    <n v="30314.81"/>
    <n v="47930.28"/>
    <n v="5"/>
    <n v="37"/>
    <n v="3.9"/>
    <x v="1"/>
    <s v="Improved"/>
    <x v="0"/>
    <s v="Mobile Money"/>
    <n v="329618.04000000004"/>
    <s v="Yound Adult"/>
    <s v="Acceptable"/>
  </r>
  <r>
    <x v="42"/>
    <s v="Diya Rao"/>
    <n v="74"/>
    <x v="0"/>
    <x v="5"/>
    <x v="5"/>
    <x v="42"/>
    <d v="2024-03-15T00:00:00"/>
    <x v="7"/>
    <s v="Counseling"/>
    <s v="Dr. Adeyemi"/>
    <x v="0"/>
    <s v="Hygeia Hmo"/>
    <n v="354297.92"/>
    <n v="83829.56"/>
    <n v="21979.57"/>
    <n v="4"/>
    <n v="160"/>
    <n v="3.9"/>
    <x v="1"/>
    <s v="Improved"/>
    <x v="0"/>
    <s v="Bank Transfer"/>
    <n v="460107.05"/>
    <s v="Senior"/>
    <s v="Long Wait"/>
  </r>
  <r>
    <x v="43"/>
    <s v="Rahul Verma"/>
    <n v="25"/>
    <x v="1"/>
    <x v="1"/>
    <x v="7"/>
    <x v="43"/>
    <d v="2025-03-31T00:00:00"/>
    <x v="2"/>
    <s v="Wound Care"/>
    <s v="Dr. Okafor"/>
    <x v="0"/>
    <s v="Hygeia Hmo"/>
    <n v="102438.94"/>
    <n v="15015.18"/>
    <n v="0"/>
    <n v="14"/>
    <n v="55"/>
    <n v="2.7"/>
    <x v="1"/>
    <s v="Referred"/>
    <x v="2"/>
    <s v="Card"/>
    <n v="117454.12"/>
    <s v="Yound Adult"/>
    <s v="Acceptable"/>
  </r>
  <r>
    <x v="44"/>
    <s v="Ishaan Shah"/>
    <n v="50"/>
    <x v="1"/>
    <x v="4"/>
    <x v="2"/>
    <x v="44"/>
    <d v="2024-09-21T00:00:00"/>
    <x v="3"/>
    <s v="Surgery"/>
    <s v="Dr. Chukwu"/>
    <x v="2"/>
    <s v="Self Pay"/>
    <n v="482663.92"/>
    <n v="53760.6"/>
    <n v="27692.89"/>
    <n v="3"/>
    <n v="27"/>
    <n v="4.3"/>
    <x v="0"/>
    <s v="Referred"/>
    <x v="2"/>
    <s v="Card"/>
    <n v="564117.41"/>
    <s v="Adult"/>
    <s v="Excellent"/>
  </r>
  <r>
    <x v="45"/>
    <s v="Zara Malhotra"/>
    <n v="83"/>
    <x v="1"/>
    <x v="0"/>
    <x v="2"/>
    <x v="45"/>
    <d v="2024-10-30T00:00:00"/>
    <x v="2"/>
    <s v="Iv Therapy"/>
    <s v="Dr. Okafor"/>
    <x v="0"/>
    <s v="Axa Mansard"/>
    <n v="385121.62"/>
    <n v="18270.61"/>
    <n v="0"/>
    <n v="1"/>
    <n v="196"/>
    <n v="3.6"/>
    <x v="1"/>
    <s v="Recovered"/>
    <x v="2"/>
    <s v="Insurance"/>
    <n v="403392.23"/>
    <s v="Senior"/>
    <s v="Long Wait"/>
  </r>
  <r>
    <x v="46"/>
    <s v="Rahul Das"/>
    <n v="39"/>
    <x v="1"/>
    <x v="9"/>
    <x v="2"/>
    <x v="46"/>
    <d v="2025-01-10T00:00:00"/>
    <x v="1"/>
    <s v="Iv Therapy"/>
    <s v="Dr. Eze"/>
    <x v="1"/>
    <s v="Nhia"/>
    <n v="236841.39"/>
    <n v="42860.97"/>
    <n v="66348.45"/>
    <n v="1"/>
    <n v="10"/>
    <n v="1.7"/>
    <x v="1"/>
    <s v="Improved"/>
    <x v="0"/>
    <s v="Card"/>
    <n v="346050.81"/>
    <s v="Adult"/>
    <s v="Excellent"/>
  </r>
  <r>
    <x v="47"/>
    <s v="Priya Patel"/>
    <n v="50"/>
    <x v="0"/>
    <x v="4"/>
    <x v="4"/>
    <x v="47"/>
    <d v="2025-07-31T00:00:00"/>
    <x v="2"/>
    <s v="Medication"/>
    <s v="Dr. Eze"/>
    <x v="0"/>
    <s v="Leadway Health"/>
    <n v="115211.88"/>
    <n v="68778.8"/>
    <n v="48470.239999999998"/>
    <n v="7"/>
    <n v="183"/>
    <n v="3.8"/>
    <x v="1"/>
    <s v="Improved"/>
    <x v="2"/>
    <s v="Card"/>
    <n v="232460.91999999998"/>
    <s v="Adult"/>
    <s v="Long Wait"/>
  </r>
  <r>
    <x v="48"/>
    <s v="Neha Kumar"/>
    <n v="66"/>
    <x v="0"/>
    <x v="8"/>
    <x v="3"/>
    <x v="48"/>
    <d v="2025-01-19T00:00:00"/>
    <x v="5"/>
    <s v="Medication"/>
    <s v="Dr. Chukwu"/>
    <x v="0"/>
    <s v="Self Pay"/>
    <n v="0"/>
    <n v="418.54"/>
    <n v="0"/>
    <n v="5"/>
    <n v="74"/>
    <n v="4.5999999999999996"/>
    <x v="1"/>
    <s v="Recovered"/>
    <x v="0"/>
    <s v="Mobile Money"/>
    <n v="418.54"/>
    <s v="Senior"/>
    <s v="Long Wait"/>
  </r>
  <r>
    <x v="49"/>
    <s v="Rahul Singh"/>
    <n v="44"/>
    <x v="0"/>
    <x v="2"/>
    <x v="3"/>
    <x v="49"/>
    <d v="2025-10-31T00:00:00"/>
    <x v="0"/>
    <s v="Observation"/>
    <s v="Dr. Adeyemi"/>
    <x v="0"/>
    <s v="Mediplus"/>
    <n v="448006.18"/>
    <n v="0"/>
    <n v="0"/>
    <n v="9"/>
    <n v="90"/>
    <n v="4.2"/>
    <x v="0"/>
    <s v="Deceased"/>
    <x v="1"/>
    <s v="Cash"/>
    <n v="448006.18"/>
    <s v="Adult"/>
    <s v="Long Wait"/>
  </r>
  <r>
    <x v="50"/>
    <s v="Kabir Patel"/>
    <n v="0"/>
    <x v="0"/>
    <x v="1"/>
    <x v="0"/>
    <x v="50"/>
    <d v="2025-08-26T00:00:00"/>
    <x v="8"/>
    <s v="Iv Therapy"/>
    <s v="Dr. Musa"/>
    <x v="1"/>
    <s v="Avon Hmo"/>
    <n v="207523.19"/>
    <n v="0"/>
    <n v="65090.18"/>
    <n v="3"/>
    <n v="122"/>
    <n v="2.5"/>
    <x v="0"/>
    <s v="Referred"/>
    <x v="0"/>
    <s v="Cash"/>
    <n v="272613.37"/>
    <s v="Child"/>
    <s v="Long Wait"/>
  </r>
  <r>
    <x v="51"/>
    <s v="Priya Reddy"/>
    <n v="19"/>
    <x v="0"/>
    <x v="0"/>
    <x v="6"/>
    <x v="51"/>
    <d v="2024-09-02T00:00:00"/>
    <x v="0"/>
    <s v="Medication"/>
    <s v="Dr. Bello"/>
    <x v="1"/>
    <s v="Self Pay"/>
    <n v="211224.93"/>
    <n v="53878.559999999998"/>
    <n v="15428.22"/>
    <n v="2"/>
    <n v="132"/>
    <n v="3"/>
    <x v="1"/>
    <s v="Improved"/>
    <x v="2"/>
    <s v="Cash"/>
    <n v="280531.70999999996"/>
    <s v="Yound Adult"/>
    <s v="Long Wait"/>
  </r>
  <r>
    <x v="52"/>
    <s v="Ishaan Shah"/>
    <n v="47"/>
    <x v="0"/>
    <x v="0"/>
    <x v="8"/>
    <x v="52"/>
    <d v="2025-07-16T00:00:00"/>
    <x v="2"/>
    <s v="Iv Therapy"/>
    <s v="Dr. Chukwu"/>
    <x v="0"/>
    <s v="Self Pay"/>
    <n v="204274.07"/>
    <n v="24475.759999999998"/>
    <n v="63425"/>
    <n v="1"/>
    <n v="151"/>
    <n v="3"/>
    <x v="0"/>
    <s v="Improved"/>
    <x v="2"/>
    <s v="Cash"/>
    <n v="292174.83"/>
    <s v="Adult"/>
    <s v="Long Wait"/>
  </r>
  <r>
    <x v="53"/>
    <s v="Aditya Shah"/>
    <n v="36"/>
    <x v="0"/>
    <x v="3"/>
    <x v="3"/>
    <x v="53"/>
    <d v="2025-03-03T00:00:00"/>
    <x v="9"/>
    <s v="Medication"/>
    <s v="Dr. Eze"/>
    <x v="2"/>
    <s v="Hygeia Hmo"/>
    <n v="0"/>
    <n v="0"/>
    <n v="86006.23"/>
    <n v="2"/>
    <n v="218"/>
    <n v="3.4"/>
    <x v="0"/>
    <s v="Improved"/>
    <x v="2"/>
    <s v="Card"/>
    <n v="86006.23"/>
    <s v="Adult"/>
    <s v="Long Wait"/>
  </r>
  <r>
    <x v="54"/>
    <s v="Arjun Nair"/>
    <n v="49"/>
    <x v="0"/>
    <x v="7"/>
    <x v="3"/>
    <x v="50"/>
    <d v="2025-08-27T00:00:00"/>
    <x v="10"/>
    <s v="Medication"/>
    <s v="Dr. Okafor"/>
    <x v="2"/>
    <s v="Self Pay"/>
    <n v="651043.31000000006"/>
    <n v="57989.37"/>
    <n v="41162.47"/>
    <n v="4"/>
    <n v="23"/>
    <n v="1.6"/>
    <x v="0"/>
    <s v="Recovered"/>
    <x v="2"/>
    <s v="Insurance"/>
    <n v="750195.15"/>
    <s v="Adult"/>
    <s v="Excellent"/>
  </r>
  <r>
    <x v="55"/>
    <s v="Ananya Kapoor"/>
    <n v="26"/>
    <x v="0"/>
    <x v="7"/>
    <x v="4"/>
    <x v="54"/>
    <d v="2024-12-27T00:00:00"/>
    <x v="0"/>
    <s v="Wound Care"/>
    <s v="Dr. Ibrahim"/>
    <x v="2"/>
    <s v="Self Pay"/>
    <n v="20884.48"/>
    <n v="13835.68"/>
    <n v="12553.56"/>
    <n v="3"/>
    <n v="221"/>
    <n v="4.8"/>
    <x v="1"/>
    <s v="Recovered"/>
    <x v="2"/>
    <s v="Cash"/>
    <n v="47273.72"/>
    <s v="Yound Adult"/>
    <s v="Long Wait"/>
  </r>
  <r>
    <x v="56"/>
    <s v="Priya Gupta"/>
    <n v="75"/>
    <x v="1"/>
    <x v="4"/>
    <x v="6"/>
    <x v="55"/>
    <d v="2024-05-29T00:00:00"/>
    <x v="2"/>
    <s v="Surgery"/>
    <s v="Dr. Adeyemi"/>
    <x v="0"/>
    <s v="Reliance Hmo"/>
    <n v="230831.56"/>
    <n v="8467.89"/>
    <n v="90693.72"/>
    <n v="3"/>
    <n v="135"/>
    <n v="2.4"/>
    <x v="1"/>
    <s v="Recovered"/>
    <x v="2"/>
    <s v="Bank Transfer"/>
    <n v="329993.17000000004"/>
    <s v="Senior"/>
    <s v="Long Wait"/>
  </r>
  <r>
    <x v="57"/>
    <s v="Ananya Kumar"/>
    <n v="23"/>
    <x v="1"/>
    <x v="9"/>
    <x v="4"/>
    <x v="56"/>
    <d v="2024-02-25T00:00:00"/>
    <x v="1"/>
    <s v="Medication"/>
    <s v="Dr. Adeyemi"/>
    <x v="2"/>
    <s v="Mediplus"/>
    <n v="26408.04"/>
    <n v="53154.44"/>
    <n v="102282.5"/>
    <n v="2"/>
    <n v="0"/>
    <n v="4.4000000000000004"/>
    <x v="1"/>
    <s v="Recovered"/>
    <x v="2"/>
    <s v="Bank Transfer"/>
    <n v="181844.98"/>
    <s v="Yound Adult"/>
    <s v="Excellent"/>
  </r>
  <r>
    <x v="58"/>
    <s v="Arjun Kumar"/>
    <n v="59"/>
    <x v="0"/>
    <x v="0"/>
    <x v="2"/>
    <x v="57"/>
    <d v="2025-08-13T00:00:00"/>
    <x v="5"/>
    <s v="Counseling"/>
    <s v="Dr. Okafor"/>
    <x v="2"/>
    <s v="Hygeia Hmo"/>
    <n v="0"/>
    <n v="43584"/>
    <n v="25121.29"/>
    <n v="3"/>
    <n v="137"/>
    <n v="2.7"/>
    <x v="1"/>
    <s v="Improved"/>
    <x v="0"/>
    <s v="Card"/>
    <n v="68705.290000000008"/>
    <s v="Adult"/>
    <s v="Long Wait"/>
  </r>
  <r>
    <x v="59"/>
    <s v="Rohan Kumar"/>
    <n v="7"/>
    <x v="0"/>
    <x v="1"/>
    <x v="0"/>
    <x v="58"/>
    <d v="2026-02-03T00:00:00"/>
    <x v="3"/>
    <s v="Surgery"/>
    <s v="Dr. Adebayo"/>
    <x v="2"/>
    <s v="Leadway Health"/>
    <n v="226731.89"/>
    <n v="36493.06"/>
    <n v="17870.5"/>
    <n v="1"/>
    <n v="142"/>
    <n v="1.5"/>
    <x v="1"/>
    <s v="Deceased"/>
    <x v="0"/>
    <s v="Bank Transfer"/>
    <n v="281095.45"/>
    <s v="Child"/>
    <s v="Long Wait"/>
  </r>
  <r>
    <x v="60"/>
    <s v="Aditya Verma"/>
    <n v="16"/>
    <x v="0"/>
    <x v="9"/>
    <x v="4"/>
    <x v="59"/>
    <d v="2026-02-19T00:00:00"/>
    <x v="3"/>
    <s v="Dialysis"/>
    <s v="Dr. Okafor"/>
    <x v="0"/>
    <s v="Self Pay"/>
    <n v="128742.94"/>
    <n v="31184.97"/>
    <n v="19187.599999999999"/>
    <n v="3"/>
    <n v="66"/>
    <n v="5"/>
    <x v="1"/>
    <s v="Improved"/>
    <x v="0"/>
    <s v="Bank Transfer"/>
    <n v="179115.51"/>
    <s v="Child"/>
    <s v="Long Wait"/>
  </r>
  <r>
    <x v="61"/>
    <s v="Riya Malhotra"/>
    <n v="61"/>
    <x v="0"/>
    <x v="5"/>
    <x v="1"/>
    <x v="60"/>
    <d v="2025-06-05T00:00:00"/>
    <x v="1"/>
    <s v="Medication"/>
    <s v="Dr. Okafor"/>
    <x v="2"/>
    <s v="Avon Hmo"/>
    <n v="61841.04"/>
    <n v="43245.1"/>
    <n v="88247.06"/>
    <n v="2"/>
    <n v="0"/>
    <n v="2.7"/>
    <x v="1"/>
    <s v="Improved"/>
    <x v="0"/>
    <s v="Bank Transfer"/>
    <n v="193333.2"/>
    <s v="Senior"/>
    <s v="Excellent"/>
  </r>
  <r>
    <x v="62"/>
    <s v="Neha Verma"/>
    <n v="38"/>
    <x v="0"/>
    <x v="5"/>
    <x v="7"/>
    <x v="61"/>
    <d v="2024-07-15T00:00:00"/>
    <x v="8"/>
    <s v="Medication"/>
    <s v="Dr. Chukwu"/>
    <x v="1"/>
    <s v="Nhia"/>
    <n v="271960.42"/>
    <n v="14900.37"/>
    <n v="47597.69"/>
    <n v="4"/>
    <n v="83"/>
    <n v="5"/>
    <x v="1"/>
    <s v="Improved"/>
    <x v="0"/>
    <s v="Cash"/>
    <n v="334458.48"/>
    <s v="Adult"/>
    <s v="Long Wait"/>
  </r>
  <r>
    <x v="63"/>
    <s v="Riya Shah"/>
    <n v="88"/>
    <x v="0"/>
    <x v="4"/>
    <x v="8"/>
    <x v="62"/>
    <d v="2024-06-05T00:00:00"/>
    <x v="8"/>
    <s v="Iv Therapy"/>
    <s v="Dr. Yusuf"/>
    <x v="2"/>
    <s v="Hygeia Hmo"/>
    <n v="341957.46"/>
    <n v="21849.41"/>
    <n v="81036.42"/>
    <n v="3"/>
    <n v="64"/>
    <n v="1.1000000000000001"/>
    <x v="0"/>
    <s v="Improved"/>
    <x v="0"/>
    <s v="Card"/>
    <n v="444843.29"/>
    <s v="Senior"/>
    <s v="Long Wait"/>
  </r>
  <r>
    <x v="64"/>
    <s v="Rohan Singh"/>
    <n v="1"/>
    <x v="0"/>
    <x v="0"/>
    <x v="7"/>
    <x v="63"/>
    <d v="2026-08-28T00:00:00"/>
    <x v="10"/>
    <s v="Medication"/>
    <s v="Dr. Yusuf"/>
    <x v="2"/>
    <s v="Hygeia Hmo"/>
    <n v="170788.11"/>
    <n v="30460.46"/>
    <n v="95293.119999999995"/>
    <n v="1"/>
    <n v="119"/>
    <n v="3.4"/>
    <x v="1"/>
    <s v="Improved"/>
    <x v="0"/>
    <s v="Mobile Money"/>
    <n v="296541.68999999994"/>
    <s v="Child"/>
    <s v="Long Wait"/>
  </r>
  <r>
    <x v="65"/>
    <s v="Priya Joshi"/>
    <n v="0"/>
    <x v="1"/>
    <x v="3"/>
    <x v="4"/>
    <x v="64"/>
    <d v="2026-05-10T00:00:00"/>
    <x v="8"/>
    <s v="Wound Care"/>
    <s v="Dr. Balogun"/>
    <x v="0"/>
    <s v="Hygeia Hmo"/>
    <n v="252986.04"/>
    <n v="49271.63"/>
    <n v="642.41"/>
    <n v="5"/>
    <n v="180"/>
    <n v="4.0999999999999996"/>
    <x v="1"/>
    <s v="Referred"/>
    <x v="0"/>
    <s v="Cash"/>
    <n v="302900.07999999996"/>
    <s v="Child"/>
    <s v="Long Wait"/>
  </r>
  <r>
    <x v="66"/>
    <s v="Diya Malhotra"/>
    <n v="56"/>
    <x v="1"/>
    <x v="1"/>
    <x v="7"/>
    <x v="65"/>
    <d v="2026-03-15T00:00:00"/>
    <x v="11"/>
    <s v="Iv Therapy"/>
    <s v="Dr. Yusuf"/>
    <x v="0"/>
    <s v="Mediplus"/>
    <n v="537897"/>
    <n v="34546.660000000003"/>
    <n v="52446.62"/>
    <n v="2"/>
    <n v="60"/>
    <n v="2.6"/>
    <x v="1"/>
    <s v="Deceased"/>
    <x v="0"/>
    <s v="Cash"/>
    <n v="624890.28"/>
    <s v="Adult"/>
    <s v="Long Wait"/>
  </r>
  <r>
    <x v="67"/>
    <s v="Sneha Malhotra"/>
    <n v="58"/>
    <x v="1"/>
    <x v="10"/>
    <x v="5"/>
    <x v="66"/>
    <d v="2025-03-18T00:00:00"/>
    <x v="2"/>
    <s v="Physiotherapy"/>
    <s v="Dr. Okafor"/>
    <x v="1"/>
    <s v="Leadway Health"/>
    <n v="287341.28999999998"/>
    <n v="35597.1"/>
    <n v="21285.77"/>
    <n v="3"/>
    <n v="130"/>
    <n v="5"/>
    <x v="1"/>
    <s v="Improved"/>
    <x v="2"/>
    <s v="Card"/>
    <n v="344224.16"/>
    <s v="Adult"/>
    <s v="Long Wait"/>
  </r>
  <r>
    <x v="68"/>
    <s v="Priya Reddy"/>
    <n v="78"/>
    <x v="1"/>
    <x v="10"/>
    <x v="2"/>
    <x v="67"/>
    <d v="2025-10-20T00:00:00"/>
    <x v="2"/>
    <s v="Antibiotics"/>
    <s v="Dr. Adeyemi"/>
    <x v="1"/>
    <s v="Nhia"/>
    <n v="148429.81"/>
    <n v="5259.88"/>
    <n v="41226.39"/>
    <n v="8"/>
    <n v="99"/>
    <n v="5"/>
    <x v="0"/>
    <s v="Improved"/>
    <x v="0"/>
    <s v="Bank Transfer"/>
    <n v="194916.08000000002"/>
    <s v="Senior"/>
    <s v="Long Wait"/>
  </r>
  <r>
    <x v="69"/>
    <s v="Vivaan Mehta"/>
    <n v="76"/>
    <x v="1"/>
    <x v="9"/>
    <x v="4"/>
    <x v="68"/>
    <d v="2025-12-14T00:00:00"/>
    <x v="8"/>
    <s v="Surgery"/>
    <s v="Dr. Adeyemi"/>
    <x v="1"/>
    <s v="Mediplus"/>
    <n v="197878.89"/>
    <n v="19327.97"/>
    <n v="14636.87"/>
    <n v="1"/>
    <n v="0"/>
    <n v="4.8"/>
    <x v="1"/>
    <s v="Recovered"/>
    <x v="1"/>
    <s v="Cash"/>
    <n v="231843.73"/>
    <s v="Senior"/>
    <s v="Excellent"/>
  </r>
  <r>
    <x v="70"/>
    <s v="Meera Kapoor"/>
    <n v="14"/>
    <x v="1"/>
    <x v="6"/>
    <x v="2"/>
    <x v="69"/>
    <d v="2024-09-19T00:00:00"/>
    <x v="10"/>
    <s v="Surgery"/>
    <s v="Dr. Chukwu"/>
    <x v="1"/>
    <s v="Reliance Hmo"/>
    <n v="38688.97"/>
    <n v="21605.38"/>
    <n v="95070.65"/>
    <n v="3"/>
    <n v="75"/>
    <n v="1.7"/>
    <x v="1"/>
    <s v="Recovered"/>
    <x v="2"/>
    <s v="Bank Transfer"/>
    <n v="155365"/>
    <s v="Child"/>
    <s v="Long Wait"/>
  </r>
  <r>
    <x v="71"/>
    <s v="Diya Mehta"/>
    <n v="37"/>
    <x v="1"/>
    <x v="10"/>
    <x v="4"/>
    <x v="70"/>
    <d v="2025-12-11T00:00:00"/>
    <x v="10"/>
    <s v="Iv Therapy"/>
    <s v="Dr. Chukwu"/>
    <x v="1"/>
    <s v="Reliance Hmo"/>
    <n v="0"/>
    <n v="28642.63"/>
    <n v="38071.96"/>
    <n v="2"/>
    <n v="147"/>
    <n v="5"/>
    <x v="1"/>
    <s v="Improved"/>
    <x v="2"/>
    <s v="Bank Transfer"/>
    <n v="66714.59"/>
    <s v="Adult"/>
    <s v="Long Wait"/>
  </r>
  <r>
    <x v="72"/>
    <s v="Vivaan Patel"/>
    <n v="37"/>
    <x v="1"/>
    <x v="9"/>
    <x v="0"/>
    <x v="71"/>
    <d v="2026-01-10T00:00:00"/>
    <x v="1"/>
    <s v="Antibiotics"/>
    <s v="Dr. Chukwu"/>
    <x v="1"/>
    <s v="Reliance Hmo"/>
    <n v="65086.37"/>
    <n v="94334"/>
    <n v="46776.55"/>
    <n v="6"/>
    <n v="96"/>
    <n v="3.7"/>
    <x v="1"/>
    <s v="Improved"/>
    <x v="2"/>
    <s v="Insurance"/>
    <n v="206196.91999999998"/>
    <s v="Adult"/>
    <s v="Long Wait"/>
  </r>
  <r>
    <x v="73"/>
    <s v="Vivaan Nair"/>
    <n v="39"/>
    <x v="1"/>
    <x v="8"/>
    <x v="0"/>
    <x v="72"/>
    <d v="2024-06-15T00:00:00"/>
    <x v="1"/>
    <s v="Medication"/>
    <s v="Dr. Bello"/>
    <x v="1"/>
    <s v="Reliance Hmo"/>
    <n v="139687.32"/>
    <n v="16328.53"/>
    <n v="44017.4"/>
    <n v="3"/>
    <n v="54"/>
    <n v="2.8"/>
    <x v="1"/>
    <s v="Improved"/>
    <x v="0"/>
    <s v="Card"/>
    <n v="200033.25"/>
    <s v="Adult"/>
    <s v="Acceptable"/>
  </r>
  <r>
    <x v="74"/>
    <s v="Meera Rao"/>
    <n v="37"/>
    <x v="1"/>
    <x v="8"/>
    <x v="0"/>
    <x v="73"/>
    <d v="2024-03-22T00:00:00"/>
    <x v="2"/>
    <s v="Antibiotics"/>
    <s v="Dr. Okafor"/>
    <x v="2"/>
    <s v="Reliance Hmo"/>
    <n v="430559.02"/>
    <n v="0"/>
    <n v="77745.210000000006"/>
    <n v="3"/>
    <n v="188"/>
    <n v="1"/>
    <x v="1"/>
    <s v="Recovered"/>
    <x v="0"/>
    <s v="Card"/>
    <n v="508304.23000000004"/>
    <s v="Adult"/>
    <s v="Long Wait"/>
  </r>
  <r>
    <x v="75"/>
    <s v="Priya Kapoor"/>
    <n v="34"/>
    <x v="1"/>
    <x v="8"/>
    <x v="5"/>
    <x v="74"/>
    <d v="2025-09-20T00:00:00"/>
    <x v="5"/>
    <s v="Physiotherapy"/>
    <s v="Dr. Ibrahim"/>
    <x v="1"/>
    <s v="Mediplus"/>
    <n v="22948.36"/>
    <n v="10554.58"/>
    <n v="11682.72"/>
    <n v="2"/>
    <n v="226"/>
    <n v="4.9000000000000004"/>
    <x v="1"/>
    <s v="Recovered"/>
    <x v="2"/>
    <s v="Bank Transfer"/>
    <n v="45185.66"/>
    <s v="Yound Adult"/>
    <s v="Long Wait"/>
  </r>
  <r>
    <x v="76"/>
    <s v="Maya Mehta"/>
    <n v="58"/>
    <x v="1"/>
    <x v="10"/>
    <x v="7"/>
    <x v="75"/>
    <d v="2026-01-05T00:00:00"/>
    <x v="11"/>
    <s v="Surgery"/>
    <s v="Dr. Ibrahim"/>
    <x v="1"/>
    <s v="Hygeia Hmo"/>
    <n v="61932.75"/>
    <n v="16886.990000000002"/>
    <n v="59681.24"/>
    <n v="7"/>
    <n v="3"/>
    <n v="4.5999999999999996"/>
    <x v="1"/>
    <s v="Recovered"/>
    <x v="1"/>
    <s v="Bank Transfer"/>
    <n v="138500.98000000001"/>
    <s v="Adult"/>
    <s v="Excellent"/>
  </r>
  <r>
    <x v="77"/>
    <s v="Aditya Verma"/>
    <n v="34"/>
    <x v="1"/>
    <x v="0"/>
    <x v="0"/>
    <x v="76"/>
    <d v="2024-03-10T00:00:00"/>
    <x v="11"/>
    <s v="Chemotherapy"/>
    <s v="Dr. Balogun"/>
    <x v="1"/>
    <s v="Self Pay"/>
    <n v="319534.40000000002"/>
    <n v="41106.58"/>
    <n v="34171.019999999997"/>
    <n v="2"/>
    <n v="181"/>
    <n v="2.2999999999999998"/>
    <x v="1"/>
    <s v="Improved"/>
    <x v="0"/>
    <s v="Bank Transfer"/>
    <n v="394812.00000000006"/>
    <s v="Yound Adult"/>
    <s v="Long Wait"/>
  </r>
  <r>
    <x v="78"/>
    <s v="Aisha Rao"/>
    <n v="56"/>
    <x v="1"/>
    <x v="8"/>
    <x v="3"/>
    <x v="77"/>
    <d v="2025-07-22T00:00:00"/>
    <x v="11"/>
    <s v="Chemotherapy"/>
    <s v="Dr. Okafor"/>
    <x v="1"/>
    <s v="Leadway Health"/>
    <n v="176663.5"/>
    <n v="38153.33"/>
    <n v="7466.59"/>
    <n v="4"/>
    <n v="164"/>
    <n v="3.5"/>
    <x v="1"/>
    <s v="Referred"/>
    <x v="2"/>
    <s v="Bank Transfer"/>
    <n v="222283.42"/>
    <s v="Adult"/>
    <s v="Long Wait"/>
  </r>
  <r>
    <x v="79"/>
    <s v="Zara Kapoor"/>
    <n v="66"/>
    <x v="0"/>
    <x v="11"/>
    <x v="5"/>
    <x v="78"/>
    <d v="2026-05-18T00:00:00"/>
    <x v="0"/>
    <s v="Physiotherapy"/>
    <s v="Dr. Okafor"/>
    <x v="2"/>
    <s v="Self Pay"/>
    <n v="121391.88"/>
    <n v="0"/>
    <n v="0"/>
    <n v="2"/>
    <n v="140"/>
    <n v="4.2"/>
    <x v="1"/>
    <s v="Improved"/>
    <x v="0"/>
    <s v="Bank Transfer"/>
    <n v="121391.88"/>
    <s v="Senior"/>
    <s v="Long Wait"/>
  </r>
  <r>
    <x v="80"/>
    <s v="Priya Shah"/>
    <n v="67"/>
    <x v="1"/>
    <x v="9"/>
    <x v="1"/>
    <x v="79"/>
    <d v="2025-12-09T00:00:00"/>
    <x v="2"/>
    <s v="Dialysis"/>
    <s v="Dr. Chukwu"/>
    <x v="0"/>
    <s v="Nhia"/>
    <n v="235991.87"/>
    <n v="33757.54"/>
    <n v="34091.629999999997"/>
    <n v="3"/>
    <n v="90"/>
    <n v="4.0999999999999996"/>
    <x v="0"/>
    <s v="Referred"/>
    <x v="0"/>
    <s v="Bank Transfer"/>
    <n v="303841.03999999998"/>
    <s v="Senior"/>
    <s v="Long Wait"/>
  </r>
  <r>
    <x v="81"/>
    <s v="Maya Kapoor"/>
    <n v="13"/>
    <x v="0"/>
    <x v="11"/>
    <x v="1"/>
    <x v="80"/>
    <d v="2025-04-23T00:00:00"/>
    <x v="11"/>
    <s v="Physiotherapy"/>
    <s v="Dr. Adeyemi"/>
    <x v="1"/>
    <s v="Avon Hmo"/>
    <n v="324056.96999999997"/>
    <n v="34271.64"/>
    <n v="39480.5"/>
    <n v="1"/>
    <n v="96"/>
    <n v="4.2"/>
    <x v="0"/>
    <s v="Referred"/>
    <x v="1"/>
    <s v="Bank Transfer"/>
    <n v="397809.11"/>
    <s v="Child"/>
    <s v="Long Wait"/>
  </r>
  <r>
    <x v="82"/>
    <s v="Riya Kumar"/>
    <n v="48"/>
    <x v="0"/>
    <x v="0"/>
    <x v="6"/>
    <x v="81"/>
    <d v="2026-05-21T00:00:00"/>
    <x v="0"/>
    <s v="Surgery"/>
    <s v="Dr. Yusuf"/>
    <x v="1"/>
    <s v="Self Pay"/>
    <n v="357576.74"/>
    <n v="71636.86"/>
    <n v="75431.100000000006"/>
    <n v="4"/>
    <n v="0"/>
    <n v="2"/>
    <x v="0"/>
    <s v="Recovered"/>
    <x v="1"/>
    <s v="Cash"/>
    <n v="504644.69999999995"/>
    <s v="Adult"/>
    <s v="Excellent"/>
  </r>
  <r>
    <x v="83"/>
    <s v="Sneha Shah"/>
    <n v="43"/>
    <x v="1"/>
    <x v="7"/>
    <x v="6"/>
    <x v="82"/>
    <d v="2025-07-19T00:00:00"/>
    <x v="5"/>
    <s v="Counseling"/>
    <s v="Dr. Yusuf"/>
    <x v="1"/>
    <s v="Nhia"/>
    <n v="292472.26"/>
    <n v="11856.4"/>
    <n v="50603"/>
    <n v="2"/>
    <n v="38"/>
    <n v="2.9"/>
    <x v="0"/>
    <s v="Improved"/>
    <x v="0"/>
    <s v="Mobile Money"/>
    <n v="354931.66000000003"/>
    <s v="Adult"/>
    <s v="Acceptable"/>
  </r>
  <r>
    <x v="84"/>
    <s v="Sneha Reddy"/>
    <n v="22"/>
    <x v="0"/>
    <x v="8"/>
    <x v="8"/>
    <x v="83"/>
    <d v="2025-05-01T00:00:00"/>
    <x v="5"/>
    <s v="Physiotherapy"/>
    <s v="Dr. Yusuf"/>
    <x v="0"/>
    <s v="Nhia"/>
    <n v="30764.16"/>
    <n v="5603.17"/>
    <n v="76609.25"/>
    <n v="1"/>
    <n v="23"/>
    <n v="5"/>
    <x v="0"/>
    <s v="Improved"/>
    <x v="2"/>
    <s v="Bank Transfer"/>
    <n v="112976.58"/>
    <s v="Yound Adult"/>
    <s v="Excellent"/>
  </r>
  <r>
    <x v="85"/>
    <s v="Maya Nair"/>
    <n v="47"/>
    <x v="0"/>
    <x v="0"/>
    <x v="8"/>
    <x v="84"/>
    <d v="2024-12-09T00:00:00"/>
    <x v="4"/>
    <s v="Iv Therapy"/>
    <s v="Dr. Adeyemi"/>
    <x v="0"/>
    <s v="Leadway Health"/>
    <n v="99829.91"/>
    <n v="47507.75"/>
    <n v="27730.87"/>
    <n v="4"/>
    <n v="104"/>
    <n v="5"/>
    <x v="0"/>
    <s v="Recovered"/>
    <x v="2"/>
    <s v="Insurance"/>
    <n v="175068.53"/>
    <s v="Adult"/>
    <s v="Long Wait"/>
  </r>
  <r>
    <x v="86"/>
    <s v="Rohan Shah"/>
    <n v="68"/>
    <x v="1"/>
    <x v="8"/>
    <x v="8"/>
    <x v="85"/>
    <d v="2026-01-10T00:00:00"/>
    <x v="11"/>
    <s v="Medication"/>
    <s v="Dr. Musa"/>
    <x v="0"/>
    <s v="Leadway Health"/>
    <n v="121555.3"/>
    <n v="29125.29"/>
    <n v="98124.02"/>
    <n v="2"/>
    <n v="47"/>
    <n v="5"/>
    <x v="1"/>
    <s v="Recovered"/>
    <x v="2"/>
    <s v="Bank Transfer"/>
    <n v="248804.61"/>
    <s v="Senior"/>
    <s v="Acceptable"/>
  </r>
  <r>
    <x v="87"/>
    <s v="Riya Mehta"/>
    <n v="30"/>
    <x v="1"/>
    <x v="8"/>
    <x v="7"/>
    <x v="86"/>
    <d v="2026-06-17T00:00:00"/>
    <x v="6"/>
    <s v="Chemotherapy"/>
    <s v="Dr. Yusuf"/>
    <x v="0"/>
    <s v="Mediplus"/>
    <n v="308537.08"/>
    <n v="54313.86"/>
    <n v="63654.3"/>
    <n v="5"/>
    <n v="0"/>
    <n v="2.8"/>
    <x v="1"/>
    <s v="Recovered"/>
    <x v="0"/>
    <s v="Bank Transfer"/>
    <n v="426505.24"/>
    <s v="Yound Adult"/>
    <s v="Excellent"/>
  </r>
  <r>
    <x v="88"/>
    <s v="Kavya Mehta"/>
    <n v="41"/>
    <x v="1"/>
    <x v="8"/>
    <x v="5"/>
    <x v="26"/>
    <d v="2026-04-04T00:00:00"/>
    <x v="11"/>
    <s v="Iv Therapy"/>
    <s v="Dr. Adebayo"/>
    <x v="2"/>
    <s v="Reliance Hmo"/>
    <n v="306894.09000000003"/>
    <n v="34442.53"/>
    <n v="4939.67"/>
    <n v="2"/>
    <n v="123"/>
    <n v="4.5"/>
    <x v="0"/>
    <s v="Recovered"/>
    <x v="1"/>
    <s v="Bank Transfer"/>
    <n v="346276.29"/>
    <s v="Adult"/>
    <s v="Long Wait"/>
  </r>
  <r>
    <x v="89"/>
    <s v="Ananya Kapoor"/>
    <n v="66"/>
    <x v="1"/>
    <x v="0"/>
    <x v="5"/>
    <x v="57"/>
    <d v="2025-08-14T00:00:00"/>
    <x v="10"/>
    <s v="Iv Therapy"/>
    <s v="Dr. Okafor"/>
    <x v="0"/>
    <s v="Avon Hmo"/>
    <n v="336749.1"/>
    <n v="41479.5"/>
    <n v="42895.03"/>
    <n v="4"/>
    <n v="0"/>
    <n v="4.3"/>
    <x v="1"/>
    <s v="Recovered"/>
    <x v="2"/>
    <s v="Bank Transfer"/>
    <n v="421123.63"/>
    <s v="Senior"/>
    <s v="Excellent"/>
  </r>
  <r>
    <x v="90"/>
    <s v="Aisha Kapoor"/>
    <n v="48"/>
    <x v="1"/>
    <x v="8"/>
    <x v="4"/>
    <x v="68"/>
    <d v="2025-12-16T00:00:00"/>
    <x v="11"/>
    <s v="Observation"/>
    <s v="Dr. Okafor"/>
    <x v="0"/>
    <s v="Axa Mansard"/>
    <n v="41255.199999999997"/>
    <n v="2973.59"/>
    <n v="76594.59"/>
    <n v="3"/>
    <n v="92"/>
    <n v="4.5999999999999996"/>
    <x v="1"/>
    <s v="Deceased"/>
    <x v="1"/>
    <s v="Card"/>
    <n v="120823.37999999999"/>
    <s v="Adult"/>
    <s v="Long Wait"/>
  </r>
  <r>
    <x v="91"/>
    <s v="Aarav Gupta"/>
    <n v="31"/>
    <x v="1"/>
    <x v="0"/>
    <x v="7"/>
    <x v="87"/>
    <d v="2024-07-04T00:00:00"/>
    <x v="9"/>
    <s v="Surgery"/>
    <s v="Dr. Balogun"/>
    <x v="0"/>
    <s v="Leadway Health"/>
    <n v="417308.64"/>
    <n v="87472.45"/>
    <n v="34114.839999999997"/>
    <n v="6"/>
    <n v="61"/>
    <n v="5"/>
    <x v="1"/>
    <s v="Referred"/>
    <x v="1"/>
    <s v="Bank Transfer"/>
    <n v="538895.93000000005"/>
    <s v="Yound Adult"/>
    <s v="Long Wait"/>
  </r>
  <r>
    <x v="92"/>
    <s v="Riya Malhotra"/>
    <n v="42"/>
    <x v="1"/>
    <x v="10"/>
    <x v="8"/>
    <x v="88"/>
    <d v="2026-07-28T00:00:00"/>
    <x v="11"/>
    <s v="Observation"/>
    <s v="Dr. Bello"/>
    <x v="1"/>
    <s v="Hygeia Hmo"/>
    <n v="252790.06"/>
    <n v="68762.509999999995"/>
    <n v="15049.38"/>
    <n v="1"/>
    <n v="168"/>
    <n v="3.4"/>
    <x v="1"/>
    <s v="Improved"/>
    <x v="2"/>
    <s v="Bank Transfer"/>
    <n v="336601.95"/>
    <s v="Adult"/>
    <s v="Long Wait"/>
  </r>
  <r>
    <x v="93"/>
    <s v="Kabir Mehta"/>
    <n v="57"/>
    <x v="0"/>
    <x v="10"/>
    <x v="1"/>
    <x v="89"/>
    <d v="2026-06-16T00:00:00"/>
    <x v="11"/>
    <s v="Surgery"/>
    <s v="Dr. Yusuf"/>
    <x v="1"/>
    <s v="Self Pay"/>
    <n v="62818.92"/>
    <n v="39560.239999999998"/>
    <n v="49993.57"/>
    <n v="3"/>
    <n v="131"/>
    <n v="4.0999999999999996"/>
    <x v="1"/>
    <s v="Recovered"/>
    <x v="1"/>
    <s v="Bank Transfer"/>
    <n v="152372.73000000001"/>
    <s v="Adult"/>
    <s v="Long Wait"/>
  </r>
  <r>
    <x v="94"/>
    <s v="Aarav Shah"/>
    <n v="28"/>
    <x v="0"/>
    <x v="10"/>
    <x v="1"/>
    <x v="90"/>
    <d v="2025-06-01T00:00:00"/>
    <x v="1"/>
    <s v="Dialysis"/>
    <s v="Dr. Bello"/>
    <x v="0"/>
    <s v="Self Pay"/>
    <n v="145660.43"/>
    <n v="14421.49"/>
    <n v="28335.69"/>
    <n v="17"/>
    <n v="47"/>
    <n v="5"/>
    <x v="1"/>
    <s v="Recovered"/>
    <x v="1"/>
    <s v="Insurance"/>
    <n v="188417.61"/>
    <s v="Yound Adult"/>
    <s v="Acceptable"/>
  </r>
  <r>
    <x v="95"/>
    <s v="Isha Mehta"/>
    <n v="30"/>
    <x v="0"/>
    <x v="4"/>
    <x v="7"/>
    <x v="91"/>
    <d v="2025-03-17T00:00:00"/>
    <x v="1"/>
    <s v="Dialysis"/>
    <s v="Dr. Adeyemi"/>
    <x v="1"/>
    <s v="Axa Mansard"/>
    <n v="103470.22"/>
    <n v="41785.39"/>
    <n v="28433.31"/>
    <n v="8"/>
    <n v="142"/>
    <n v="4"/>
    <x v="1"/>
    <s v="Recovered"/>
    <x v="0"/>
    <s v="Bank Transfer"/>
    <n v="173688.91999999998"/>
    <s v="Yound Adult"/>
    <s v="Long Wait"/>
  </r>
  <r>
    <x v="96"/>
    <s v="Aditya Patel"/>
    <n v="87"/>
    <x v="1"/>
    <x v="10"/>
    <x v="6"/>
    <x v="92"/>
    <d v="2024-09-15T00:00:00"/>
    <x v="0"/>
    <s v="Observation"/>
    <s v="Dr. Adeyemi"/>
    <x v="0"/>
    <s v="Leadway Health"/>
    <n v="195227.39"/>
    <n v="10042.57"/>
    <n v="3620.42"/>
    <n v="5"/>
    <n v="40"/>
    <n v="3.7"/>
    <x v="1"/>
    <s v="Referred"/>
    <x v="1"/>
    <s v="Mobile Money"/>
    <n v="208890.38000000003"/>
    <s v="Senior"/>
    <s v="Acceptable"/>
  </r>
  <r>
    <x v="97"/>
    <s v="Zara Malhotra"/>
    <n v="31"/>
    <x v="1"/>
    <x v="0"/>
    <x v="1"/>
    <x v="93"/>
    <d v="2024-09-18T00:00:00"/>
    <x v="11"/>
    <s v="Chemotherapy"/>
    <s v="Dr. Ibrahim"/>
    <x v="0"/>
    <s v="Axa Mansard"/>
    <n v="251330.31"/>
    <n v="29589.43"/>
    <n v="80651.8"/>
    <n v="11"/>
    <n v="284"/>
    <n v="3"/>
    <x v="1"/>
    <s v="Recovered"/>
    <x v="1"/>
    <s v="Bank Transfer"/>
    <n v="361571.54"/>
    <s v="Yound Adult"/>
    <s v="Long Wait"/>
  </r>
  <r>
    <x v="98"/>
    <s v="Meera Malhotra"/>
    <n v="65"/>
    <x v="0"/>
    <x v="0"/>
    <x v="2"/>
    <x v="94"/>
    <d v="2025-11-09T00:00:00"/>
    <x v="0"/>
    <s v="Medication"/>
    <s v="Dr. Adebayo"/>
    <x v="0"/>
    <s v="Hygeia Hmo"/>
    <n v="315464.81"/>
    <n v="76167.679999999993"/>
    <n v="62517.85"/>
    <n v="2"/>
    <n v="68"/>
    <n v="4.5"/>
    <x v="0"/>
    <s v="Recovered"/>
    <x v="1"/>
    <s v="Cash"/>
    <n v="454150.33999999997"/>
    <s v="Senior"/>
    <s v="Long Wait"/>
  </r>
  <r>
    <x v="99"/>
    <s v="Isha Reddy"/>
    <n v="61"/>
    <x v="0"/>
    <x v="1"/>
    <x v="2"/>
    <x v="95"/>
    <d v="2024-07-13T00:00:00"/>
    <x v="11"/>
    <s v="Iv Therapy"/>
    <s v="Dr. Eze"/>
    <x v="0"/>
    <s v="Hygeia Hmo"/>
    <n v="291018.36"/>
    <n v="56666.87"/>
    <n v="80078.87"/>
    <n v="6"/>
    <n v="198"/>
    <n v="4.5"/>
    <x v="1"/>
    <s v="Recovered"/>
    <x v="1"/>
    <s v="Cash"/>
    <n v="427764.1"/>
    <s v="Senior"/>
    <s v="Long Wait"/>
  </r>
  <r>
    <x v="100"/>
    <s v="Riya Kumar"/>
    <n v="46"/>
    <x v="0"/>
    <x v="10"/>
    <x v="4"/>
    <x v="96"/>
    <d v="2024-03-23T00:00:00"/>
    <x v="6"/>
    <s v="Medication"/>
    <s v="Dr. Eze"/>
    <x v="1"/>
    <s v="Reliance Hmo"/>
    <n v="388911.26"/>
    <n v="9576.61"/>
    <n v="56060.2"/>
    <n v="2"/>
    <n v="65"/>
    <n v="3.7"/>
    <x v="1"/>
    <s v="Recovered"/>
    <x v="2"/>
    <s v="Mobile Money"/>
    <n v="454548.07"/>
    <s v="Adult"/>
    <s v="Long Wait"/>
  </r>
  <r>
    <x v="101"/>
    <s v="Aisha Malhotra"/>
    <n v="47"/>
    <x v="0"/>
    <x v="6"/>
    <x v="0"/>
    <x v="97"/>
    <d v="2024-01-23T00:00:00"/>
    <x v="5"/>
    <s v="Surgery"/>
    <s v="Dr. Balogun"/>
    <x v="1"/>
    <s v="Reliance Hmo"/>
    <n v="226501.12"/>
    <n v="0"/>
    <n v="67387.61"/>
    <n v="7"/>
    <n v="143"/>
    <n v="5"/>
    <x v="1"/>
    <s v="Deceased"/>
    <x v="2"/>
    <s v="Mobile Money"/>
    <n v="293888.73"/>
    <s v="Adult"/>
    <s v="Long Wait"/>
  </r>
  <r>
    <x v="102"/>
    <s v="Rahul Kapoor"/>
    <n v="47"/>
    <x v="1"/>
    <x v="4"/>
    <x v="4"/>
    <x v="98"/>
    <d v="2025-01-05T00:00:00"/>
    <x v="5"/>
    <s v="Iv Therapy"/>
    <s v="Dr. Balogun"/>
    <x v="2"/>
    <s v="Reliance Hmo"/>
    <n v="254913.72"/>
    <n v="69436.33"/>
    <n v="42141.13"/>
    <n v="2"/>
    <n v="115"/>
    <n v="4.5"/>
    <x v="1"/>
    <s v="Improved"/>
    <x v="2"/>
    <s v="Cash"/>
    <n v="366491.18"/>
    <s v="Adult"/>
    <s v="Long Wait"/>
  </r>
  <r>
    <x v="103"/>
    <s v="Kavya Verma"/>
    <n v="33"/>
    <x v="1"/>
    <x v="8"/>
    <x v="5"/>
    <x v="99"/>
    <d v="2025-03-06T00:00:00"/>
    <x v="9"/>
    <s v="Observation"/>
    <s v="Dr. Balogun"/>
    <x v="0"/>
    <s v="Reliance Hmo"/>
    <n v="247172.6"/>
    <n v="56840.79"/>
    <n v="14204.54"/>
    <n v="3"/>
    <n v="104"/>
    <n v="2.8"/>
    <x v="1"/>
    <s v="Improved"/>
    <x v="2"/>
    <s v="Cash"/>
    <n v="318217.93"/>
    <s v="Yound Adult"/>
    <s v="Long Wait"/>
  </r>
  <r>
    <x v="104"/>
    <s v="Rahul Patel"/>
    <n v="9"/>
    <x v="1"/>
    <x v="2"/>
    <x v="7"/>
    <x v="90"/>
    <d v="2025-05-22T00:00:00"/>
    <x v="1"/>
    <s v="Observation"/>
    <s v="Dr. Adebayo"/>
    <x v="1"/>
    <s v="Axa Mansard"/>
    <n v="141750.94"/>
    <n v="39430.300000000003"/>
    <n v="91965.72"/>
    <n v="7"/>
    <n v="90"/>
    <n v="3"/>
    <x v="1"/>
    <s v="Recovered"/>
    <x v="2"/>
    <s v="Bank Transfer"/>
    <n v="273146.95999999996"/>
    <s v="Child"/>
    <s v="Long Wait"/>
  </r>
  <r>
    <x v="105"/>
    <s v="Rahul Gupta"/>
    <n v="30"/>
    <x v="0"/>
    <x v="2"/>
    <x v="2"/>
    <x v="100"/>
    <d v="2024-09-06T00:00:00"/>
    <x v="10"/>
    <s v="Iv Therapy"/>
    <s v="Dr. Adebayo"/>
    <x v="1"/>
    <s v="Leadway Health"/>
    <n v="40757.379999999997"/>
    <n v="51811.43"/>
    <n v="64506.04"/>
    <n v="3"/>
    <n v="87"/>
    <n v="5"/>
    <x v="1"/>
    <s v="Recovered"/>
    <x v="2"/>
    <s v="Mobile Money"/>
    <n v="157074.85"/>
    <s v="Yound Adult"/>
    <s v="Long Wait"/>
  </r>
  <r>
    <x v="106"/>
    <s v="Isha Joshi"/>
    <n v="9"/>
    <x v="1"/>
    <x v="4"/>
    <x v="3"/>
    <x v="59"/>
    <d v="2026-02-17T00:00:00"/>
    <x v="2"/>
    <s v="Counseling"/>
    <s v="Dr. Adebayo"/>
    <x v="1"/>
    <s v="Axa Mansard"/>
    <n v="123132.87"/>
    <n v="28860.35"/>
    <n v="52300.18"/>
    <n v="1"/>
    <n v="76"/>
    <n v="4.2"/>
    <x v="1"/>
    <s v="Recovered"/>
    <x v="0"/>
    <s v="Card"/>
    <n v="204293.4"/>
    <s v="Child"/>
    <s v="Long Wait"/>
  </r>
  <r>
    <x v="107"/>
    <s v="Ishaan Nair"/>
    <n v="74"/>
    <x v="1"/>
    <x v="1"/>
    <x v="5"/>
    <x v="101"/>
    <d v="2025-06-25T00:00:00"/>
    <x v="2"/>
    <s v="Iv Therapy"/>
    <s v="Dr. Okafor"/>
    <x v="1"/>
    <s v="Self Pay"/>
    <n v="208498.84"/>
    <n v="57932.4"/>
    <n v="55281.760000000002"/>
    <n v="1"/>
    <n v="129"/>
    <n v="4.4000000000000004"/>
    <x v="0"/>
    <s v="Recovered"/>
    <x v="0"/>
    <s v="Bank Transfer"/>
    <n v="321713"/>
    <s v="Senior"/>
    <s v="Long Wait"/>
  </r>
  <r>
    <x v="108"/>
    <s v="Priya Sharma"/>
    <n v="57"/>
    <x v="1"/>
    <x v="1"/>
    <x v="8"/>
    <x v="102"/>
    <d v="2024-11-06T00:00:00"/>
    <x v="2"/>
    <s v="Medication"/>
    <s v="Dr. Adebayo"/>
    <x v="2"/>
    <s v="Self Pay"/>
    <n v="406081.35"/>
    <n v="34913.03"/>
    <n v="66270.11"/>
    <n v="4"/>
    <n v="88"/>
    <n v="5"/>
    <x v="0"/>
    <s v="Referred"/>
    <x v="2"/>
    <s v="Bank Transfer"/>
    <n v="507264.49"/>
    <s v="Adult"/>
    <s v="Long Wait"/>
  </r>
  <r>
    <x v="109"/>
    <s v="Aditya Sharma"/>
    <n v="33"/>
    <x v="0"/>
    <x v="11"/>
    <x v="6"/>
    <x v="103"/>
    <d v="2024-03-18T00:00:00"/>
    <x v="2"/>
    <s v="Surgery"/>
    <s v="Dr. Adeyemi"/>
    <x v="1"/>
    <s v="Hygeia Hmo"/>
    <n v="0"/>
    <n v="18692.34"/>
    <n v="0"/>
    <n v="2"/>
    <n v="0"/>
    <n v="4.7"/>
    <x v="0"/>
    <s v="Referred"/>
    <x v="0"/>
    <s v="Bank Transfer"/>
    <n v="18692.34"/>
    <s v="Yound Adult"/>
    <s v="Excellent"/>
  </r>
  <r>
    <x v="110"/>
    <s v="Diya Shah"/>
    <n v="52"/>
    <x v="1"/>
    <x v="0"/>
    <x v="1"/>
    <x v="104"/>
    <d v="2024-04-04T00:00:00"/>
    <x v="2"/>
    <s v="Counseling"/>
    <s v="Dr. Adeyemi"/>
    <x v="1"/>
    <s v="Leadway Health"/>
    <n v="84623.34"/>
    <n v="28807.22"/>
    <n v="44891.92"/>
    <n v="5"/>
    <n v="8"/>
    <n v="5"/>
    <x v="0"/>
    <s v="Improved"/>
    <x v="0"/>
    <s v="Card"/>
    <n v="158322.47999999998"/>
    <s v="Adult"/>
    <s v="Excellent"/>
  </r>
  <r>
    <x v="111"/>
    <s v="Isha Gupta"/>
    <n v="38"/>
    <x v="1"/>
    <x v="0"/>
    <x v="6"/>
    <x v="105"/>
    <d v="2024-09-10T00:00:00"/>
    <x v="8"/>
    <s v="Iv Therapy"/>
    <s v="Dr. Eze"/>
    <x v="2"/>
    <s v="Mediplus"/>
    <n v="223764.02"/>
    <n v="35209.57"/>
    <n v="0"/>
    <n v="5"/>
    <n v="76"/>
    <n v="2.8"/>
    <x v="0"/>
    <s v="Improved"/>
    <x v="0"/>
    <s v="Card"/>
    <n v="258973.59"/>
    <s v="Adult"/>
    <s v="Long Wait"/>
  </r>
  <r>
    <x v="112"/>
    <s v="Isha Das"/>
    <n v="36"/>
    <x v="0"/>
    <x v="6"/>
    <x v="1"/>
    <x v="106"/>
    <d v="2025-10-03T00:00:00"/>
    <x v="5"/>
    <s v="Physiotherapy"/>
    <s v="Dr. Eze"/>
    <x v="1"/>
    <s v="Self Pay"/>
    <n v="471676.11"/>
    <n v="46021.07"/>
    <n v="27864.63"/>
    <n v="1"/>
    <n v="137"/>
    <n v="5"/>
    <x v="0"/>
    <s v="Improved"/>
    <x v="0"/>
    <s v="Card"/>
    <n v="545561.80999999994"/>
    <s v="Adult"/>
    <s v="Long Wait"/>
  </r>
  <r>
    <x v="113"/>
    <s v="Ananya Das"/>
    <n v="44"/>
    <x v="0"/>
    <x v="6"/>
    <x v="0"/>
    <x v="107"/>
    <d v="2025-09-15T00:00:00"/>
    <x v="3"/>
    <s v="Counseling"/>
    <s v="Dr. Yusuf"/>
    <x v="2"/>
    <s v="Avon Hmo"/>
    <n v="129428.85"/>
    <n v="47455.58"/>
    <n v="56804.56"/>
    <n v="6"/>
    <n v="162"/>
    <n v="4.5"/>
    <x v="1"/>
    <s v="Improved"/>
    <x v="1"/>
    <s v="Bank Transfer"/>
    <n v="233688.99"/>
    <s v="Adult"/>
    <s v="Long Wait"/>
  </r>
  <r>
    <x v="114"/>
    <s v="Diya Kumar"/>
    <n v="31"/>
    <x v="1"/>
    <x v="0"/>
    <x v="0"/>
    <x v="108"/>
    <d v="2025-07-18T00:00:00"/>
    <x v="1"/>
    <s v="Surgery"/>
    <s v="Dr. Ibrahim"/>
    <x v="1"/>
    <s v="Avon Hmo"/>
    <n v="404435.17"/>
    <n v="34939.99"/>
    <n v="107257.83"/>
    <n v="6"/>
    <n v="43"/>
    <n v="5"/>
    <x v="1"/>
    <s v="Improved"/>
    <x v="1"/>
    <s v="Bank Transfer"/>
    <n v="546632.99"/>
    <s v="Yound Adult"/>
    <s v="Acceptable"/>
  </r>
  <r>
    <x v="115"/>
    <s v="Aditya Patel"/>
    <n v="28"/>
    <x v="0"/>
    <x v="0"/>
    <x v="7"/>
    <x v="12"/>
    <d v="2025-04-07T00:00:00"/>
    <x v="1"/>
    <s v="Surgery"/>
    <s v="Dr. Okafor"/>
    <x v="1"/>
    <s v="Self Pay"/>
    <n v="152255.98000000001"/>
    <n v="21991.32"/>
    <n v="57724.98"/>
    <n v="3"/>
    <n v="134"/>
    <n v="3"/>
    <x v="1"/>
    <s v="Recovered"/>
    <x v="0"/>
    <s v="Bank Transfer"/>
    <n v="231972.28000000003"/>
    <s v="Yound Adult"/>
    <s v="Long Wait"/>
  </r>
  <r>
    <x v="116"/>
    <s v="Neha Malhotra"/>
    <n v="90"/>
    <x v="0"/>
    <x v="3"/>
    <x v="4"/>
    <x v="109"/>
    <d v="2024-02-18T00:00:00"/>
    <x v="2"/>
    <s v="Surgery"/>
    <s v="Dr. Okafor"/>
    <x v="1"/>
    <s v="Avon Hmo"/>
    <n v="461856.04"/>
    <n v="40908.089999999997"/>
    <n v="46140.1"/>
    <n v="3"/>
    <n v="104"/>
    <n v="4.5"/>
    <x v="1"/>
    <s v="Deceased"/>
    <x v="0"/>
    <s v="Bank Transfer"/>
    <n v="548904.23"/>
    <s v="Senior"/>
    <s v="Long Wait"/>
  </r>
  <r>
    <x v="117"/>
    <s v="Sneha Verma"/>
    <n v="37"/>
    <x v="0"/>
    <x v="5"/>
    <x v="3"/>
    <x v="39"/>
    <d v="2025-05-10T00:00:00"/>
    <x v="7"/>
    <s v="Surgery"/>
    <s v="Dr. Okafor"/>
    <x v="1"/>
    <s v="Hygeia Hmo"/>
    <n v="0"/>
    <n v="39980.58"/>
    <n v="64415.88"/>
    <n v="1"/>
    <n v="58"/>
    <n v="5"/>
    <x v="1"/>
    <s v="Recovered"/>
    <x v="0"/>
    <s v="Bank Transfer"/>
    <n v="104396.45999999999"/>
    <s v="Adult"/>
    <s v="Acceptable"/>
  </r>
  <r>
    <x v="118"/>
    <s v="Riya Singh"/>
    <n v="10"/>
    <x v="1"/>
    <x v="2"/>
    <x v="4"/>
    <x v="110"/>
    <d v="2024-03-10T00:00:00"/>
    <x v="5"/>
    <s v="Medication"/>
    <s v="Dr. Okafor"/>
    <x v="2"/>
    <s v="Self Pay"/>
    <n v="251423.25"/>
    <n v="56177.46"/>
    <n v="95517.83"/>
    <n v="1"/>
    <n v="60"/>
    <n v="5"/>
    <x v="1"/>
    <s v="Referred"/>
    <x v="1"/>
    <s v="Bank Transfer"/>
    <n v="403118.54000000004"/>
    <s v="Child"/>
    <s v="Long Wait"/>
  </r>
  <r>
    <x v="119"/>
    <s v="Meera Nair"/>
    <n v="51"/>
    <x v="1"/>
    <x v="10"/>
    <x v="0"/>
    <x v="111"/>
    <d v="2026-03-31T00:00:00"/>
    <x v="6"/>
    <s v="Dialysis"/>
    <s v="Dr. Adeyemi"/>
    <x v="2"/>
    <s v="Avon Hmo"/>
    <n v="289164.23"/>
    <n v="36516.839999999997"/>
    <n v="28490.85"/>
    <n v="2"/>
    <n v="44"/>
    <n v="3.7"/>
    <x v="0"/>
    <s v="Referred"/>
    <x v="0"/>
    <s v="Card"/>
    <n v="354171.91999999993"/>
    <s v="Adult"/>
    <s v="Acceptable"/>
  </r>
  <r>
    <x v="120"/>
    <s v="Rohan Kumar"/>
    <n v="18"/>
    <x v="1"/>
    <x v="9"/>
    <x v="1"/>
    <x v="112"/>
    <d v="2025-07-06T00:00:00"/>
    <x v="4"/>
    <s v="Physiotherapy"/>
    <s v="Dr. Bello"/>
    <x v="2"/>
    <s v="Mediplus"/>
    <n v="38744.589999999997"/>
    <n v="59020.67"/>
    <n v="30968.959999999999"/>
    <n v="2"/>
    <n v="120"/>
    <n v="3.6"/>
    <x v="1"/>
    <s v="Recovered"/>
    <x v="0"/>
    <s v="Cash"/>
    <n v="128734.22"/>
    <s v="Yound Adult"/>
    <s v="Long Wait"/>
  </r>
  <r>
    <x v="121"/>
    <s v="Rahul Reddy"/>
    <n v="44"/>
    <x v="0"/>
    <x v="0"/>
    <x v="0"/>
    <x v="113"/>
    <d v="2025-12-06T00:00:00"/>
    <x v="1"/>
    <s v="Dialysis"/>
    <s v="Dr. Bello"/>
    <x v="1"/>
    <s v="Self Pay"/>
    <n v="40381.089999999997"/>
    <n v="54906.67"/>
    <n v="30187.3"/>
    <n v="4"/>
    <n v="0"/>
    <n v="3.1"/>
    <x v="0"/>
    <s v="Deceased"/>
    <x v="2"/>
    <s v="Cash"/>
    <n v="125475.06"/>
    <s v="Adult"/>
    <s v="Excellent"/>
  </r>
  <r>
    <x v="122"/>
    <s v="Rahul Gupta"/>
    <n v="61"/>
    <x v="0"/>
    <x v="7"/>
    <x v="2"/>
    <x v="114"/>
    <d v="2025-05-31T00:00:00"/>
    <x v="10"/>
    <s v="Chemotherapy"/>
    <s v="Dr. Musa"/>
    <x v="1"/>
    <s v="Axa Mansard"/>
    <n v="171188.7"/>
    <n v="21268.560000000001"/>
    <n v="35350.949999999997"/>
    <n v="9"/>
    <n v="250"/>
    <n v="4.2"/>
    <x v="0"/>
    <s v="Deceased"/>
    <x v="1"/>
    <s v="Card"/>
    <n v="227808.21000000002"/>
    <s v="Senior"/>
    <s v="Long Wait"/>
  </r>
  <r>
    <x v="123"/>
    <s v="Rohan Malhotra"/>
    <n v="65"/>
    <x v="1"/>
    <x v="7"/>
    <x v="4"/>
    <x v="104"/>
    <d v="2024-04-03T00:00:00"/>
    <x v="11"/>
    <s v="Observation"/>
    <s v="Dr. Musa"/>
    <x v="1"/>
    <s v="Self Pay"/>
    <n v="253430.48"/>
    <n v="23523.95"/>
    <n v="39109.5"/>
    <n v="4"/>
    <n v="89"/>
    <n v="3.7"/>
    <x v="0"/>
    <s v="Improved"/>
    <x v="1"/>
    <s v="Bank Transfer"/>
    <n v="316063.93"/>
    <s v="Senior"/>
    <s v="Long Wait"/>
  </r>
  <r>
    <x v="124"/>
    <s v="Ananya Das"/>
    <n v="44"/>
    <x v="1"/>
    <x v="3"/>
    <x v="0"/>
    <x v="115"/>
    <d v="2024-10-19T00:00:00"/>
    <x v="4"/>
    <s v="Iv Therapy"/>
    <s v="Dr. Musa"/>
    <x v="2"/>
    <s v="Axa Mansard"/>
    <n v="322569.61"/>
    <n v="27982.09"/>
    <n v="47359.06"/>
    <n v="5"/>
    <n v="0"/>
    <n v="4.9000000000000004"/>
    <x v="0"/>
    <s v="Improved"/>
    <x v="0"/>
    <s v="Card"/>
    <n v="397910.76"/>
    <s v="Adult"/>
    <s v="Excellent"/>
  </r>
  <r>
    <x v="125"/>
    <s v="Aditya Shah"/>
    <n v="64"/>
    <x v="0"/>
    <x v="0"/>
    <x v="1"/>
    <x v="116"/>
    <d v="2024-11-29T00:00:00"/>
    <x v="8"/>
    <s v="Wound Care"/>
    <s v="Dr. Okafor"/>
    <x v="2"/>
    <s v="Axa Mansard"/>
    <n v="0"/>
    <n v="82209.37"/>
    <n v="40812.31"/>
    <n v="4"/>
    <n v="178"/>
    <n v="2.2999999999999998"/>
    <x v="0"/>
    <s v="Improved"/>
    <x v="0"/>
    <s v="Card"/>
    <n v="123021.68"/>
    <s v="Senior"/>
    <s v="Long Wait"/>
  </r>
  <r>
    <x v="126"/>
    <s v="Meera Kumar"/>
    <n v="19"/>
    <x v="0"/>
    <x v="3"/>
    <x v="8"/>
    <x v="117"/>
    <d v="2026-09-04T00:00:00"/>
    <x v="2"/>
    <s v="Wound Care"/>
    <s v="Dr. Yusuf"/>
    <x v="2"/>
    <s v="Axa Mansard"/>
    <n v="132672.35"/>
    <n v="77850.78"/>
    <n v="39279.53"/>
    <n v="4"/>
    <n v="111"/>
    <n v="4.8"/>
    <x v="0"/>
    <s v="Improved"/>
    <x v="0"/>
    <s v="Card"/>
    <n v="249802.66"/>
    <s v="Yound Adult"/>
    <s v="Long Wait"/>
  </r>
  <r>
    <x v="127"/>
    <s v="Kabir Verma"/>
    <n v="46"/>
    <x v="0"/>
    <x v="8"/>
    <x v="8"/>
    <x v="118"/>
    <d v="2024-10-21T00:00:00"/>
    <x v="2"/>
    <s v="Iv Therapy"/>
    <s v="Dr. Yusuf"/>
    <x v="2"/>
    <s v="Axa Mansard"/>
    <n v="271094.53999999998"/>
    <n v="90085.39"/>
    <n v="43271.44"/>
    <n v="4"/>
    <n v="110"/>
    <n v="5"/>
    <x v="0"/>
    <s v="Improved"/>
    <x v="0"/>
    <s v="Cash"/>
    <n v="404451.37"/>
    <s v="Adult"/>
    <s v="Long Wait"/>
  </r>
  <r>
    <x v="128"/>
    <s v="Diya Kapoor"/>
    <n v="69"/>
    <x v="1"/>
    <x v="5"/>
    <x v="6"/>
    <x v="119"/>
    <d v="2026-07-26T00:00:00"/>
    <x v="0"/>
    <s v="Surgery"/>
    <s v="Dr. Okafor"/>
    <x v="2"/>
    <s v="Avon Hmo"/>
    <n v="309422.23"/>
    <n v="1424.88"/>
    <n v="94002.95"/>
    <n v="6"/>
    <n v="9"/>
    <n v="4.0999999999999996"/>
    <x v="1"/>
    <s v="Improved"/>
    <x v="0"/>
    <s v="Cash"/>
    <n v="404850.06"/>
    <s v="Senior"/>
    <s v="Excellent"/>
  </r>
  <r>
    <x v="129"/>
    <s v="Isha Kapoor"/>
    <n v="41"/>
    <x v="0"/>
    <x v="5"/>
    <x v="4"/>
    <x v="120"/>
    <d v="2024-01-03T00:00:00"/>
    <x v="8"/>
    <s v="Wound Care"/>
    <s v="Dr. Ibrahim"/>
    <x v="0"/>
    <s v="Hygeia Hmo"/>
    <n v="266026.74"/>
    <n v="38033.93"/>
    <n v="57657.62"/>
    <n v="1"/>
    <n v="216"/>
    <n v="4.3"/>
    <x v="0"/>
    <s v="Recovered"/>
    <x v="1"/>
    <s v="Bank Transfer"/>
    <n v="361718.29"/>
    <s v="Adult"/>
    <s v="Long Wait"/>
  </r>
  <r>
    <x v="130"/>
    <s v="Aarav Nair"/>
    <n v="64"/>
    <x v="0"/>
    <x v="3"/>
    <x v="0"/>
    <x v="121"/>
    <d v="2024-04-16T00:00:00"/>
    <x v="4"/>
    <s v="Physiotherapy"/>
    <s v="Dr. Balogun"/>
    <x v="0"/>
    <s v="Hygeia Hmo"/>
    <n v="386525.87"/>
    <n v="0"/>
    <n v="62922"/>
    <n v="2"/>
    <n v="147"/>
    <n v="3.3"/>
    <x v="0"/>
    <s v="Referred"/>
    <x v="2"/>
    <s v="Bank Transfer"/>
    <n v="449447.87"/>
    <s v="Senior"/>
    <s v="Long Wait"/>
  </r>
  <r>
    <x v="131"/>
    <s v="Rohan Kumar"/>
    <n v="39"/>
    <x v="1"/>
    <x v="4"/>
    <x v="0"/>
    <x v="122"/>
    <d v="2024-06-12T00:00:00"/>
    <x v="6"/>
    <s v="Surgery"/>
    <s v="Dr. Adeyemi"/>
    <x v="0"/>
    <s v="Leadway Health"/>
    <n v="237580.7"/>
    <n v="25673.200000000001"/>
    <n v="45467.37"/>
    <n v="8"/>
    <n v="12"/>
    <n v="1.8"/>
    <x v="0"/>
    <s v="Referred"/>
    <x v="0"/>
    <s v="Card"/>
    <n v="308721.27"/>
    <s v="Adult"/>
    <s v="Excellent"/>
  </r>
  <r>
    <x v="132"/>
    <s v="Kavya Shah"/>
    <n v="24"/>
    <x v="1"/>
    <x v="0"/>
    <x v="0"/>
    <x v="123"/>
    <d v="2025-09-23T00:00:00"/>
    <x v="4"/>
    <s v="Observation"/>
    <s v="Dr. Adebayo"/>
    <x v="0"/>
    <s v="Axa Mansard"/>
    <n v="81205.070000000007"/>
    <n v="0"/>
    <n v="25831.15"/>
    <n v="9"/>
    <n v="0"/>
    <n v="5"/>
    <x v="1"/>
    <s v="Referred"/>
    <x v="2"/>
    <s v="Cash"/>
    <n v="107036.22"/>
    <s v="Yound Adult"/>
    <s v="Excellent"/>
  </r>
  <r>
    <x v="133"/>
    <s v="Aditya Reddy"/>
    <n v="6"/>
    <x v="1"/>
    <x v="3"/>
    <x v="4"/>
    <x v="124"/>
    <d v="2025-02-12T00:00:00"/>
    <x v="2"/>
    <s v="Counseling"/>
    <s v="Dr. Adeyemi"/>
    <x v="1"/>
    <s v="Leadway Health"/>
    <n v="363159.86"/>
    <n v="90993.81"/>
    <n v="86528.18"/>
    <n v="1"/>
    <n v="137"/>
    <n v="4.5"/>
    <x v="0"/>
    <s v="Referred"/>
    <x v="2"/>
    <s v="Card"/>
    <n v="540681.85"/>
    <s v="Child"/>
    <s v="Long Wait"/>
  </r>
  <r>
    <x v="134"/>
    <s v="Zara Nair"/>
    <n v="59"/>
    <x v="0"/>
    <x v="5"/>
    <x v="0"/>
    <x v="50"/>
    <d v="2025-08-28T00:00:00"/>
    <x v="2"/>
    <s v="Surgery"/>
    <s v="Dr. Adebayo"/>
    <x v="0"/>
    <s v="Axa Mansard"/>
    <n v="259366.8"/>
    <n v="32605.03"/>
    <n v="43122.21"/>
    <n v="5"/>
    <n v="38"/>
    <n v="3.3"/>
    <x v="1"/>
    <s v="Improved"/>
    <x v="2"/>
    <s v="Card"/>
    <n v="335094.03999999998"/>
    <s v="Adult"/>
    <s v="Acceptable"/>
  </r>
  <r>
    <x v="135"/>
    <s v="Ananya Kapoor"/>
    <n v="40"/>
    <x v="1"/>
    <x v="0"/>
    <x v="6"/>
    <x v="125"/>
    <d v="2024-01-14T00:00:00"/>
    <x v="2"/>
    <s v="Antibiotics"/>
    <s v="Dr. Adebayo"/>
    <x v="0"/>
    <s v="Nhia"/>
    <n v="81597.240000000005"/>
    <n v="2410.27"/>
    <n v="50396.82"/>
    <n v="1"/>
    <n v="199"/>
    <n v="4.9000000000000004"/>
    <x v="1"/>
    <s v="Referred"/>
    <x v="0"/>
    <s v="Bank Transfer"/>
    <n v="134404.33000000002"/>
    <s v="Adult"/>
    <s v="Long Wait"/>
  </r>
  <r>
    <x v="136"/>
    <s v="Ananya Malhotra"/>
    <n v="21"/>
    <x v="0"/>
    <x v="11"/>
    <x v="0"/>
    <x v="126"/>
    <d v="2024-10-06T00:00:00"/>
    <x v="7"/>
    <s v="Dialysis"/>
    <s v="Dr. Chukwu"/>
    <x v="0"/>
    <s v="Nhia"/>
    <n v="351707.97"/>
    <n v="5437.82"/>
    <n v="38261.01"/>
    <n v="1"/>
    <n v="136"/>
    <n v="2.4"/>
    <x v="1"/>
    <s v="Referred"/>
    <x v="0"/>
    <s v="Bank Transfer"/>
    <n v="395406.8"/>
    <s v="Yound Adult"/>
    <s v="Long Wait"/>
  </r>
  <r>
    <x v="137"/>
    <s v="Isha Kumar"/>
    <n v="13"/>
    <x v="1"/>
    <x v="2"/>
    <x v="0"/>
    <x v="127"/>
    <d v="2025-06-08T00:00:00"/>
    <x v="2"/>
    <s v="Observation"/>
    <s v="Dr. Okafor"/>
    <x v="1"/>
    <s v="Nhia"/>
    <n v="135808.53"/>
    <n v="37994.550000000003"/>
    <n v="0"/>
    <n v="3"/>
    <n v="128"/>
    <n v="3.7"/>
    <x v="1"/>
    <s v="Referred"/>
    <x v="0"/>
    <s v="Cash"/>
    <n v="173803.08000000002"/>
    <s v="Child"/>
    <s v="Long Wait"/>
  </r>
  <r>
    <x v="138"/>
    <s v="Diya Mehta"/>
    <n v="47"/>
    <x v="0"/>
    <x v="7"/>
    <x v="7"/>
    <x v="128"/>
    <d v="2024-03-24T00:00:00"/>
    <x v="1"/>
    <s v="Physiotherapy"/>
    <s v="Dr. Ibrahim"/>
    <x v="1"/>
    <s v="Axa Mansard"/>
    <n v="410979.66"/>
    <n v="33130.61"/>
    <n v="32117.83"/>
    <n v="4"/>
    <n v="104"/>
    <n v="4.4000000000000004"/>
    <x v="0"/>
    <s v="Referred"/>
    <x v="2"/>
    <s v="Cash"/>
    <n v="476228.1"/>
    <s v="Adult"/>
    <s v="Long Wait"/>
  </r>
  <r>
    <x v="139"/>
    <s v="Aarav Kumar"/>
    <n v="43"/>
    <x v="1"/>
    <x v="1"/>
    <x v="1"/>
    <x v="129"/>
    <d v="2026-03-17T00:00:00"/>
    <x v="10"/>
    <s v="Wound Care"/>
    <s v="Dr. Chukwu"/>
    <x v="1"/>
    <s v="Reliance Hmo"/>
    <n v="121721.16"/>
    <n v="13427.48"/>
    <n v="2921.84"/>
    <n v="3"/>
    <n v="226"/>
    <n v="4.0999999999999996"/>
    <x v="1"/>
    <s v="Deceased"/>
    <x v="0"/>
    <s v="Cash"/>
    <n v="138070.48000000001"/>
    <s v="Adult"/>
    <s v="Long Wait"/>
  </r>
  <r>
    <x v="140"/>
    <s v="Ananya Patel"/>
    <n v="27"/>
    <x v="1"/>
    <x v="0"/>
    <x v="1"/>
    <x v="130"/>
    <d v="2024-12-10T00:00:00"/>
    <x v="4"/>
    <s v="Surgery"/>
    <s v="Dr. Ibrahim"/>
    <x v="0"/>
    <s v="Reliance Hmo"/>
    <n v="345289.41"/>
    <n v="22626.26"/>
    <n v="82432.259999999995"/>
    <n v="1"/>
    <n v="44"/>
    <n v="4.0999999999999996"/>
    <x v="1"/>
    <s v="Deceased"/>
    <x v="1"/>
    <s v="Bank Transfer"/>
    <n v="450347.93"/>
    <s v="Yound Adult"/>
    <s v="Acceptable"/>
  </r>
  <r>
    <x v="141"/>
    <s v="Rohan Kumar"/>
    <n v="90"/>
    <x v="0"/>
    <x v="4"/>
    <x v="0"/>
    <x v="131"/>
    <d v="2026-07-07T00:00:00"/>
    <x v="7"/>
    <s v="Wound Care"/>
    <s v="Dr. Adeyemi"/>
    <x v="0"/>
    <s v="Hygeia Hmo"/>
    <n v="53736.22"/>
    <n v="37745.519999999997"/>
    <n v="64013.31"/>
    <n v="1"/>
    <n v="126"/>
    <n v="3.5"/>
    <x v="1"/>
    <s v="Deceased"/>
    <x v="2"/>
    <s v="Cash"/>
    <n v="155495.04999999999"/>
    <s v="Senior"/>
    <s v="Long Wait"/>
  </r>
  <r>
    <x v="142"/>
    <s v="Neha Verma"/>
    <n v="43"/>
    <x v="0"/>
    <x v="3"/>
    <x v="1"/>
    <x v="132"/>
    <d v="2026-05-03T00:00:00"/>
    <x v="0"/>
    <s v="Observation"/>
    <s v="Dr. Adeyemi"/>
    <x v="0"/>
    <s v="Hygeia Hmo"/>
    <n v="199419.72"/>
    <n v="54096.98"/>
    <n v="111315.69"/>
    <n v="2"/>
    <n v="53"/>
    <n v="1.9"/>
    <x v="1"/>
    <s v="Improved"/>
    <x v="0"/>
    <s v="Card"/>
    <n v="364832.39"/>
    <s v="Adult"/>
    <s v="Acceptable"/>
  </r>
  <r>
    <x v="143"/>
    <s v="Aditya Kapoor"/>
    <n v="92"/>
    <x v="1"/>
    <x v="4"/>
    <x v="2"/>
    <x v="133"/>
    <d v="2025-04-09T00:00:00"/>
    <x v="5"/>
    <s v="Surgery"/>
    <s v="Dr. Bello"/>
    <x v="0"/>
    <s v="Reliance Hmo"/>
    <n v="107485.56"/>
    <n v="70977.919999999998"/>
    <n v="95331.02"/>
    <n v="2"/>
    <n v="53"/>
    <n v="4.4000000000000004"/>
    <x v="1"/>
    <s v="Recovered"/>
    <x v="1"/>
    <s v="Bank Transfer"/>
    <n v="273794.5"/>
    <s v="Senior"/>
    <s v="Acceptable"/>
  </r>
  <r>
    <x v="144"/>
    <s v="Aarav Sharma"/>
    <n v="34"/>
    <x v="1"/>
    <x v="0"/>
    <x v="3"/>
    <x v="134"/>
    <d v="2024-10-02T00:00:00"/>
    <x v="1"/>
    <s v="Chemotherapy"/>
    <s v="Dr. Adeyemi"/>
    <x v="0"/>
    <s v="Reliance Hmo"/>
    <n v="191498.75"/>
    <n v="15457.98"/>
    <n v="14557.3"/>
    <n v="9"/>
    <n v="46"/>
    <n v="2.1"/>
    <x v="0"/>
    <s v="Recovered"/>
    <x v="2"/>
    <s v="Bank Transfer"/>
    <n v="221514.03"/>
    <s v="Yound Adult"/>
    <s v="Acceptable"/>
  </r>
  <r>
    <x v="145"/>
    <s v="Vivaan Verma"/>
    <n v="26"/>
    <x v="0"/>
    <x v="11"/>
    <x v="3"/>
    <x v="135"/>
    <d v="2025-01-19T00:00:00"/>
    <x v="7"/>
    <s v="Medication"/>
    <s v="Dr. Adeyemi"/>
    <x v="0"/>
    <s v="Hygeia Hmo"/>
    <n v="252730.03"/>
    <n v="0"/>
    <n v="54926.41"/>
    <n v="3"/>
    <n v="157"/>
    <n v="1.1000000000000001"/>
    <x v="0"/>
    <s v="Referred"/>
    <x v="2"/>
    <s v="Bank Transfer"/>
    <n v="307656.44"/>
    <s v="Yound Adult"/>
    <s v="Long Wait"/>
  </r>
  <r>
    <x v="146"/>
    <s v="Priya Verma"/>
    <n v="44"/>
    <x v="1"/>
    <x v="4"/>
    <x v="2"/>
    <x v="136"/>
    <d v="2025-05-09T00:00:00"/>
    <x v="2"/>
    <s v="Physiotherapy"/>
    <s v="Dr. Balogun"/>
    <x v="0"/>
    <s v="Avon Hmo"/>
    <n v="295425.84000000003"/>
    <n v="6983.16"/>
    <n v="50080.82"/>
    <n v="4"/>
    <n v="0"/>
    <n v="3.6"/>
    <x v="0"/>
    <s v="Deceased"/>
    <x v="1"/>
    <s v="Card"/>
    <n v="352489.82"/>
    <s v="Adult"/>
    <s v="Excellent"/>
  </r>
  <r>
    <x v="147"/>
    <s v="Maya Singh"/>
    <n v="46"/>
    <x v="0"/>
    <x v="0"/>
    <x v="0"/>
    <x v="137"/>
    <d v="2024-03-05T00:00:00"/>
    <x v="3"/>
    <s v="Physiotherapy"/>
    <s v="Dr. Ibrahim"/>
    <x v="0"/>
    <s v="Nhia"/>
    <n v="544706.14"/>
    <n v="39832.949999999997"/>
    <n v="50761.47"/>
    <n v="7"/>
    <n v="71"/>
    <n v="3.9"/>
    <x v="1"/>
    <s v="Improved"/>
    <x v="1"/>
    <s v="Bank Transfer"/>
    <n v="635300.55999999994"/>
    <s v="Adult"/>
    <s v="Long Wait"/>
  </r>
  <r>
    <x v="148"/>
    <s v="Zara Kumar"/>
    <n v="58"/>
    <x v="1"/>
    <x v="9"/>
    <x v="1"/>
    <x v="138"/>
    <d v="2025-05-21T00:00:00"/>
    <x v="1"/>
    <s v="Surgery"/>
    <s v="Dr. Okafor"/>
    <x v="0"/>
    <s v="Self Pay"/>
    <n v="353938.32"/>
    <n v="10350.26"/>
    <n v="5063.01"/>
    <n v="2"/>
    <n v="0"/>
    <n v="4.4000000000000004"/>
    <x v="0"/>
    <s v="Recovered"/>
    <x v="1"/>
    <s v="Cash"/>
    <n v="369351.59"/>
    <s v="Adult"/>
    <s v="Excellent"/>
  </r>
  <r>
    <x v="149"/>
    <s v="Aditya Kumar"/>
    <n v="26"/>
    <x v="0"/>
    <x v="2"/>
    <x v="6"/>
    <x v="34"/>
    <d v="2026-08-31T00:00:00"/>
    <x v="9"/>
    <s v="Physiotherapy"/>
    <s v="Dr. Ibrahim"/>
    <x v="0"/>
    <s v="Reliance Hmo"/>
    <n v="295111.38"/>
    <n v="7538.3"/>
    <n v="45845.43"/>
    <n v="2"/>
    <n v="94"/>
    <n v="5"/>
    <x v="0"/>
    <s v="Improved"/>
    <x v="1"/>
    <s v="Bank Transfer"/>
    <n v="348495.11"/>
    <s v="Yound Adult"/>
    <s v="Long Wait"/>
  </r>
  <r>
    <x v="150"/>
    <s v="Kabir Nair"/>
    <n v="44"/>
    <x v="1"/>
    <x v="9"/>
    <x v="0"/>
    <x v="139"/>
    <d v="2026-07-02T00:00:00"/>
    <x v="7"/>
    <s v="Chemotherapy"/>
    <s v="Dr. Adeyemi"/>
    <x v="2"/>
    <s v="Self Pay"/>
    <n v="0"/>
    <n v="6516.62"/>
    <n v="40677.370000000003"/>
    <n v="4"/>
    <n v="4"/>
    <n v="4.5"/>
    <x v="0"/>
    <s v="Deceased"/>
    <x v="1"/>
    <s v="Card"/>
    <n v="47193.990000000005"/>
    <s v="Adult"/>
    <s v="Excellent"/>
  </r>
  <r>
    <x v="151"/>
    <s v="Ananya Patel"/>
    <n v="34"/>
    <x v="1"/>
    <x v="6"/>
    <x v="6"/>
    <x v="140"/>
    <d v="2024-04-11T00:00:00"/>
    <x v="4"/>
    <s v="Surgery"/>
    <s v="Dr. Chukwu"/>
    <x v="1"/>
    <s v="Leadway Health"/>
    <n v="243858.27"/>
    <n v="34014.35"/>
    <n v="45091.38"/>
    <n v="2"/>
    <n v="127"/>
    <n v="5"/>
    <x v="0"/>
    <s v="Deceased"/>
    <x v="0"/>
    <s v="Cash"/>
    <n v="322964"/>
    <s v="Yound Adult"/>
    <s v="Long Wait"/>
  </r>
  <r>
    <x v="152"/>
    <s v="Priya Malhotra"/>
    <n v="10"/>
    <x v="1"/>
    <x v="2"/>
    <x v="2"/>
    <x v="141"/>
    <d v="2024-07-16T00:00:00"/>
    <x v="1"/>
    <s v="Dialysis"/>
    <s v="Dr. Eze"/>
    <x v="0"/>
    <s v="Avon Hmo"/>
    <n v="0"/>
    <n v="53358"/>
    <n v="3993.64"/>
    <n v="6"/>
    <n v="78"/>
    <n v="2.2000000000000002"/>
    <x v="0"/>
    <s v="Recovered"/>
    <x v="0"/>
    <s v="Card"/>
    <n v="57351.64"/>
    <s v="Child"/>
    <s v="Long Wait"/>
  </r>
  <r>
    <x v="153"/>
    <s v="Sneha Malhotra"/>
    <n v="54"/>
    <x v="1"/>
    <x v="2"/>
    <x v="3"/>
    <x v="142"/>
    <d v="2026-05-11T00:00:00"/>
    <x v="1"/>
    <s v="Wound Care"/>
    <s v="Dr. Ibrahim"/>
    <x v="1"/>
    <s v="Avon Hmo"/>
    <n v="326281.71999999997"/>
    <n v="15587.24"/>
    <n v="0"/>
    <n v="1"/>
    <n v="54"/>
    <n v="4.2"/>
    <x v="0"/>
    <s v="Recovered"/>
    <x v="1"/>
    <s v="Card"/>
    <n v="341868.95999999996"/>
    <s v="Adult"/>
    <s v="Acceptable"/>
  </r>
  <r>
    <x v="154"/>
    <s v="Ananya Mehta"/>
    <n v="47"/>
    <x v="1"/>
    <x v="9"/>
    <x v="5"/>
    <x v="12"/>
    <d v="2025-04-05T00:00:00"/>
    <x v="6"/>
    <s v="Physiotherapy"/>
    <s v="Dr. Okafor"/>
    <x v="1"/>
    <s v="Leadway Health"/>
    <n v="217856.62"/>
    <n v="44482.29"/>
    <n v="48587.41"/>
    <n v="1"/>
    <n v="22"/>
    <n v="5"/>
    <x v="0"/>
    <s v="Recovered"/>
    <x v="1"/>
    <s v="Bank Transfer"/>
    <n v="310926.31999999995"/>
    <s v="Adult"/>
    <s v="Excellent"/>
  </r>
  <r>
    <x v="155"/>
    <s v="Rohan Nair"/>
    <n v="42"/>
    <x v="0"/>
    <x v="11"/>
    <x v="7"/>
    <x v="143"/>
    <d v="2025-02-12T00:00:00"/>
    <x v="1"/>
    <s v="Physiotherapy"/>
    <s v="Dr. Balogun"/>
    <x v="1"/>
    <s v="Self Pay"/>
    <n v="89342.49"/>
    <n v="18917.939999999999"/>
    <n v="18455.919999999998"/>
    <n v="2"/>
    <n v="82"/>
    <n v="5"/>
    <x v="1"/>
    <s v="Recovered"/>
    <x v="2"/>
    <s v="Card"/>
    <n v="126716.35"/>
    <s v="Adult"/>
    <s v="Long Wait"/>
  </r>
  <r>
    <x v="156"/>
    <s v="Ananya Shah"/>
    <n v="7"/>
    <x v="0"/>
    <x v="5"/>
    <x v="7"/>
    <x v="144"/>
    <d v="2025-07-31T00:00:00"/>
    <x v="10"/>
    <s v="Physiotherapy"/>
    <s v="Dr. Balogun"/>
    <x v="2"/>
    <s v="Self Pay"/>
    <n v="425963.85"/>
    <n v="24766.91"/>
    <n v="24927.82"/>
    <n v="1"/>
    <n v="172"/>
    <n v="4.0999999999999996"/>
    <x v="1"/>
    <s v="Recovered"/>
    <x v="2"/>
    <s v="Cash"/>
    <n v="475658.57999999996"/>
    <s v="Child"/>
    <s v="Long Wait"/>
  </r>
  <r>
    <x v="157"/>
    <s v="Kabir Patel"/>
    <n v="77"/>
    <x v="1"/>
    <x v="0"/>
    <x v="8"/>
    <x v="37"/>
    <d v="2024-12-01T00:00:00"/>
    <x v="7"/>
    <s v="Observation"/>
    <s v="Dr. Chukwu"/>
    <x v="0"/>
    <s v="Self Pay"/>
    <n v="224480.58"/>
    <n v="11164.55"/>
    <n v="58799.16"/>
    <n v="7"/>
    <n v="44"/>
    <n v="5"/>
    <x v="1"/>
    <s v="Recovered"/>
    <x v="0"/>
    <s v="Cash"/>
    <n v="294444.28999999998"/>
    <s v="Senior"/>
    <s v="Acceptable"/>
  </r>
  <r>
    <x v="158"/>
    <s v="Priya Das"/>
    <n v="34"/>
    <x v="1"/>
    <x v="9"/>
    <x v="5"/>
    <x v="145"/>
    <d v="2026-06-22T00:00:00"/>
    <x v="6"/>
    <s v="Observation"/>
    <s v="Dr. Okafor"/>
    <x v="0"/>
    <s v="Axa Mansard"/>
    <n v="245855.24"/>
    <n v="0"/>
    <n v="15851.58"/>
    <n v="3"/>
    <n v="185"/>
    <n v="2.8"/>
    <x v="0"/>
    <s v="Recovered"/>
    <x v="0"/>
    <s v="Mobile Money"/>
    <n v="261706.81999999998"/>
    <s v="Yound Adult"/>
    <s v="Long Wait"/>
  </r>
  <r>
    <x v="159"/>
    <s v="Aditya Gupta"/>
    <n v="54"/>
    <x v="0"/>
    <x v="9"/>
    <x v="8"/>
    <x v="140"/>
    <d v="2024-09-05T00:00:00"/>
    <x v="1"/>
    <s v="Physiotherapy"/>
    <s v="Dr. Okafor"/>
    <x v="1"/>
    <s v="Self Pay"/>
    <n v="385998.58"/>
    <n v="47973.83"/>
    <n v="74881.429999999993"/>
    <n v="1"/>
    <n v="38"/>
    <n v="1.9"/>
    <x v="0"/>
    <s v="Improved"/>
    <x v="0"/>
    <s v="Bank Transfer"/>
    <n v="508853.84"/>
    <s v="Adult"/>
    <s v="Acceptable"/>
  </r>
  <r>
    <x v="160"/>
    <s v="Priya Reddy"/>
    <n v="63"/>
    <x v="1"/>
    <x v="0"/>
    <x v="3"/>
    <x v="146"/>
    <d v="2026-01-01T00:00:00"/>
    <x v="10"/>
    <s v="Dialysis"/>
    <s v="Dr. Eze"/>
    <x v="0"/>
    <s v="Mediplus"/>
    <n v="227981.84"/>
    <n v="36714.81"/>
    <n v="90854.05"/>
    <n v="2"/>
    <n v="133"/>
    <n v="4.4000000000000004"/>
    <x v="0"/>
    <s v="Recovered"/>
    <x v="2"/>
    <s v="Cash"/>
    <n v="355550.7"/>
    <s v="Senior"/>
    <s v="Long Wait"/>
  </r>
  <r>
    <x v="161"/>
    <s v="Arjun Das"/>
    <n v="14"/>
    <x v="0"/>
    <x v="11"/>
    <x v="8"/>
    <x v="84"/>
    <d v="2024-12-08T00:00:00"/>
    <x v="4"/>
    <s v="Dialysis"/>
    <s v="Dr. Chukwu"/>
    <x v="1"/>
    <s v="Mediplus"/>
    <n v="275956.31"/>
    <n v="13716.08"/>
    <n v="29141.5"/>
    <n v="3"/>
    <n v="138"/>
    <n v="5"/>
    <x v="0"/>
    <s v="Improved"/>
    <x v="0"/>
    <s v="Mobile Money"/>
    <n v="318813.89"/>
    <s v="Child"/>
    <s v="Long Wait"/>
  </r>
  <r>
    <x v="162"/>
    <s v="Kabir Mehta"/>
    <n v="49"/>
    <x v="1"/>
    <x v="6"/>
    <x v="0"/>
    <x v="147"/>
    <d v="2024-06-06T00:00:00"/>
    <x v="2"/>
    <s v="Wound Care"/>
    <s v="Dr. Chukwu"/>
    <x v="0"/>
    <s v="Nhia"/>
    <n v="458310.09"/>
    <n v="36018.83"/>
    <n v="123050.49"/>
    <n v="3"/>
    <n v="137"/>
    <n v="1.4"/>
    <x v="0"/>
    <s v="Referred"/>
    <x v="2"/>
    <s v="Mobile Money"/>
    <n v="617379.41"/>
    <s v="Adult"/>
    <s v="Long Wait"/>
  </r>
  <r>
    <x v="163"/>
    <s v="Aarav Sharma"/>
    <n v="51"/>
    <x v="1"/>
    <x v="6"/>
    <x v="4"/>
    <x v="148"/>
    <d v="2024-06-26T00:00:00"/>
    <x v="7"/>
    <s v="Physiotherapy"/>
    <s v="Dr. Musa"/>
    <x v="1"/>
    <s v="Reliance Hmo"/>
    <n v="400565.39"/>
    <n v="46829.53"/>
    <n v="40846.32"/>
    <n v="5"/>
    <n v="3"/>
    <n v="3.4"/>
    <x v="1"/>
    <s v="Referred"/>
    <x v="2"/>
    <s v="Mobile Money"/>
    <n v="488241.24000000005"/>
    <s v="Adult"/>
    <s v="Excellent"/>
  </r>
  <r>
    <x v="164"/>
    <s v="Meera Sharma"/>
    <n v="29"/>
    <x v="1"/>
    <x v="0"/>
    <x v="8"/>
    <x v="149"/>
    <d v="2024-10-31T00:00:00"/>
    <x v="2"/>
    <s v="Antibiotics"/>
    <s v="Dr. Balogun"/>
    <x v="0"/>
    <s v="Hygeia Hmo"/>
    <n v="201237.6"/>
    <n v="30367.200000000001"/>
    <n v="21453.05"/>
    <n v="7"/>
    <n v="143"/>
    <n v="3.5"/>
    <x v="1"/>
    <s v="Improved"/>
    <x v="0"/>
    <s v="Mobile Money"/>
    <n v="253057.85"/>
    <s v="Yound Adult"/>
    <s v="Long Wait"/>
  </r>
  <r>
    <x v="165"/>
    <s v="Aarav Sharma"/>
    <n v="23"/>
    <x v="1"/>
    <x v="7"/>
    <x v="0"/>
    <x v="150"/>
    <d v="2025-08-30T00:00:00"/>
    <x v="1"/>
    <s v="Counseling"/>
    <s v="Dr. Okafor"/>
    <x v="2"/>
    <s v="Axa Mansard"/>
    <n v="158755.84"/>
    <n v="48059.53"/>
    <n v="33815.01"/>
    <n v="4"/>
    <n v="224"/>
    <n v="3.2"/>
    <x v="1"/>
    <s v="Recovered"/>
    <x v="1"/>
    <s v="Card"/>
    <n v="240630.38"/>
    <s v="Yound Adult"/>
    <s v="Long Wait"/>
  </r>
  <r>
    <x v="166"/>
    <s v="Sneha Kapoor"/>
    <n v="63"/>
    <x v="1"/>
    <x v="6"/>
    <x v="0"/>
    <x v="83"/>
    <d v="2025-05-03T00:00:00"/>
    <x v="2"/>
    <s v="Iv Therapy"/>
    <s v="Dr. Balogun"/>
    <x v="2"/>
    <s v="Leadway Health"/>
    <n v="21428.799999999999"/>
    <n v="0"/>
    <n v="0"/>
    <n v="3"/>
    <n v="189"/>
    <n v="3"/>
    <x v="0"/>
    <s v="Recovered"/>
    <x v="0"/>
    <s v="Card"/>
    <n v="21428.799999999999"/>
    <s v="Senior"/>
    <s v="Long Wait"/>
  </r>
  <r>
    <x v="167"/>
    <s v="Ishaan Kapoor"/>
    <n v="30"/>
    <x v="0"/>
    <x v="11"/>
    <x v="0"/>
    <x v="151"/>
    <d v="2025-10-03T00:00:00"/>
    <x v="2"/>
    <s v="Observation"/>
    <s v="Dr. Yusuf"/>
    <x v="2"/>
    <s v="Self Pay"/>
    <n v="245837.18"/>
    <n v="68552.75"/>
    <n v="105182.79"/>
    <n v="18"/>
    <n v="249"/>
    <n v="5"/>
    <x v="1"/>
    <s v="Referred"/>
    <x v="1"/>
    <s v="Card"/>
    <n v="419572.72"/>
    <s v="Yound Adult"/>
    <s v="Long Wait"/>
  </r>
  <r>
    <x v="168"/>
    <s v="Diya Gupta"/>
    <n v="56"/>
    <x v="0"/>
    <x v="11"/>
    <x v="6"/>
    <x v="152"/>
    <d v="2026-07-23T00:00:00"/>
    <x v="7"/>
    <s v="Iv Therapy"/>
    <s v="Dr. Adebayo"/>
    <x v="1"/>
    <s v="Axa Mansard"/>
    <n v="245837.18"/>
    <n v="16220.36"/>
    <n v="20454.03"/>
    <n v="6"/>
    <n v="94"/>
    <n v="3.4"/>
    <x v="1"/>
    <s v="Improved"/>
    <x v="2"/>
    <s v="Mobile Money"/>
    <n v="282511.56999999995"/>
    <s v="Adult"/>
    <s v="Long Wait"/>
  </r>
  <r>
    <x v="169"/>
    <s v="Neha Nair"/>
    <n v="58"/>
    <x v="0"/>
    <x v="3"/>
    <x v="3"/>
    <x v="149"/>
    <d v="2024-10-26T00:00:00"/>
    <x v="5"/>
    <s v="Surgery"/>
    <s v="Dr. Balogun"/>
    <x v="1"/>
    <s v="Axa Mansard"/>
    <n v="353742.73"/>
    <n v="32210.17"/>
    <n v="89325.9"/>
    <n v="2"/>
    <n v="9"/>
    <n v="3.4"/>
    <x v="0"/>
    <s v="Referred"/>
    <x v="0"/>
    <s v="Bank Transfer"/>
    <n v="475278.79999999993"/>
    <s v="Adult"/>
    <s v="Excellent"/>
  </r>
  <r>
    <x v="170"/>
    <s v="Vivaan Das"/>
    <n v="1"/>
    <x v="0"/>
    <x v="0"/>
    <x v="1"/>
    <x v="153"/>
    <d v="2024-04-27T00:00:00"/>
    <x v="0"/>
    <s v="Surgery"/>
    <s v="Dr. Balogun"/>
    <x v="1"/>
    <s v="Mediplus"/>
    <n v="208424.7"/>
    <n v="26956.31"/>
    <n v="90403.49"/>
    <n v="1"/>
    <n v="142"/>
    <n v="2.4"/>
    <x v="1"/>
    <s v="Referred"/>
    <x v="0"/>
    <s v="Card"/>
    <n v="325784.5"/>
    <s v="Child"/>
    <s v="Long Wait"/>
  </r>
  <r>
    <x v="171"/>
    <s v="Isha Verma"/>
    <n v="69"/>
    <x v="0"/>
    <x v="9"/>
    <x v="8"/>
    <x v="154"/>
    <d v="2025-12-06T00:00:00"/>
    <x v="2"/>
    <s v="Iv Therapy"/>
    <s v="Dr. Yusuf"/>
    <x v="0"/>
    <s v="Axa Mansard"/>
    <n v="301493.68"/>
    <n v="24337.9"/>
    <n v="16216.82"/>
    <n v="11"/>
    <n v="67"/>
    <n v="5"/>
    <x v="0"/>
    <s v="Referred"/>
    <x v="0"/>
    <s v="Card"/>
    <n v="342048.4"/>
    <s v="Senior"/>
    <s v="Long Wait"/>
  </r>
  <r>
    <x v="172"/>
    <s v="Meera Singh"/>
    <n v="76"/>
    <x v="0"/>
    <x v="3"/>
    <x v="7"/>
    <x v="154"/>
    <d v="2025-12-06T00:00:00"/>
    <x v="2"/>
    <s v="Surgery"/>
    <s v="Dr. Adeyemi"/>
    <x v="0"/>
    <s v="Leadway Health"/>
    <n v="151561.07999999999"/>
    <n v="2009.56"/>
    <n v="49226.59"/>
    <n v="11"/>
    <n v="0"/>
    <n v="4.0999999999999996"/>
    <x v="0"/>
    <s v="Deceased"/>
    <x v="0"/>
    <s v="Bank Transfer"/>
    <n v="202797.22999999998"/>
    <s v="Senior"/>
    <s v="Excellent"/>
  </r>
  <r>
    <x v="173"/>
    <s v="Ananya Sharma"/>
    <n v="32"/>
    <x v="1"/>
    <x v="3"/>
    <x v="7"/>
    <x v="27"/>
    <d v="2025-10-22T00:00:00"/>
    <x v="2"/>
    <s v="Surgery"/>
    <s v="Dr. Chukwu"/>
    <x v="0"/>
    <s v="Hygeia Hmo"/>
    <n v="0"/>
    <n v="42840"/>
    <n v="29018.97"/>
    <n v="2"/>
    <n v="7"/>
    <n v="0"/>
    <x v="0"/>
    <s v="Deceased"/>
    <x v="0"/>
    <s v="Mobile Money"/>
    <n v="71858.97"/>
    <s v="Yound Adult"/>
    <s v="Excellent"/>
  </r>
  <r>
    <x v="174"/>
    <s v="Riya Malhotra"/>
    <n v="59"/>
    <x v="1"/>
    <x v="4"/>
    <x v="7"/>
    <x v="155"/>
    <d v="2025-09-28T00:00:00"/>
    <x v="6"/>
    <s v="Medication"/>
    <s v="Dr. Okafor"/>
    <x v="1"/>
    <s v="Nhia"/>
    <n v="391770.65"/>
    <n v="27496.15"/>
    <n v="38889.79"/>
    <n v="3"/>
    <n v="29"/>
    <n v="2.6"/>
    <x v="0"/>
    <s v="Recovered"/>
    <x v="1"/>
    <s v="Cash"/>
    <n v="458156.59"/>
    <s v="Adult"/>
    <s v="Excellent"/>
  </r>
  <r>
    <x v="175"/>
    <s v="Meera Joshi"/>
    <n v="31"/>
    <x v="0"/>
    <x v="0"/>
    <x v="7"/>
    <x v="156"/>
    <d v="2024-05-18T00:00:00"/>
    <x v="1"/>
    <s v="Chemotherapy"/>
    <s v="Dr. Balogun"/>
    <x v="1"/>
    <s v="Self Pay"/>
    <n v="331197.06"/>
    <n v="0"/>
    <n v="53806.74"/>
    <n v="1"/>
    <n v="0"/>
    <n v="4.3"/>
    <x v="0"/>
    <s v="Referred"/>
    <x v="0"/>
    <s v="Bank Transfer"/>
    <n v="385003.8"/>
    <s v="Yound Adult"/>
    <s v="Excellent"/>
  </r>
  <r>
    <x v="176"/>
    <s v="Riya Joshi"/>
    <n v="7"/>
    <x v="0"/>
    <x v="11"/>
    <x v="3"/>
    <x v="151"/>
    <d v="2025-09-18T00:00:00"/>
    <x v="9"/>
    <s v="Iv Therapy"/>
    <s v="Dr. Chukwu"/>
    <x v="1"/>
    <s v="Hygeia Hmo"/>
    <n v="383063.51"/>
    <n v="11635.21"/>
    <n v="20692.43"/>
    <n v="3"/>
    <n v="110"/>
    <n v="5"/>
    <x v="0"/>
    <s v="Referred"/>
    <x v="2"/>
    <s v="Bank Transfer"/>
    <n v="415391.15"/>
    <s v="Child"/>
    <s v="Long Wait"/>
  </r>
  <r>
    <x v="177"/>
    <s v="Isha Malhotra"/>
    <n v="44"/>
    <x v="1"/>
    <x v="9"/>
    <x v="7"/>
    <x v="85"/>
    <d v="2026-08-02T00:00:00"/>
    <x v="9"/>
    <s v="Surgery"/>
    <s v="Dr. Adeyemi"/>
    <x v="1"/>
    <s v="Nhia"/>
    <n v="280034.31"/>
    <n v="47327.64"/>
    <n v="50293.25"/>
    <n v="1"/>
    <n v="67"/>
    <n v="2.6"/>
    <x v="0"/>
    <s v="Referred"/>
    <x v="2"/>
    <s v="Bank Transfer"/>
    <n v="377655.2"/>
    <s v="Adult"/>
    <s v="Long Wait"/>
  </r>
  <r>
    <x v="178"/>
    <s v="Vivaan Mehta"/>
    <n v="19"/>
    <x v="0"/>
    <x v="11"/>
    <x v="4"/>
    <x v="137"/>
    <d v="2024-03-01T00:00:00"/>
    <x v="3"/>
    <s v="Iv Therapy"/>
    <s v="Dr. Okafor"/>
    <x v="2"/>
    <s v="Hygeia Hmo"/>
    <n v="0"/>
    <n v="40914"/>
    <n v="72118.05"/>
    <n v="3"/>
    <n v="0"/>
    <n v="2.4"/>
    <x v="0"/>
    <s v="Recovered"/>
    <x v="2"/>
    <s v="Mobile Money"/>
    <n v="113032.05"/>
    <s v="Yound Adult"/>
    <s v="Excellent"/>
  </r>
  <r>
    <x v="179"/>
    <s v="Aisha Reddy"/>
    <n v="88"/>
    <x v="0"/>
    <x v="0"/>
    <x v="5"/>
    <x v="13"/>
    <d v="2026-06-08T00:00:00"/>
    <x v="3"/>
    <s v="Iv Therapy"/>
    <s v="Dr. Musa"/>
    <x v="2"/>
    <s v="Avon Hmo"/>
    <n v="222911.12"/>
    <n v="11799.93"/>
    <n v="39513.11"/>
    <n v="4"/>
    <n v="198"/>
    <n v="2.9"/>
    <x v="1"/>
    <s v="Recovered"/>
    <x v="2"/>
    <s v="Card"/>
    <n v="274224.15999999997"/>
    <s v="Senior"/>
    <s v="Long Wait"/>
  </r>
  <r>
    <x v="180"/>
    <s v="Rohan Rao"/>
    <n v="8"/>
    <x v="1"/>
    <x v="11"/>
    <x v="7"/>
    <x v="157"/>
    <d v="2024-02-13T00:00:00"/>
    <x v="0"/>
    <s v="Physiotherapy"/>
    <s v="Dr. Bello"/>
    <x v="0"/>
    <s v="Avon Hmo"/>
    <n v="343635.37"/>
    <n v="28054.07"/>
    <n v="39585.599999999999"/>
    <n v="2"/>
    <n v="334"/>
    <n v="4.0999999999999996"/>
    <x v="0"/>
    <s v="Improved"/>
    <x v="1"/>
    <s v="Bank Transfer"/>
    <n v="411275.04"/>
    <s v="Child"/>
    <s v="Long Wait"/>
  </r>
  <r>
    <x v="181"/>
    <s v="Sneha Singh"/>
    <n v="33"/>
    <x v="1"/>
    <x v="11"/>
    <x v="4"/>
    <x v="158"/>
    <d v="2025-11-09T00:00:00"/>
    <x v="10"/>
    <s v="Surgery"/>
    <s v="Dr. Eze"/>
    <x v="0"/>
    <s v="Nhia"/>
    <n v="380782.4"/>
    <n v="32831.760000000002"/>
    <n v="1851.66"/>
    <n v="1"/>
    <n v="163"/>
    <n v="2.8"/>
    <x v="0"/>
    <s v="Deceased"/>
    <x v="0"/>
    <s v="Bank Transfer"/>
    <n v="415465.82"/>
    <s v="Yound Adult"/>
    <s v="Long Wait"/>
  </r>
  <r>
    <x v="182"/>
    <s v="Rahul Rao"/>
    <n v="66"/>
    <x v="0"/>
    <x v="3"/>
    <x v="0"/>
    <x v="159"/>
    <d v="2024-08-17T00:00:00"/>
    <x v="4"/>
    <s v="Observation"/>
    <s v="Dr. Eze"/>
    <x v="0"/>
    <s v="Axa Mansard"/>
    <n v="157374.93"/>
    <n v="62025.41"/>
    <n v="47035.67"/>
    <n v="11"/>
    <n v="158"/>
    <n v="4.3"/>
    <x v="1"/>
    <s v="Recovered"/>
    <x v="2"/>
    <s v="Bank Transfer"/>
    <n v="266436.01"/>
    <s v="Senior"/>
    <s v="Long Wait"/>
  </r>
  <r>
    <x v="183"/>
    <s v="Neha Verma"/>
    <n v="28"/>
    <x v="0"/>
    <x v="0"/>
    <x v="4"/>
    <x v="160"/>
    <d v="2026-06-26T00:00:00"/>
    <x v="5"/>
    <s v="Counseling"/>
    <s v="Dr. Eze"/>
    <x v="0"/>
    <s v="Leadway Health"/>
    <n v="364194.51"/>
    <n v="21630.62"/>
    <n v="32890.550000000003"/>
    <n v="1"/>
    <n v="23"/>
    <n v="4.3"/>
    <x v="1"/>
    <s v="Recovered"/>
    <x v="0"/>
    <s v="Bank Transfer"/>
    <n v="418715.68"/>
    <s v="Yound Adult"/>
    <s v="Excellent"/>
  </r>
  <r>
    <x v="184"/>
    <s v="Riya Das"/>
    <n v="19"/>
    <x v="0"/>
    <x v="9"/>
    <x v="4"/>
    <x v="161"/>
    <d v="2026-09-10T00:00:00"/>
    <x v="2"/>
    <s v="Medication"/>
    <s v="Dr. Adeyemi"/>
    <x v="0"/>
    <s v="Leadway Health"/>
    <n v="223390.72"/>
    <n v="65305.51"/>
    <n v="42610.76"/>
    <n v="13"/>
    <n v="128"/>
    <n v="2.2999999999999998"/>
    <x v="1"/>
    <s v="Deceased"/>
    <x v="0"/>
    <s v="Card"/>
    <n v="331306.99"/>
    <s v="Yound Adult"/>
    <s v="Long Wait"/>
  </r>
  <r>
    <x v="185"/>
    <s v="Priya Sharma"/>
    <n v="71"/>
    <x v="1"/>
    <x v="0"/>
    <x v="3"/>
    <x v="162"/>
    <d v="2026-08-13T00:00:00"/>
    <x v="2"/>
    <s v="Dialysis"/>
    <s v="Dr. Bello"/>
    <x v="0"/>
    <s v="Reliance Hmo"/>
    <n v="203470.41"/>
    <n v="0"/>
    <n v="26765.34"/>
    <n v="7"/>
    <n v="192"/>
    <n v="3.2"/>
    <x v="0"/>
    <s v="Improved"/>
    <x v="2"/>
    <s v="Bank Transfer"/>
    <n v="230235.75"/>
    <s v="Senior"/>
    <s v="Long Wait"/>
  </r>
  <r>
    <x v="186"/>
    <s v="Rahul Nair"/>
    <n v="31"/>
    <x v="1"/>
    <x v="4"/>
    <x v="2"/>
    <x v="163"/>
    <d v="2025-09-03T00:00:00"/>
    <x v="6"/>
    <s v="Surgery"/>
    <s v="Dr. Adeyemi"/>
    <x v="0"/>
    <s v="Nhia"/>
    <n v="337686.8"/>
    <n v="43668.34"/>
    <n v="37832.04"/>
    <n v="1"/>
    <n v="67"/>
    <n v="3.2"/>
    <x v="1"/>
    <s v="Improved"/>
    <x v="0"/>
    <s v="Bank Transfer"/>
    <n v="419187.18"/>
    <s v="Yound Adult"/>
    <s v="Long Wait"/>
  </r>
  <r>
    <x v="187"/>
    <s v="Aarav Mehta"/>
    <n v="42"/>
    <x v="0"/>
    <x v="4"/>
    <x v="0"/>
    <x v="164"/>
    <d v="2024-11-25T00:00:00"/>
    <x v="4"/>
    <s v="Surgery"/>
    <s v="Dr. Musa"/>
    <x v="0"/>
    <s v="Self Pay"/>
    <n v="93481.74"/>
    <n v="38108.980000000003"/>
    <n v="9628.81"/>
    <n v="4"/>
    <n v="184"/>
    <n v="3.1"/>
    <x v="1"/>
    <s v="Improved"/>
    <x v="0"/>
    <s v="Card"/>
    <n v="141219.53"/>
    <s v="Adult"/>
    <s v="Long Wait"/>
  </r>
  <r>
    <x v="188"/>
    <s v="Riya Gupta"/>
    <n v="85"/>
    <x v="0"/>
    <x v="11"/>
    <x v="0"/>
    <x v="165"/>
    <d v="2025-07-08T00:00:00"/>
    <x v="7"/>
    <s v="Surgery"/>
    <s v="Dr. Adeyemi"/>
    <x v="1"/>
    <s v="Axa Mansard"/>
    <n v="79953.61"/>
    <n v="13056.38"/>
    <n v="60417.24"/>
    <n v="3"/>
    <n v="108"/>
    <n v="4.2"/>
    <x v="0"/>
    <s v="Recovered"/>
    <x v="0"/>
    <s v="Mobile Money"/>
    <n v="153427.23000000001"/>
    <s v="Senior"/>
    <s v="Long Wait"/>
  </r>
  <r>
    <x v="189"/>
    <s v="Rahul Das"/>
    <n v="56"/>
    <x v="1"/>
    <x v="1"/>
    <x v="4"/>
    <x v="46"/>
    <d v="2025-01-13T00:00:00"/>
    <x v="4"/>
    <s v="Physiotherapy"/>
    <s v="Dr. Chukwu"/>
    <x v="0"/>
    <s v="Axa Mansard"/>
    <n v="375357.98"/>
    <n v="40245.47"/>
    <n v="37762.269999999997"/>
    <n v="4"/>
    <n v="145"/>
    <n v="5"/>
    <x v="0"/>
    <s v="Recovered"/>
    <x v="0"/>
    <s v="Mobile Money"/>
    <n v="453365.72"/>
    <s v="Adult"/>
    <s v="Long Wait"/>
  </r>
  <r>
    <x v="190"/>
    <s v="Ananya Mehta"/>
    <n v="21"/>
    <x v="1"/>
    <x v="9"/>
    <x v="6"/>
    <x v="166"/>
    <d v="2024-05-25T00:00:00"/>
    <x v="8"/>
    <s v="Surgery"/>
    <s v="Dr. Adeyemi"/>
    <x v="1"/>
    <s v="Nhia"/>
    <n v="374991.29"/>
    <n v="26990.47"/>
    <n v="0"/>
    <n v="2"/>
    <n v="158"/>
    <n v="3"/>
    <x v="0"/>
    <s v="Deceased"/>
    <x v="0"/>
    <s v="Mobile Money"/>
    <n v="401981.76"/>
    <s v="Yound Adult"/>
    <s v="Long Wait"/>
  </r>
  <r>
    <x v="191"/>
    <s v="Neha Singh"/>
    <n v="56"/>
    <x v="1"/>
    <x v="0"/>
    <x v="5"/>
    <x v="167"/>
    <d v="2025-06-18T00:00:00"/>
    <x v="1"/>
    <s v="Counseling"/>
    <s v="Dr. Yusuf"/>
    <x v="1"/>
    <s v="Nhia"/>
    <n v="89038.58"/>
    <n v="57149.55"/>
    <n v="28921.1"/>
    <n v="5"/>
    <n v="155"/>
    <n v="4.2"/>
    <x v="1"/>
    <s v="Recovered"/>
    <x v="1"/>
    <s v="Mobile Money"/>
    <n v="175109.23"/>
    <s v="Adult"/>
    <s v="Long Wait"/>
  </r>
  <r>
    <x v="192"/>
    <s v="Sneha Gupta"/>
    <n v="22"/>
    <x v="0"/>
    <x v="6"/>
    <x v="1"/>
    <x v="63"/>
    <d v="2026-09-03T00:00:00"/>
    <x v="11"/>
    <s v="Medication"/>
    <s v="Dr. Chukwu"/>
    <x v="0"/>
    <s v="Reliance Hmo"/>
    <n v="253371.66"/>
    <n v="54379.94"/>
    <n v="60032.83"/>
    <n v="7"/>
    <n v="109"/>
    <n v="5"/>
    <x v="1"/>
    <s v="Recovered"/>
    <x v="0"/>
    <s v="Bank Transfer"/>
    <n v="367784.43"/>
    <s v="Yound Adult"/>
    <s v="Long Wait"/>
  </r>
  <r>
    <x v="193"/>
    <s v="Kavya Rao"/>
    <n v="57"/>
    <x v="0"/>
    <x v="0"/>
    <x v="3"/>
    <x v="168"/>
    <d v="2024-03-12T00:00:00"/>
    <x v="8"/>
    <s v="Surgery"/>
    <s v="Dr. Okafor"/>
    <x v="0"/>
    <s v="Axa Mansard"/>
    <n v="128429.4"/>
    <n v="0"/>
    <n v="60336.08"/>
    <n v="1"/>
    <n v="198"/>
    <n v="3.5"/>
    <x v="1"/>
    <s v="Recovered"/>
    <x v="0"/>
    <s v="Card"/>
    <n v="188765.47999999998"/>
    <s v="Adult"/>
    <s v="Long Wait"/>
  </r>
  <r>
    <x v="194"/>
    <s v="Aarav Nair"/>
    <n v="24"/>
    <x v="0"/>
    <x v="0"/>
    <x v="6"/>
    <x v="150"/>
    <d v="2025-08-28T00:00:00"/>
    <x v="0"/>
    <s v="Dialysis"/>
    <s v="Dr. Balogun"/>
    <x v="0"/>
    <s v="Leadway Health"/>
    <n v="523931.98"/>
    <n v="25602.85"/>
    <n v="48696.14"/>
    <n v="2"/>
    <n v="136"/>
    <n v="3.8"/>
    <x v="0"/>
    <s v="Recovered"/>
    <x v="2"/>
    <s v="Mobile Money"/>
    <n v="598230.97"/>
    <s v="Yound Adult"/>
    <s v="Long Wait"/>
  </r>
  <r>
    <x v="195"/>
    <s v="Ananya Joshi"/>
    <n v="29"/>
    <x v="0"/>
    <x v="0"/>
    <x v="0"/>
    <x v="169"/>
    <d v="2026-04-13T00:00:00"/>
    <x v="5"/>
    <s v="Physiotherapy"/>
    <s v="Dr. Balogun"/>
    <x v="0"/>
    <s v="Self Pay"/>
    <n v="247245.04"/>
    <n v="11438.24"/>
    <n v="5399.32"/>
    <n v="10"/>
    <n v="49"/>
    <n v="3.7"/>
    <x v="0"/>
    <s v="Recovered"/>
    <x v="2"/>
    <s v="Bank Transfer"/>
    <n v="264082.59999999998"/>
    <s v="Yound Adult"/>
    <s v="Acceptable"/>
  </r>
  <r>
    <x v="196"/>
    <s v="Kabir Patel"/>
    <n v="27"/>
    <x v="0"/>
    <x v="0"/>
    <x v="2"/>
    <x v="170"/>
    <d v="2024-07-04T00:00:00"/>
    <x v="4"/>
    <s v="Wound Care"/>
    <s v="Dr. Yusuf"/>
    <x v="0"/>
    <s v="Hygeia Hmo"/>
    <n v="23115.56"/>
    <n v="27922.36"/>
    <n v="0"/>
    <n v="2"/>
    <n v="152"/>
    <n v="3.8"/>
    <x v="1"/>
    <s v="Referred"/>
    <x v="2"/>
    <s v="Mobile Money"/>
    <n v="51037.919999999998"/>
    <s v="Yound Adult"/>
    <s v="Long Wait"/>
  </r>
  <r>
    <x v="197"/>
    <s v="Rahul Mehta"/>
    <n v="36"/>
    <x v="1"/>
    <x v="9"/>
    <x v="3"/>
    <x v="171"/>
    <d v="2025-12-15T00:00:00"/>
    <x v="2"/>
    <s v="Iv Therapy"/>
    <s v="Dr. Adeyemi"/>
    <x v="0"/>
    <s v="Hygeia Hmo"/>
    <n v="114698.1"/>
    <n v="37979.360000000001"/>
    <n v="85213.51"/>
    <n v="1"/>
    <n v="0"/>
    <n v="3.8"/>
    <x v="0"/>
    <s v="Referred"/>
    <x v="2"/>
    <s v="Card"/>
    <n v="237890.97000000003"/>
    <s v="Adult"/>
    <s v="Excellent"/>
  </r>
  <r>
    <x v="198"/>
    <s v="Sneha Reddy"/>
    <n v="57"/>
    <x v="1"/>
    <x v="2"/>
    <x v="4"/>
    <x v="172"/>
    <d v="2025-09-22T00:00:00"/>
    <x v="3"/>
    <s v="Medication"/>
    <s v="Dr. Chukwu"/>
    <x v="1"/>
    <s v="Axa Mansard"/>
    <n v="249847.53"/>
    <n v="11200.77"/>
    <n v="35428.379999999997"/>
    <n v="2"/>
    <n v="35"/>
    <n v="5"/>
    <x v="0"/>
    <s v="Recovered"/>
    <x v="1"/>
    <s v="Cash"/>
    <n v="296476.68"/>
    <s v="Adult"/>
    <s v="Acceptable"/>
  </r>
  <r>
    <x v="199"/>
    <s v="Aditya Rao"/>
    <n v="84"/>
    <x v="1"/>
    <x v="9"/>
    <x v="4"/>
    <x v="173"/>
    <d v="2025-11-04T00:00:00"/>
    <x v="0"/>
    <s v="Iv Therapy"/>
    <s v="Dr. Balogun"/>
    <x v="2"/>
    <s v="Axa Mansard"/>
    <n v="211507.49"/>
    <n v="12289.83"/>
    <n v="0"/>
    <n v="3"/>
    <n v="0"/>
    <n v="1.6"/>
    <x v="0"/>
    <s v="Recovered"/>
    <x v="1"/>
    <s v="Cash"/>
    <n v="223797.31999999998"/>
    <s v="Senior"/>
    <s v="Excellent"/>
  </r>
  <r>
    <x v="200"/>
    <s v="Riya Patel"/>
    <n v="54"/>
    <x v="0"/>
    <x v="11"/>
    <x v="5"/>
    <x v="174"/>
    <d v="2024-12-25T00:00:00"/>
    <x v="6"/>
    <s v="Dialysis"/>
    <s v="Dr. Balogun"/>
    <x v="0"/>
    <s v="Axa Mansard"/>
    <n v="0"/>
    <n v="52375.96"/>
    <n v="30508.17"/>
    <n v="3"/>
    <n v="106"/>
    <n v="5"/>
    <x v="0"/>
    <s v="Referred"/>
    <x v="1"/>
    <s v="Cash"/>
    <n v="82884.13"/>
    <s v="Adult"/>
    <s v="Long Wait"/>
  </r>
  <r>
    <x v="201"/>
    <s v="Arjun Gupta"/>
    <n v="37"/>
    <x v="1"/>
    <x v="4"/>
    <x v="3"/>
    <x v="175"/>
    <d v="2024-09-25T00:00:00"/>
    <x v="6"/>
    <s v="Iv Therapy"/>
    <s v="Dr. Ibrahim"/>
    <x v="0"/>
    <s v="Nhia"/>
    <n v="95233.09"/>
    <n v="0"/>
    <n v="23425.4"/>
    <n v="5"/>
    <n v="79"/>
    <n v="2.4"/>
    <x v="1"/>
    <s v="Referred"/>
    <x v="1"/>
    <s v="Cash"/>
    <n v="118658.48999999999"/>
    <s v="Adult"/>
    <s v="Long Wait"/>
  </r>
  <r>
    <x v="202"/>
    <s v="Aisha Patel"/>
    <n v="44"/>
    <x v="0"/>
    <x v="0"/>
    <x v="0"/>
    <x v="176"/>
    <d v="2024-08-25T00:00:00"/>
    <x v="6"/>
    <s v="Chemotherapy"/>
    <s v="Dr. Okafor"/>
    <x v="0"/>
    <s v="Avon Hmo"/>
    <n v="188520.16"/>
    <n v="13749.94"/>
    <n v="50059.64"/>
    <n v="2"/>
    <n v="128"/>
    <n v="2.2999999999999998"/>
    <x v="1"/>
    <s v="Recovered"/>
    <x v="2"/>
    <s v="Card"/>
    <n v="252329.74"/>
    <s v="Adult"/>
    <s v="Long Wait"/>
  </r>
  <r>
    <x v="203"/>
    <s v="Ishaan Das"/>
    <n v="40"/>
    <x v="1"/>
    <x v="9"/>
    <x v="0"/>
    <x v="57"/>
    <d v="2025-08-18T00:00:00"/>
    <x v="6"/>
    <s v="Dialysis"/>
    <s v="Dr. Adeyemi"/>
    <x v="0"/>
    <s v="Reliance Hmo"/>
    <n v="222638.95"/>
    <n v="47705.36"/>
    <n v="51996.480000000003"/>
    <n v="8"/>
    <n v="166"/>
    <n v="4.0999999999999996"/>
    <x v="1"/>
    <s v="Deceased"/>
    <x v="2"/>
    <s v="Mobile Money"/>
    <n v="322340.78999999998"/>
    <s v="Adult"/>
    <s v="Long Wait"/>
  </r>
  <r>
    <x v="204"/>
    <s v="Maya Das"/>
    <n v="50"/>
    <x v="0"/>
    <x v="9"/>
    <x v="8"/>
    <x v="177"/>
    <d v="2026-08-02T00:00:00"/>
    <x v="2"/>
    <s v="Iv Therapy"/>
    <s v="Dr. Balogun"/>
    <x v="0"/>
    <s v="Axa Mansard"/>
    <n v="59878.33"/>
    <n v="32713.99"/>
    <n v="44003.1"/>
    <n v="2"/>
    <n v="79"/>
    <n v="3.5"/>
    <x v="1"/>
    <s v="Deceased"/>
    <x v="0"/>
    <s v="Bank Transfer"/>
    <n v="136595.42000000001"/>
    <s v="Adult"/>
    <s v="Long Wait"/>
  </r>
  <r>
    <x v="205"/>
    <s v="Kavya Shah"/>
    <n v="52"/>
    <x v="0"/>
    <x v="3"/>
    <x v="0"/>
    <x v="178"/>
    <d v="2025-01-29T00:00:00"/>
    <x v="0"/>
    <s v="Physiotherapy"/>
    <s v="Dr. Adebayo"/>
    <x v="2"/>
    <s v="Reliance Hmo"/>
    <n v="129528.18"/>
    <n v="74382.77"/>
    <n v="9190.9"/>
    <n v="6"/>
    <n v="163"/>
    <n v="5"/>
    <x v="1"/>
    <s v="Improved"/>
    <x v="0"/>
    <s v="Bank Transfer"/>
    <n v="213101.85"/>
    <s v="Adult"/>
    <s v="Long Wait"/>
  </r>
  <r>
    <x v="206"/>
    <s v="Meera Kumar"/>
    <n v="73"/>
    <x v="0"/>
    <x v="9"/>
    <x v="8"/>
    <x v="179"/>
    <d v="2024-10-14T00:00:00"/>
    <x v="8"/>
    <s v="Wound Care"/>
    <s v="Dr. Okafor"/>
    <x v="0"/>
    <s v="Leadway Health"/>
    <n v="184993.49"/>
    <n v="37217.339999999997"/>
    <n v="52809.66"/>
    <n v="1"/>
    <n v="84"/>
    <n v="4.8"/>
    <x v="1"/>
    <s v="Recovered"/>
    <x v="1"/>
    <s v="Bank Transfer"/>
    <n v="275020.49"/>
    <s v="Senior"/>
    <s v="Long Wait"/>
  </r>
  <r>
    <x v="207"/>
    <s v="Kabir Sharma"/>
    <n v="4"/>
    <x v="0"/>
    <x v="9"/>
    <x v="6"/>
    <x v="180"/>
    <d v="2024-07-04T00:00:00"/>
    <x v="8"/>
    <s v="Chemotherapy"/>
    <s v="Dr. Adeyemi"/>
    <x v="2"/>
    <s v="Mediplus"/>
    <n v="402607.63"/>
    <n v="0"/>
    <n v="75976.39"/>
    <n v="5"/>
    <n v="179"/>
    <n v="2.2999999999999998"/>
    <x v="0"/>
    <s v="Recovered"/>
    <x v="1"/>
    <s v="Card"/>
    <n v="478584.02"/>
    <s v="Child"/>
    <s v="Long Wait"/>
  </r>
  <r>
    <x v="208"/>
    <s v="Zara Kumar"/>
    <n v="18"/>
    <x v="0"/>
    <x v="11"/>
    <x v="0"/>
    <x v="181"/>
    <d v="2026-02-03T00:00:00"/>
    <x v="10"/>
    <s v="Chemotherapy"/>
    <s v="Dr. Adebayo"/>
    <x v="2"/>
    <s v="Avon Hmo"/>
    <n v="189911.06"/>
    <n v="22299.14"/>
    <n v="68389.820000000007"/>
    <n v="2"/>
    <n v="193"/>
    <n v="5"/>
    <x v="0"/>
    <s v="Recovered"/>
    <x v="1"/>
    <s v="Card"/>
    <n v="280600.02"/>
    <s v="Yound Adult"/>
    <s v="Long Wait"/>
  </r>
  <r>
    <x v="209"/>
    <s v="Neha Malhotra"/>
    <n v="42"/>
    <x v="1"/>
    <x v="4"/>
    <x v="4"/>
    <x v="182"/>
    <d v="2025-08-10T00:00:00"/>
    <x v="3"/>
    <s v="Antibiotics"/>
    <s v="Dr. Ibrahim"/>
    <x v="2"/>
    <s v="Nhia"/>
    <n v="259222.56"/>
    <n v="9759.91"/>
    <n v="57721.83"/>
    <n v="2"/>
    <n v="59"/>
    <n v="3.7"/>
    <x v="0"/>
    <s v="Recovered"/>
    <x v="2"/>
    <s v="Card"/>
    <n v="326704.3"/>
    <s v="Adult"/>
    <s v="Acceptable"/>
  </r>
  <r>
    <x v="210"/>
    <s v="Arjun Patel"/>
    <n v="43"/>
    <x v="1"/>
    <x v="9"/>
    <x v="4"/>
    <x v="183"/>
    <d v="2025-03-03T00:00:00"/>
    <x v="2"/>
    <s v="Physiotherapy"/>
    <s v="Dr. Adeyemi"/>
    <x v="0"/>
    <s v="Avon Hmo"/>
    <n v="158905.98000000001"/>
    <n v="27259.75"/>
    <n v="42349.11"/>
    <n v="4"/>
    <n v="67"/>
    <n v="4.2"/>
    <x v="1"/>
    <s v="Improved"/>
    <x v="1"/>
    <s v="Bank Transfer"/>
    <n v="228514.84000000003"/>
    <s v="Adult"/>
    <s v="Long Wait"/>
  </r>
  <r>
    <x v="211"/>
    <s v="Rohan Singh"/>
    <n v="55"/>
    <x v="0"/>
    <x v="7"/>
    <x v="2"/>
    <x v="143"/>
    <d v="2025-02-19T00:00:00"/>
    <x v="8"/>
    <s v="Surgery"/>
    <s v="Dr. Okafor"/>
    <x v="1"/>
    <s v="Avon Hmo"/>
    <n v="178632.76"/>
    <n v="47423.86"/>
    <n v="34985.42"/>
    <n v="9"/>
    <n v="182"/>
    <n v="4.2"/>
    <x v="1"/>
    <s v="Deceased"/>
    <x v="2"/>
    <s v="Bank Transfer"/>
    <n v="261042.03999999998"/>
    <s v="Adult"/>
    <s v="Long Wait"/>
  </r>
  <r>
    <x v="212"/>
    <s v="Riya Gupta"/>
    <n v="52"/>
    <x v="0"/>
    <x v="7"/>
    <x v="1"/>
    <x v="184"/>
    <d v="2026-07-28T00:00:00"/>
    <x v="0"/>
    <s v="Chemotherapy"/>
    <s v="Dr. Chukwu"/>
    <x v="0"/>
    <s v="Axa Mansard"/>
    <n v="77.34"/>
    <n v="1830.81"/>
    <n v="9182.25"/>
    <n v="2"/>
    <n v="105"/>
    <n v="5"/>
    <x v="1"/>
    <s v="Referred"/>
    <x v="2"/>
    <s v="Card"/>
    <n v="11090.4"/>
    <s v="Adult"/>
    <s v="Long Wait"/>
  </r>
  <r>
    <x v="213"/>
    <s v="Riya Sharma"/>
    <n v="57"/>
    <x v="0"/>
    <x v="0"/>
    <x v="2"/>
    <x v="185"/>
    <d v="2024-11-26T00:00:00"/>
    <x v="8"/>
    <s v="Iv Therapy"/>
    <s v="Dr. Okafor"/>
    <x v="1"/>
    <s v="Axa Mansard"/>
    <n v="290118.23"/>
    <n v="0"/>
    <n v="28719.79"/>
    <n v="15"/>
    <n v="35"/>
    <n v="2.9"/>
    <x v="1"/>
    <s v="Referred"/>
    <x v="0"/>
    <s v="Insurance"/>
    <n v="318838.01999999996"/>
    <s v="Adult"/>
    <s v="Acceptable"/>
  </r>
  <r>
    <x v="214"/>
    <s v="Kabir Kapoor"/>
    <n v="32"/>
    <x v="0"/>
    <x v="5"/>
    <x v="8"/>
    <x v="186"/>
    <d v="2026-02-25T00:00:00"/>
    <x v="11"/>
    <s v="Iv Therapy"/>
    <s v="Dr. Okafor"/>
    <x v="0"/>
    <s v="Nhia"/>
    <n v="0"/>
    <n v="48697.760000000002"/>
    <n v="12817.71"/>
    <n v="2"/>
    <n v="112"/>
    <n v="5"/>
    <x v="1"/>
    <s v="Referred"/>
    <x v="0"/>
    <s v="Card"/>
    <n v="61515.47"/>
    <s v="Yound Adult"/>
    <s v="Long Wait"/>
  </r>
  <r>
    <x v="215"/>
    <s v="Kabir Singh"/>
    <n v="0"/>
    <x v="0"/>
    <x v="5"/>
    <x v="4"/>
    <x v="187"/>
    <d v="2025-03-09T00:00:00"/>
    <x v="0"/>
    <s v="Iv Therapy"/>
    <s v="Dr. Okafor"/>
    <x v="0"/>
    <s v="Axa Mansard"/>
    <n v="179959.41"/>
    <n v="57523.99"/>
    <n v="103750.42"/>
    <n v="1"/>
    <n v="2"/>
    <n v="4.3"/>
    <x v="0"/>
    <s v="Recovered"/>
    <x v="0"/>
    <s v="Mobile Money"/>
    <n v="341233.82"/>
    <s v="Child"/>
    <s v="Excellent"/>
  </r>
  <r>
    <x v="216"/>
    <s v="Aditya Reddy"/>
    <n v="49"/>
    <x v="1"/>
    <x v="6"/>
    <x v="0"/>
    <x v="20"/>
    <d v="2025-03-09T00:00:00"/>
    <x v="1"/>
    <s v="Surgery"/>
    <s v="Dr. Adebayo"/>
    <x v="1"/>
    <s v="Nhia"/>
    <n v="165169.20000000001"/>
    <n v="36728.17"/>
    <n v="34704.230000000003"/>
    <n v="3"/>
    <n v="141"/>
    <n v="3.2"/>
    <x v="1"/>
    <s v="Referred"/>
    <x v="1"/>
    <s v="Insurance"/>
    <n v="236601.60000000001"/>
    <s v="Adult"/>
    <s v="Long Wait"/>
  </r>
  <r>
    <x v="217"/>
    <s v="Arjun Reddy"/>
    <n v="42"/>
    <x v="1"/>
    <x v="7"/>
    <x v="4"/>
    <x v="188"/>
    <d v="2026-05-02T00:00:00"/>
    <x v="11"/>
    <s v="Counseling"/>
    <s v="Dr. Adebayo"/>
    <x v="1"/>
    <s v="Reliance Hmo"/>
    <n v="377647.04"/>
    <n v="28715.16"/>
    <n v="0"/>
    <n v="4"/>
    <n v="189"/>
    <n v="2.5"/>
    <x v="1"/>
    <s v="Recovered"/>
    <x v="1"/>
    <s v="Insurance"/>
    <n v="406362.19999999995"/>
    <s v="Adult"/>
    <s v="Long Wait"/>
  </r>
  <r>
    <x v="218"/>
    <s v="Rahul Singh"/>
    <n v="49"/>
    <x v="1"/>
    <x v="11"/>
    <x v="8"/>
    <x v="97"/>
    <d v="2024-01-19T00:00:00"/>
    <x v="5"/>
    <s v="Counseling"/>
    <s v="Dr. Adebayo"/>
    <x v="0"/>
    <s v="Axa Mansard"/>
    <n v="292957.14"/>
    <n v="46130.39"/>
    <n v="61668.13"/>
    <n v="3"/>
    <n v="101"/>
    <n v="3.4"/>
    <x v="0"/>
    <s v="Recovered"/>
    <x v="0"/>
    <s v="Bank Transfer"/>
    <n v="400755.66000000003"/>
    <s v="Adult"/>
    <s v="Long Wait"/>
  </r>
  <r>
    <x v="219"/>
    <s v="Priya Malhotra"/>
    <n v="38"/>
    <x v="1"/>
    <x v="2"/>
    <x v="0"/>
    <x v="59"/>
    <d v="2026-02-18T00:00:00"/>
    <x v="8"/>
    <s v="Surgery"/>
    <s v="Dr. Adebayo"/>
    <x v="0"/>
    <s v="Leadway Health"/>
    <n v="378727.81"/>
    <n v="44838.92"/>
    <n v="0"/>
    <n v="2"/>
    <n v="144"/>
    <n v="4"/>
    <x v="0"/>
    <s v="Recovered"/>
    <x v="1"/>
    <s v="Bank Transfer"/>
    <n v="423566.73"/>
    <s v="Adult"/>
    <s v="Long Wait"/>
  </r>
  <r>
    <x v="220"/>
    <s v="Sneha Shah"/>
    <n v="29"/>
    <x v="1"/>
    <x v="4"/>
    <x v="7"/>
    <x v="189"/>
    <d v="2025-07-22T00:00:00"/>
    <x v="8"/>
    <s v="Dialysis"/>
    <s v="Dr. Eze"/>
    <x v="0"/>
    <s v="Avon Hmo"/>
    <n v="340735.09"/>
    <n v="53828.13"/>
    <n v="60392.56"/>
    <n v="1"/>
    <n v="149"/>
    <n v="4.4000000000000004"/>
    <x v="0"/>
    <s v="Improved"/>
    <x v="1"/>
    <s v="Cash"/>
    <n v="454955.78"/>
    <s v="Yound Adult"/>
    <s v="Long Wait"/>
  </r>
  <r>
    <x v="221"/>
    <s v="Isha Joshi"/>
    <n v="52"/>
    <x v="0"/>
    <x v="3"/>
    <x v="0"/>
    <x v="190"/>
    <d v="2025-09-29T00:00:00"/>
    <x v="7"/>
    <s v="Medication"/>
    <s v="Dr. Adebayo"/>
    <x v="0"/>
    <s v="Self Pay"/>
    <n v="332057.33"/>
    <n v="48857.279999999999"/>
    <n v="80667.399999999994"/>
    <n v="2"/>
    <n v="148"/>
    <n v="3.5"/>
    <x v="0"/>
    <s v="Improved"/>
    <x v="0"/>
    <s v="Insurance"/>
    <n v="461582.01"/>
    <s v="Adult"/>
    <s v="Long Wait"/>
  </r>
  <r>
    <x v="222"/>
    <s v="Zara Kapoor"/>
    <n v="42"/>
    <x v="1"/>
    <x v="9"/>
    <x v="0"/>
    <x v="191"/>
    <d v="2026-08-24T00:00:00"/>
    <x v="1"/>
    <s v="Observation"/>
    <s v="Dr. Adeyemi"/>
    <x v="1"/>
    <s v="Reliance Hmo"/>
    <n v="96537.55"/>
    <n v="25923.33"/>
    <n v="22652.92"/>
    <n v="6"/>
    <n v="44"/>
    <n v="3.5"/>
    <x v="0"/>
    <s v="Recovered"/>
    <x v="0"/>
    <s v="Insurance"/>
    <n v="145113.79999999999"/>
    <s v="Adult"/>
    <s v="Acceptable"/>
  </r>
  <r>
    <x v="223"/>
    <s v="Ananya Reddy"/>
    <n v="36"/>
    <x v="0"/>
    <x v="9"/>
    <x v="0"/>
    <x v="192"/>
    <d v="2024-01-15T00:00:00"/>
    <x v="7"/>
    <s v="Dialysis"/>
    <s v="Dr. Balogun"/>
    <x v="1"/>
    <s v="Axa Mansard"/>
    <n v="0"/>
    <n v="35332.339999999997"/>
    <n v="45036.160000000003"/>
    <n v="1"/>
    <n v="33"/>
    <n v="4.5999999999999996"/>
    <x v="0"/>
    <s v="Recovered"/>
    <x v="0"/>
    <s v="Cash"/>
    <n v="80368.5"/>
    <s v="Adult"/>
    <s v="Acceptable"/>
  </r>
  <r>
    <x v="224"/>
    <s v="Riya Shah"/>
    <n v="7"/>
    <x v="0"/>
    <x v="7"/>
    <x v="0"/>
    <x v="193"/>
    <d v="2025-06-21T00:00:00"/>
    <x v="11"/>
    <s v="Chemotherapy"/>
    <s v="Dr. Balogun"/>
    <x v="0"/>
    <s v="Reliance Hmo"/>
    <n v="113218.53"/>
    <n v="10771.44"/>
    <n v="16802.91"/>
    <n v="6"/>
    <n v="157"/>
    <n v="3.4"/>
    <x v="0"/>
    <s v="Deceased"/>
    <x v="0"/>
    <s v="Cash"/>
    <n v="140792.88"/>
    <s v="Child"/>
    <s v="Long Wait"/>
  </r>
  <r>
    <x v="225"/>
    <s v="Riya Mehta"/>
    <n v="0"/>
    <x v="0"/>
    <x v="7"/>
    <x v="6"/>
    <x v="194"/>
    <d v="2025-12-22T00:00:00"/>
    <x v="3"/>
    <s v="Chemotherapy"/>
    <s v="Dr. Balogun"/>
    <x v="0"/>
    <s v="Nhia"/>
    <n v="308958.52"/>
    <n v="0"/>
    <n v="46797.98"/>
    <n v="2"/>
    <n v="115"/>
    <n v="5"/>
    <x v="0"/>
    <s v="Referred"/>
    <x v="0"/>
    <s v="Bank Transfer"/>
    <n v="355756.5"/>
    <s v="Child"/>
    <s v="Long Wait"/>
  </r>
  <r>
    <x v="226"/>
    <s v="Rohan Rao"/>
    <n v="0"/>
    <x v="0"/>
    <x v="6"/>
    <x v="3"/>
    <x v="195"/>
    <d v="2024-11-28T00:00:00"/>
    <x v="0"/>
    <s v="Antibiotics"/>
    <s v="Dr. Chukwu"/>
    <x v="1"/>
    <s v="Self Pay"/>
    <n v="245738.94"/>
    <n v="75012.78"/>
    <n v="82168.39"/>
    <n v="1"/>
    <n v="110"/>
    <n v="3.1"/>
    <x v="0"/>
    <s v="Recovered"/>
    <x v="2"/>
    <s v="Cash"/>
    <n v="402920.11"/>
    <s v="Child"/>
    <s v="Long Wait"/>
  </r>
  <r>
    <x v="227"/>
    <s v="Rahul Kumar"/>
    <n v="21"/>
    <x v="1"/>
    <x v="6"/>
    <x v="7"/>
    <x v="196"/>
    <d v="2024-01-28T00:00:00"/>
    <x v="8"/>
    <s v="Surgery"/>
    <s v="Dr. Okafor"/>
    <x v="1"/>
    <s v="Nhia"/>
    <n v="286690.09000000003"/>
    <n v="42636.75"/>
    <n v="76806.3"/>
    <n v="5"/>
    <n v="301"/>
    <n v="4.2"/>
    <x v="0"/>
    <s v="Referred"/>
    <x v="2"/>
    <s v="Bank Transfer"/>
    <n v="406133.14"/>
    <s v="Yound Adult"/>
    <s v="Long Wait"/>
  </r>
  <r>
    <x v="228"/>
    <s v="Maya Shah"/>
    <n v="42"/>
    <x v="0"/>
    <x v="3"/>
    <x v="4"/>
    <x v="197"/>
    <d v="2024-08-12T00:00:00"/>
    <x v="8"/>
    <s v="Physiotherapy"/>
    <s v="Dr. Chukwu"/>
    <x v="1"/>
    <s v="Avon Hmo"/>
    <n v="0"/>
    <n v="12632.17"/>
    <n v="32721.53"/>
    <n v="2"/>
    <n v="55"/>
    <n v="3.9"/>
    <x v="0"/>
    <s v="Improved"/>
    <x v="2"/>
    <s v="Cash"/>
    <n v="45353.7"/>
    <s v="Adult"/>
    <s v="Acceptable"/>
  </r>
  <r>
    <x v="229"/>
    <s v="Sneha Sharma"/>
    <n v="67"/>
    <x v="1"/>
    <x v="0"/>
    <x v="4"/>
    <x v="198"/>
    <d v="2026-04-17T00:00:00"/>
    <x v="5"/>
    <s v="Physiotherapy"/>
    <s v="Dr. Ibrahim"/>
    <x v="0"/>
    <s v="Avon Hmo"/>
    <n v="220028.99"/>
    <n v="29767.49"/>
    <n v="35163.160000000003"/>
    <n v="1"/>
    <n v="106"/>
    <n v="4.8"/>
    <x v="0"/>
    <s v="Recovered"/>
    <x v="2"/>
    <s v="Cash"/>
    <n v="284959.64"/>
    <s v="Senior"/>
    <s v="Long Wait"/>
  </r>
  <r>
    <x v="230"/>
    <s v="Aditya Verma"/>
    <n v="28"/>
    <x v="1"/>
    <x v="0"/>
    <x v="1"/>
    <x v="199"/>
    <d v="2024-06-06T00:00:00"/>
    <x v="5"/>
    <s v="Surgery"/>
    <s v="Dr. Ibrahim"/>
    <x v="1"/>
    <s v="Avon Hmo"/>
    <n v="177478.36"/>
    <n v="0"/>
    <n v="20422.259999999998"/>
    <n v="1"/>
    <n v="59"/>
    <n v="4.8"/>
    <x v="0"/>
    <s v="Recovered"/>
    <x v="0"/>
    <s v="Bank Transfer"/>
    <n v="197900.62"/>
    <s v="Yound Adult"/>
    <s v="Acceptable"/>
  </r>
  <r>
    <x v="231"/>
    <s v="Ananya Malhotra"/>
    <n v="47"/>
    <x v="1"/>
    <x v="8"/>
    <x v="4"/>
    <x v="200"/>
    <d v="2025-05-31T00:00:00"/>
    <x v="8"/>
    <s v="Dialysis"/>
    <s v="Dr. Adebayo"/>
    <x v="0"/>
    <s v="Mediplus"/>
    <n v="339125.71"/>
    <n v="26565.71"/>
    <n v="56713.95"/>
    <n v="3"/>
    <n v="87"/>
    <n v="4"/>
    <x v="0"/>
    <s v="Deceased"/>
    <x v="1"/>
    <s v="Mobile Money"/>
    <n v="422405.37000000005"/>
    <s v="Adult"/>
    <s v="Long Wait"/>
  </r>
  <r>
    <x v="232"/>
    <s v="Neha Nair"/>
    <n v="0"/>
    <x v="1"/>
    <x v="10"/>
    <x v="0"/>
    <x v="183"/>
    <d v="2025-03-01T00:00:00"/>
    <x v="6"/>
    <s v="Antibiotics"/>
    <s v="Dr. Yusuf"/>
    <x v="0"/>
    <s v="Avon Hmo"/>
    <n v="201200.92"/>
    <n v="65568.7"/>
    <n v="72786.460000000006"/>
    <n v="2"/>
    <n v="167"/>
    <n v="5"/>
    <x v="0"/>
    <s v="Recovered"/>
    <x v="0"/>
    <s v="Bank Transfer"/>
    <n v="339556.08"/>
    <s v="Child"/>
    <s v="Long Wait"/>
  </r>
  <r>
    <x v="233"/>
    <s v="Kavya Sharma"/>
    <n v="47"/>
    <x v="1"/>
    <x v="4"/>
    <x v="4"/>
    <x v="201"/>
    <d v="2025-01-20T00:00:00"/>
    <x v="1"/>
    <s v="Observation"/>
    <s v="Dr. Musa"/>
    <x v="0"/>
    <s v="Avon Hmo"/>
    <n v="133528.73000000001"/>
    <n v="22098.18"/>
    <n v="63473.13"/>
    <n v="3"/>
    <n v="185"/>
    <n v="3.5"/>
    <x v="1"/>
    <s v="Improved"/>
    <x v="2"/>
    <s v="Insurance"/>
    <n v="219100.04"/>
    <s v="Adult"/>
    <s v="Long Wait"/>
  </r>
  <r>
    <x v="234"/>
    <s v="Diya Kumar"/>
    <n v="43"/>
    <x v="1"/>
    <x v="4"/>
    <x v="8"/>
    <x v="202"/>
    <d v="2026-02-09T00:00:00"/>
    <x v="8"/>
    <s v="Surgery"/>
    <s v="Dr. Adeyemi"/>
    <x v="0"/>
    <s v="Axa Mansard"/>
    <n v="304168.94"/>
    <n v="0"/>
    <n v="0"/>
    <n v="2"/>
    <n v="53"/>
    <n v="2.1"/>
    <x v="0"/>
    <s v="Recovered"/>
    <x v="2"/>
    <s v="Bank Transfer"/>
    <n v="304168.94"/>
    <s v="Adult"/>
    <s v="Acceptable"/>
  </r>
  <r>
    <x v="235"/>
    <s v="Meera Kapoor"/>
    <n v="65"/>
    <x v="0"/>
    <x v="9"/>
    <x v="5"/>
    <x v="203"/>
    <d v="2025-05-12T00:00:00"/>
    <x v="0"/>
    <s v="Dialysis"/>
    <s v="Dr. Adebayo"/>
    <x v="0"/>
    <s v="Axa Mansard"/>
    <n v="209393"/>
    <n v="46762.02"/>
    <n v="12844.28"/>
    <n v="1"/>
    <n v="0"/>
    <n v="4.8"/>
    <x v="1"/>
    <s v="Deceased"/>
    <x v="2"/>
    <s v="Bank Transfer"/>
    <n v="268999.3"/>
    <s v="Senior"/>
    <s v="Excellent"/>
  </r>
  <r>
    <x v="236"/>
    <s v="Riya Joshi"/>
    <n v="35"/>
    <x v="0"/>
    <x v="0"/>
    <x v="5"/>
    <x v="86"/>
    <d v="2026-06-16T00:00:00"/>
    <x v="8"/>
    <s v="Counseling"/>
    <s v="Dr. Eze"/>
    <x v="0"/>
    <s v="Nhia"/>
    <n v="304446.24"/>
    <n v="16397.150000000001"/>
    <n v="40116.21"/>
    <n v="4"/>
    <n v="98"/>
    <n v="2.4"/>
    <x v="0"/>
    <s v="Referred"/>
    <x v="1"/>
    <s v="Bank Transfer"/>
    <n v="360959.60000000003"/>
    <s v="Yound Adult"/>
    <s v="Long Wait"/>
  </r>
  <r>
    <x v="237"/>
    <s v="Aarav Malhotra"/>
    <n v="31"/>
    <x v="1"/>
    <x v="0"/>
    <x v="4"/>
    <x v="204"/>
    <d v="2025-06-25T00:00:00"/>
    <x v="8"/>
    <s v="Medication"/>
    <s v="Dr. Musa"/>
    <x v="0"/>
    <s v="Nhia"/>
    <n v="187996.01"/>
    <n v="5141.2700000000004"/>
    <n v="0"/>
    <n v="5"/>
    <n v="80"/>
    <n v="5"/>
    <x v="1"/>
    <s v="Improved"/>
    <x v="0"/>
    <s v="Bank Transfer"/>
    <n v="193137.28"/>
    <s v="Yound Adult"/>
    <s v="Long Wait"/>
  </r>
  <r>
    <x v="238"/>
    <s v="Aarav Mehta"/>
    <n v="42"/>
    <x v="1"/>
    <x v="8"/>
    <x v="4"/>
    <x v="58"/>
    <d v="2026-02-07T00:00:00"/>
    <x v="6"/>
    <s v="Surgery"/>
    <s v="Dr. Bello"/>
    <x v="0"/>
    <s v="Axa Mansard"/>
    <n v="183195.28"/>
    <n v="30561.65"/>
    <n v="61413.57"/>
    <n v="5"/>
    <n v="6"/>
    <n v="5"/>
    <x v="1"/>
    <s v="Recovered"/>
    <x v="1"/>
    <s v="Mobile Money"/>
    <n v="275170.5"/>
    <s v="Adult"/>
    <s v="Excellent"/>
  </r>
  <r>
    <x v="239"/>
    <s v="Ananya Shah"/>
    <n v="58"/>
    <x v="0"/>
    <x v="9"/>
    <x v="4"/>
    <x v="205"/>
    <d v="2025-04-30T00:00:00"/>
    <x v="2"/>
    <s v="Dialysis"/>
    <s v="Dr. Chukwu"/>
    <x v="0"/>
    <s v="Hygeia Hmo"/>
    <n v="281386.59999999998"/>
    <n v="30490.42"/>
    <n v="65185.84"/>
    <n v="5"/>
    <n v="139"/>
    <n v="3.2"/>
    <x v="0"/>
    <s v="Deceased"/>
    <x v="1"/>
    <s v="Card"/>
    <n v="377062.86"/>
    <s v="Adult"/>
    <s v="Long Wait"/>
  </r>
  <r>
    <x v="240"/>
    <s v="Zara Kapoor"/>
    <n v="45"/>
    <x v="0"/>
    <x v="9"/>
    <x v="0"/>
    <x v="206"/>
    <d v="2024-07-02T00:00:00"/>
    <x v="9"/>
    <s v="Dialysis"/>
    <s v="Dr. Chukwu"/>
    <x v="0"/>
    <s v="Self Pay"/>
    <n v="436862.82"/>
    <n v="0"/>
    <n v="974.24"/>
    <n v="2"/>
    <n v="107"/>
    <n v="3.8"/>
    <x v="1"/>
    <s v="Recovered"/>
    <x v="1"/>
    <s v="Bank Transfer"/>
    <n v="437837.06"/>
    <s v="Adult"/>
    <s v="Long Wait"/>
  </r>
  <r>
    <x v="241"/>
    <s v="Vivaan Kumar"/>
    <n v="48"/>
    <x v="0"/>
    <x v="4"/>
    <x v="1"/>
    <x v="207"/>
    <d v="2024-02-12T00:00:00"/>
    <x v="1"/>
    <s v="Dialysis"/>
    <s v="Dr. Ibrahim"/>
    <x v="0"/>
    <s v="Axa Mansard"/>
    <n v="188751.68"/>
    <n v="67246.59"/>
    <n v="0"/>
    <n v="3"/>
    <n v="32"/>
    <n v="3.6"/>
    <x v="1"/>
    <s v="Recovered"/>
    <x v="1"/>
    <s v="Bank Transfer"/>
    <n v="255998.27"/>
    <s v="Adult"/>
    <s v="Acceptable"/>
  </r>
  <r>
    <x v="242"/>
    <s v="Kabir Malhotra"/>
    <n v="39"/>
    <x v="1"/>
    <x v="0"/>
    <x v="2"/>
    <x v="208"/>
    <d v="2025-04-18T00:00:00"/>
    <x v="1"/>
    <s v="Surgery"/>
    <s v="Dr. Adebayo"/>
    <x v="0"/>
    <s v="Mediplus"/>
    <n v="452605.82"/>
    <n v="30522.16"/>
    <n v="51921.03"/>
    <n v="1"/>
    <n v="0"/>
    <n v="2.9"/>
    <x v="0"/>
    <s v="Recovered"/>
    <x v="2"/>
    <s v="Bank Transfer"/>
    <n v="535049.01"/>
    <s v="Adult"/>
    <s v="Excellent"/>
  </r>
  <r>
    <x v="243"/>
    <s v="Arjun Patel"/>
    <n v="36"/>
    <x v="1"/>
    <x v="0"/>
    <x v="6"/>
    <x v="195"/>
    <d v="2024-11-29T00:00:00"/>
    <x v="1"/>
    <s v="Wound Care"/>
    <s v="Dr. Adeyemi"/>
    <x v="0"/>
    <s v="Mediplus"/>
    <n v="399430.13"/>
    <n v="43942.28"/>
    <n v="11656.26"/>
    <n v="2"/>
    <n v="113"/>
    <n v="4.3"/>
    <x v="0"/>
    <s v="Recovered"/>
    <x v="0"/>
    <s v="Bank Transfer"/>
    <n v="455028.67000000004"/>
    <s v="Adult"/>
    <s v="Long Wait"/>
  </r>
  <r>
    <x v="244"/>
    <s v="Vivaan Shah"/>
    <n v="77"/>
    <x v="1"/>
    <x v="0"/>
    <x v="7"/>
    <x v="209"/>
    <d v="2025-02-04T00:00:00"/>
    <x v="2"/>
    <s v="Medication"/>
    <s v="Dr. Okafor"/>
    <x v="0"/>
    <s v="Nhia"/>
    <n v="77886.81"/>
    <n v="9728.56"/>
    <n v="7272.66"/>
    <n v="7"/>
    <n v="77"/>
    <n v="4.3"/>
    <x v="1"/>
    <s v="Referred"/>
    <x v="0"/>
    <s v="Bank Transfer"/>
    <n v="94888.03"/>
    <s v="Senior"/>
    <s v="Long Wait"/>
  </r>
  <r>
    <x v="245"/>
    <s v="Zara Rao"/>
    <n v="41"/>
    <x v="0"/>
    <x v="8"/>
    <x v="5"/>
    <x v="210"/>
    <d v="2024-07-10T00:00:00"/>
    <x v="2"/>
    <s v="Wound Care"/>
    <s v="Dr. Okafor"/>
    <x v="2"/>
    <s v="Axa Mansard"/>
    <n v="175221.35"/>
    <n v="33793.949999999997"/>
    <n v="19945.71"/>
    <n v="6"/>
    <n v="251"/>
    <n v="1.6"/>
    <x v="0"/>
    <s v="Referred"/>
    <x v="0"/>
    <s v="Bank Transfer"/>
    <n v="228961.00999999998"/>
    <s v="Adult"/>
    <s v="Long Wait"/>
  </r>
  <r>
    <x v="246"/>
    <s v="Priya Sharma"/>
    <n v="87"/>
    <x v="0"/>
    <x v="0"/>
    <x v="5"/>
    <x v="211"/>
    <d v="2025-03-31T00:00:00"/>
    <x v="0"/>
    <s v="Wound Care"/>
    <s v="Dr. Okafor"/>
    <x v="0"/>
    <s v="Reliance Hmo"/>
    <n v="220951.98"/>
    <n v="25249.02"/>
    <n v="34276.639999999999"/>
    <n v="3"/>
    <n v="81"/>
    <n v="5"/>
    <x v="0"/>
    <s v="Referred"/>
    <x v="0"/>
    <s v="Cash"/>
    <n v="280477.64"/>
    <s v="Senior"/>
    <s v="Long Wait"/>
  </r>
  <r>
    <x v="247"/>
    <s v="Aditya Malhotra"/>
    <n v="76"/>
    <x v="0"/>
    <x v="2"/>
    <x v="4"/>
    <x v="84"/>
    <d v="2024-12-06T00:00:00"/>
    <x v="2"/>
    <s v="Physiotherapy"/>
    <s v="Dr. Bello"/>
    <x v="0"/>
    <s v="Avon Hmo"/>
    <n v="20646"/>
    <n v="23333.69"/>
    <n v="32122.67"/>
    <n v="1"/>
    <n v="139"/>
    <n v="1.6"/>
    <x v="0"/>
    <s v="Referred"/>
    <x v="0"/>
    <s v="Bank Transfer"/>
    <n v="76102.36"/>
    <s v="Senior"/>
    <s v="Long Wait"/>
  </r>
  <r>
    <x v="248"/>
    <s v="Vivaan Patel"/>
    <n v="87"/>
    <x v="0"/>
    <x v="5"/>
    <x v="1"/>
    <x v="212"/>
    <d v="2025-03-17T00:00:00"/>
    <x v="8"/>
    <s v="Surgery"/>
    <s v="Dr. Adeyemi"/>
    <x v="0"/>
    <s v="Avon Hmo"/>
    <n v="29155.64"/>
    <n v="34742.65"/>
    <n v="25140.53"/>
    <n v="4"/>
    <n v="126"/>
    <n v="3.7"/>
    <x v="0"/>
    <s v="Referred"/>
    <x v="1"/>
    <s v="Mobile Money"/>
    <n v="89038.82"/>
    <s v="Senior"/>
    <s v="Long Wait"/>
  </r>
  <r>
    <x v="249"/>
    <s v="Kavya Verma"/>
    <n v="53"/>
    <x v="1"/>
    <x v="0"/>
    <x v="8"/>
    <x v="213"/>
    <d v="2026-01-13T00:00:00"/>
    <x v="9"/>
    <s v="Iv Therapy"/>
    <s v="Dr. Adebayo"/>
    <x v="0"/>
    <s v="Self Pay"/>
    <n v="472608.74"/>
    <n v="25227.41"/>
    <n v="66592.740000000005"/>
    <n v="2"/>
    <n v="0"/>
    <n v="2.5"/>
    <x v="0"/>
    <s v="Referred"/>
    <x v="1"/>
    <s v="Mobile Money"/>
    <n v="564428.89"/>
    <s v="Adult"/>
    <s v="Excellent"/>
  </r>
  <r>
    <x v="250"/>
    <s v="Maya Nair"/>
    <n v="33"/>
    <x v="1"/>
    <x v="4"/>
    <x v="2"/>
    <x v="214"/>
    <d v="2024-10-20T00:00:00"/>
    <x v="4"/>
    <s v="Chemotherapy"/>
    <s v="Dr. Adebayo"/>
    <x v="2"/>
    <s v="Axa Mansard"/>
    <n v="154194.1"/>
    <n v="36646.959999999999"/>
    <n v="31898.41"/>
    <n v="5"/>
    <n v="90"/>
    <n v="5"/>
    <x v="0"/>
    <s v="Improved"/>
    <x v="0"/>
    <s v="Card"/>
    <n v="222739.47"/>
    <s v="Yound Adult"/>
    <s v="Long Wait"/>
  </r>
  <r>
    <x v="251"/>
    <s v="Vivaan Das"/>
    <n v="35"/>
    <x v="0"/>
    <x v="4"/>
    <x v="4"/>
    <x v="215"/>
    <d v="2026-08-04T00:00:00"/>
    <x v="1"/>
    <s v="Medication"/>
    <s v="Dr. Bello"/>
    <x v="1"/>
    <s v="Hygeia Hmo"/>
    <n v="129344.15"/>
    <n v="48604.800000000003"/>
    <n v="39563.269999999997"/>
    <n v="2"/>
    <n v="46"/>
    <n v="5"/>
    <x v="1"/>
    <s v="Improved"/>
    <x v="0"/>
    <s v="Card"/>
    <n v="217512.22"/>
    <s v="Yound Adult"/>
    <s v="Acceptable"/>
  </r>
  <r>
    <x v="252"/>
    <s v="Zara Patel"/>
    <n v="29"/>
    <x v="0"/>
    <x v="3"/>
    <x v="4"/>
    <x v="28"/>
    <d v="2024-01-28T00:00:00"/>
    <x v="10"/>
    <s v="Surgery"/>
    <s v="Dr. Bello"/>
    <x v="2"/>
    <s v="Axa Mansard"/>
    <n v="0"/>
    <n v="55187.839999999997"/>
    <n v="24461.11"/>
    <n v="8"/>
    <n v="154"/>
    <n v="1.1000000000000001"/>
    <x v="1"/>
    <s v="Improved"/>
    <x v="0"/>
    <s v="Card"/>
    <n v="79648.95"/>
    <s v="Yound Adult"/>
    <s v="Long Wait"/>
  </r>
  <r>
    <x v="253"/>
    <s v="Kabir Patel"/>
    <n v="16"/>
    <x v="1"/>
    <x v="0"/>
    <x v="4"/>
    <x v="216"/>
    <d v="2024-02-07T00:00:00"/>
    <x v="10"/>
    <s v="Surgery"/>
    <s v="Dr. Ibrahim"/>
    <x v="2"/>
    <s v="Mediplus"/>
    <n v="322306.98"/>
    <n v="30356.83"/>
    <n v="16381.82"/>
    <n v="5"/>
    <n v="64"/>
    <n v="4.5999999999999996"/>
    <x v="0"/>
    <s v="Recovered"/>
    <x v="1"/>
    <s v="Card"/>
    <n v="369045.63"/>
    <s v="Child"/>
    <s v="Long Wait"/>
  </r>
  <r>
    <x v="254"/>
    <s v="Sneha Joshi"/>
    <n v="55"/>
    <x v="1"/>
    <x v="0"/>
    <x v="7"/>
    <x v="217"/>
    <d v="2025-06-05T00:00:00"/>
    <x v="8"/>
    <s v="Observation"/>
    <s v="Dr. Yusuf"/>
    <x v="1"/>
    <s v="Leadway Health"/>
    <n v="496701.68"/>
    <n v="0"/>
    <n v="93516.38"/>
    <n v="3"/>
    <n v="102"/>
    <n v="2.5"/>
    <x v="0"/>
    <s v="Recovered"/>
    <x v="0"/>
    <s v="Bank Transfer"/>
    <n v="590218.06000000006"/>
    <s v="Adult"/>
    <s v="Long Wait"/>
  </r>
  <r>
    <x v="255"/>
    <s v="Diya Sharma"/>
    <n v="38"/>
    <x v="0"/>
    <x v="0"/>
    <x v="2"/>
    <x v="13"/>
    <d v="2026-06-05T00:00:00"/>
    <x v="1"/>
    <s v="Medication"/>
    <s v="Dr. Chukwu"/>
    <x v="0"/>
    <s v="Leadway Health"/>
    <n v="349031.02"/>
    <n v="26811.27"/>
    <n v="90334.65"/>
    <n v="1"/>
    <n v="0"/>
    <n v="3.7"/>
    <x v="0"/>
    <s v="Recovered"/>
    <x v="1"/>
    <s v="Card"/>
    <n v="466176.94000000006"/>
    <s v="Adult"/>
    <s v="Excellent"/>
  </r>
  <r>
    <x v="256"/>
    <s v="Aarav Nair"/>
    <n v="50"/>
    <x v="1"/>
    <x v="11"/>
    <x v="7"/>
    <x v="218"/>
    <d v="2024-07-17T00:00:00"/>
    <x v="9"/>
    <s v="Iv Therapy"/>
    <s v="Dr. Chukwu"/>
    <x v="0"/>
    <s v="Leadway Health"/>
    <n v="344164.23"/>
    <n v="19480.96"/>
    <n v="0"/>
    <n v="1"/>
    <n v="109"/>
    <n v="4.3"/>
    <x v="0"/>
    <s v="Referred"/>
    <x v="0"/>
    <s v="Insurance"/>
    <n v="363645.19"/>
    <s v="Adult"/>
    <s v="Long Wait"/>
  </r>
  <r>
    <x v="257"/>
    <s v="Kavya Rao"/>
    <n v="70"/>
    <x v="1"/>
    <x v="5"/>
    <x v="8"/>
    <x v="219"/>
    <d v="2024-10-08T00:00:00"/>
    <x v="11"/>
    <s v="Physiotherapy"/>
    <s v="Dr. Adeyemi"/>
    <x v="2"/>
    <s v="Self Pay"/>
    <n v="70052.479999999996"/>
    <n v="47005.4"/>
    <n v="80775.23"/>
    <n v="4"/>
    <n v="0"/>
    <n v="4.0999999999999996"/>
    <x v="0"/>
    <s v="Referred"/>
    <x v="1"/>
    <s v="Bank Transfer"/>
    <n v="197833.11"/>
    <s v="Senior"/>
    <s v="Excellent"/>
  </r>
  <r>
    <x v="258"/>
    <s v="Neha Patel"/>
    <n v="41"/>
    <x v="0"/>
    <x v="10"/>
    <x v="2"/>
    <x v="170"/>
    <d v="2024-07-04T00:00:00"/>
    <x v="9"/>
    <s v="Physiotherapy"/>
    <s v="Dr. Ibrahim"/>
    <x v="2"/>
    <s v="Hygeia Hmo"/>
    <n v="268674.71000000002"/>
    <n v="17819.29"/>
    <n v="24728.76"/>
    <n v="2"/>
    <n v="97"/>
    <n v="2.2999999999999998"/>
    <x v="0"/>
    <s v="Improved"/>
    <x v="1"/>
    <s v="Bank Transfer"/>
    <n v="311222.76"/>
    <s v="Adult"/>
    <s v="Long Wait"/>
  </r>
  <r>
    <x v="259"/>
    <s v="Aarav Patel"/>
    <n v="57"/>
    <x v="0"/>
    <x v="8"/>
    <x v="2"/>
    <x v="220"/>
    <d v="2024-08-26T00:00:00"/>
    <x v="0"/>
    <s v="Physiotherapy"/>
    <s v="Dr. Yusuf"/>
    <x v="1"/>
    <s v="Hygeia Hmo"/>
    <n v="59168.84"/>
    <n v="46657.81"/>
    <n v="58877.74"/>
    <n v="1"/>
    <n v="0"/>
    <n v="2.8"/>
    <x v="1"/>
    <s v="Improved"/>
    <x v="0"/>
    <s v="Bank Transfer"/>
    <n v="164704.38999999998"/>
    <s v="Adult"/>
    <s v="Excellent"/>
  </r>
  <r>
    <x v="260"/>
    <s v="Meera Nair"/>
    <n v="21"/>
    <x v="0"/>
    <x v="8"/>
    <x v="7"/>
    <x v="221"/>
    <d v="2026-03-04T00:00:00"/>
    <x v="5"/>
    <s v="Counseling"/>
    <s v="Dr. Balogun"/>
    <x v="1"/>
    <s v="Leadway Health"/>
    <n v="154983.4"/>
    <n v="41551.519999999997"/>
    <n v="68501.72"/>
    <n v="7"/>
    <n v="76"/>
    <n v="2.9"/>
    <x v="1"/>
    <s v="Improved"/>
    <x v="2"/>
    <s v="Bank Transfer"/>
    <n v="265036.64"/>
    <s v="Yound Adult"/>
    <s v="Long Wait"/>
  </r>
  <r>
    <x v="261"/>
    <s v="Maya Das"/>
    <n v="81"/>
    <x v="0"/>
    <x v="3"/>
    <x v="5"/>
    <x v="209"/>
    <d v="2025-02-05T00:00:00"/>
    <x v="2"/>
    <s v="Iv Therapy"/>
    <s v="Dr. Balogun"/>
    <x v="0"/>
    <s v="Nhia"/>
    <n v="357040.13"/>
    <n v="32132.95"/>
    <n v="20752.03"/>
    <n v="8"/>
    <n v="32"/>
    <n v="4.4000000000000004"/>
    <x v="1"/>
    <s v="Deceased"/>
    <x v="0"/>
    <s v="Card"/>
    <n v="409925.11"/>
    <s v="Senior"/>
    <s v="Acceptable"/>
  </r>
  <r>
    <x v="262"/>
    <s v="Vivaan Patel"/>
    <n v="73"/>
    <x v="1"/>
    <x v="9"/>
    <x v="2"/>
    <x v="222"/>
    <d v="2026-04-25T00:00:00"/>
    <x v="2"/>
    <s v="Surgery"/>
    <s v="Dr. Musa"/>
    <x v="1"/>
    <s v="Self Pay"/>
    <n v="311063.01"/>
    <n v="0"/>
    <n v="76558.429999999993"/>
    <n v="4"/>
    <n v="20"/>
    <n v="3.2"/>
    <x v="1"/>
    <s v="Deceased"/>
    <x v="0"/>
    <s v="Card"/>
    <n v="387621.44"/>
    <s v="Senior"/>
    <s v="Excellent"/>
  </r>
  <r>
    <x v="263"/>
    <s v="Vivaan Sharma"/>
    <n v="82"/>
    <x v="0"/>
    <x v="4"/>
    <x v="8"/>
    <x v="223"/>
    <d v="2025-03-23T00:00:00"/>
    <x v="2"/>
    <s v="Wound Care"/>
    <s v="Dr. Adebayo"/>
    <x v="1"/>
    <s v="Hygeia Hmo"/>
    <n v="252209.91"/>
    <n v="42443.58"/>
    <n v="64977.73"/>
    <n v="2"/>
    <n v="126"/>
    <n v="4.8"/>
    <x v="1"/>
    <s v="Recovered"/>
    <x v="1"/>
    <s v="Bank Transfer"/>
    <n v="359631.22"/>
    <s v="Senior"/>
    <s v="Long Wait"/>
  </r>
  <r>
    <x v="264"/>
    <s v="Kabir Verma"/>
    <n v="30"/>
    <x v="1"/>
    <x v="1"/>
    <x v="3"/>
    <x v="224"/>
    <d v="2026-06-07T00:00:00"/>
    <x v="2"/>
    <s v="Medication"/>
    <s v="Dr. Yusuf"/>
    <x v="1"/>
    <s v="Self Pay"/>
    <n v="65978.41"/>
    <n v="40987.53"/>
    <n v="68368.100000000006"/>
    <n v="2"/>
    <n v="129"/>
    <n v="5"/>
    <x v="1"/>
    <s v="Recovered"/>
    <x v="1"/>
    <s v="Bank Transfer"/>
    <n v="175334.04"/>
    <s v="Yound Adult"/>
    <s v="Long Wait"/>
  </r>
  <r>
    <x v="265"/>
    <s v="Aditya Singh"/>
    <n v="57"/>
    <x v="1"/>
    <x v="5"/>
    <x v="3"/>
    <x v="99"/>
    <d v="2025-03-06T00:00:00"/>
    <x v="8"/>
    <s v="Physiotherapy"/>
    <s v="Dr. Okafor"/>
    <x v="1"/>
    <s v="Mediplus"/>
    <n v="67161.88"/>
    <n v="20322.509999999998"/>
    <n v="65866.13"/>
    <n v="3"/>
    <n v="158"/>
    <n v="3.3"/>
    <x v="1"/>
    <s v="Referred"/>
    <x v="1"/>
    <s v="Card"/>
    <n v="153350.52000000002"/>
    <s v="Adult"/>
    <s v="Long Wait"/>
  </r>
  <r>
    <x v="266"/>
    <s v="Zara Sharma"/>
    <n v="9"/>
    <x v="0"/>
    <x v="9"/>
    <x v="1"/>
    <x v="2"/>
    <d v="2025-09-13T00:00:00"/>
    <x v="8"/>
    <s v="Counseling"/>
    <s v="Dr. Adebayo"/>
    <x v="1"/>
    <s v="Mediplus"/>
    <n v="170015.91"/>
    <n v="52259.58"/>
    <n v="62256.15"/>
    <n v="3"/>
    <n v="132"/>
    <n v="3.8"/>
    <x v="1"/>
    <s v="Improved"/>
    <x v="1"/>
    <s v="Bank Transfer"/>
    <n v="284531.64"/>
    <s v="Child"/>
    <s v="Long Wait"/>
  </r>
  <r>
    <x v="267"/>
    <s v="Priya Malhotra"/>
    <n v="32"/>
    <x v="0"/>
    <x v="5"/>
    <x v="8"/>
    <x v="225"/>
    <d v="2026-02-04T00:00:00"/>
    <x v="1"/>
    <s v="Surgery"/>
    <s v="Dr. Yusuf"/>
    <x v="0"/>
    <s v="Axa Mansard"/>
    <n v="99211.39"/>
    <n v="47336.97"/>
    <n v="33239.620000000003"/>
    <n v="6"/>
    <n v="174"/>
    <n v="4.5"/>
    <x v="1"/>
    <s v="Improved"/>
    <x v="0"/>
    <s v="Bank Transfer"/>
    <n v="179787.97999999998"/>
    <s v="Yound Adult"/>
    <s v="Long Wait"/>
  </r>
  <r>
    <x v="268"/>
    <s v="Ananya Malhotra"/>
    <n v="5"/>
    <x v="1"/>
    <x v="11"/>
    <x v="4"/>
    <x v="226"/>
    <d v="2024-05-30T00:00:00"/>
    <x v="2"/>
    <s v="Iv Therapy"/>
    <s v="Dr. Balogun"/>
    <x v="0"/>
    <s v="Axa Mansard"/>
    <n v="63686.58"/>
    <n v="60895.29"/>
    <n v="40323.050000000003"/>
    <n v="2"/>
    <n v="53"/>
    <n v="3.9"/>
    <x v="0"/>
    <s v="Referred"/>
    <x v="1"/>
    <s v="Bank Transfer"/>
    <n v="164904.91999999998"/>
    <s v="Child"/>
    <s v="Acceptable"/>
  </r>
  <r>
    <x v="269"/>
    <s v="Maya Malhotra"/>
    <n v="21"/>
    <x v="0"/>
    <x v="0"/>
    <x v="8"/>
    <x v="227"/>
    <d v="2025-06-29T00:00:00"/>
    <x v="0"/>
    <s v="Antibiotics"/>
    <s v="Dr. Eze"/>
    <x v="2"/>
    <s v="Leadway Health"/>
    <n v="268130.3"/>
    <n v="28783.69"/>
    <n v="45983.91"/>
    <n v="1"/>
    <n v="38"/>
    <n v="3.4"/>
    <x v="1"/>
    <s v="Referred"/>
    <x v="1"/>
    <s v="Mobile Money"/>
    <n v="342897.9"/>
    <s v="Yound Adult"/>
    <s v="Acceptable"/>
  </r>
  <r>
    <x v="270"/>
    <s v="Diya Gupta"/>
    <n v="62"/>
    <x v="1"/>
    <x v="0"/>
    <x v="8"/>
    <x v="228"/>
    <d v="2025-07-15T00:00:00"/>
    <x v="7"/>
    <s v="Medication"/>
    <s v="Dr. Balogun"/>
    <x v="1"/>
    <s v="Axa Mansard"/>
    <n v="364934.91"/>
    <n v="0"/>
    <n v="17114.669999999998"/>
    <n v="1"/>
    <n v="0"/>
    <n v="2.9"/>
    <x v="1"/>
    <s v="Referred"/>
    <x v="0"/>
    <s v="Mobile Money"/>
    <n v="382049.57999999996"/>
    <s v="Senior"/>
    <s v="Excellent"/>
  </r>
  <r>
    <x v="271"/>
    <s v="Diya Verma"/>
    <n v="11"/>
    <x v="0"/>
    <x v="7"/>
    <x v="0"/>
    <x v="229"/>
    <d v="2025-11-05T00:00:00"/>
    <x v="5"/>
    <s v="Surgery"/>
    <s v="Dr. Adeyemi"/>
    <x v="0"/>
    <s v="Hygeia Hmo"/>
    <n v="90939.63"/>
    <n v="4901.07"/>
    <n v="51218.02"/>
    <n v="2"/>
    <n v="100"/>
    <n v="2.8"/>
    <x v="0"/>
    <s v="Referred"/>
    <x v="2"/>
    <s v="Bank Transfer"/>
    <n v="147058.72"/>
    <s v="Child"/>
    <s v="Long Wait"/>
  </r>
  <r>
    <x v="272"/>
    <s v="Ananya Singh"/>
    <n v="30"/>
    <x v="1"/>
    <x v="3"/>
    <x v="2"/>
    <x v="230"/>
    <d v="2026-03-01T00:00:00"/>
    <x v="3"/>
    <s v="Iv Therapy"/>
    <s v="Dr. Adeyemi"/>
    <x v="2"/>
    <s v="Axa Mansard"/>
    <n v="181968.28"/>
    <n v="71836.3"/>
    <n v="85213.83"/>
    <n v="3"/>
    <n v="0"/>
    <n v="4.8"/>
    <x v="0"/>
    <s v="Referred"/>
    <x v="0"/>
    <s v="Cash"/>
    <n v="339018.41000000003"/>
    <s v="Yound Adult"/>
    <s v="Excellent"/>
  </r>
  <r>
    <x v="273"/>
    <s v="Aditya Nair"/>
    <n v="17"/>
    <x v="1"/>
    <x v="7"/>
    <x v="6"/>
    <x v="231"/>
    <d v="2024-07-06T00:00:00"/>
    <x v="2"/>
    <s v="Observation"/>
    <s v="Dr. Musa"/>
    <x v="2"/>
    <s v="Leadway Health"/>
    <n v="334628.87"/>
    <n v="68448.3"/>
    <n v="11323.66"/>
    <n v="5"/>
    <n v="26"/>
    <n v="5"/>
    <x v="0"/>
    <s v="Recovered"/>
    <x v="2"/>
    <s v="Cash"/>
    <n v="414400.82999999996"/>
    <s v="Child"/>
    <s v="Excellent"/>
  </r>
  <r>
    <x v="274"/>
    <s v="Aditya Das"/>
    <n v="42"/>
    <x v="0"/>
    <x v="7"/>
    <x v="8"/>
    <x v="209"/>
    <d v="2025-01-30T00:00:00"/>
    <x v="10"/>
    <s v="Antibiotics"/>
    <s v="Dr. Okafor"/>
    <x v="2"/>
    <s v="Self Pay"/>
    <n v="5644.95"/>
    <n v="42856.37"/>
    <n v="62161.72"/>
    <n v="2"/>
    <n v="90"/>
    <n v="5"/>
    <x v="0"/>
    <s v="Improved"/>
    <x v="0"/>
    <s v="Cash"/>
    <n v="110663.04000000001"/>
    <s v="Adult"/>
    <s v="Long Wait"/>
  </r>
  <r>
    <x v="275"/>
    <s v="Ishaan Singh"/>
    <n v="55"/>
    <x v="0"/>
    <x v="6"/>
    <x v="2"/>
    <x v="232"/>
    <d v="2024-02-12T00:00:00"/>
    <x v="2"/>
    <s v="Antibiotics"/>
    <s v="Dr. Adeyemi"/>
    <x v="2"/>
    <s v="Axa Mansard"/>
    <n v="77246.990000000005"/>
    <n v="29411.200000000001"/>
    <n v="39769.370000000003"/>
    <n v="2"/>
    <n v="111"/>
    <n v="3.2"/>
    <x v="0"/>
    <s v="Improved"/>
    <x v="2"/>
    <s v="Cash"/>
    <n v="146427.56"/>
    <s v="Adult"/>
    <s v="Long Wait"/>
  </r>
  <r>
    <x v="276"/>
    <s v="Sneha Verma"/>
    <n v="61"/>
    <x v="0"/>
    <x v="5"/>
    <x v="1"/>
    <x v="233"/>
    <d v="2025-02-04T00:00:00"/>
    <x v="1"/>
    <s v="Medication"/>
    <s v="Dr. Okafor"/>
    <x v="2"/>
    <s v="Axa Mansard"/>
    <n v="158853.01"/>
    <n v="0"/>
    <n v="97487.52"/>
    <n v="2"/>
    <n v="198"/>
    <n v="2"/>
    <x v="1"/>
    <s v="Recovered"/>
    <x v="2"/>
    <s v="Card"/>
    <n v="256340.53000000003"/>
    <s v="Senior"/>
    <s v="Long Wait"/>
  </r>
  <r>
    <x v="277"/>
    <s v="Kabir Joshi"/>
    <n v="31"/>
    <x v="0"/>
    <x v="2"/>
    <x v="0"/>
    <x v="234"/>
    <d v="2024-08-31T00:00:00"/>
    <x v="8"/>
    <s v="Dialysis"/>
    <s v="Dr. Okafor"/>
    <x v="1"/>
    <s v="Mediplus"/>
    <n v="256888.21"/>
    <n v="37355.599999999999"/>
    <n v="37967.769999999997"/>
    <n v="5"/>
    <n v="36"/>
    <n v="2.8"/>
    <x v="0"/>
    <s v="Recovered"/>
    <x v="1"/>
    <s v="Bank Transfer"/>
    <n v="332211.58"/>
    <s v="Yound Adult"/>
    <s v="Acceptable"/>
  </r>
  <r>
    <x v="278"/>
    <s v="Meera Mehta"/>
    <n v="24"/>
    <x v="0"/>
    <x v="7"/>
    <x v="4"/>
    <x v="235"/>
    <d v="2024-06-24T00:00:00"/>
    <x v="8"/>
    <s v="Wound Care"/>
    <s v="Dr. Adeyemi"/>
    <x v="0"/>
    <s v="Reliance Hmo"/>
    <n v="210595.04"/>
    <n v="12106"/>
    <n v="65461.56"/>
    <n v="1"/>
    <n v="206"/>
    <n v="2.9"/>
    <x v="0"/>
    <s v="Deceased"/>
    <x v="1"/>
    <s v="Bank Transfer"/>
    <n v="288162.59999999998"/>
    <s v="Yound Adult"/>
    <s v="Long Wait"/>
  </r>
  <r>
    <x v="279"/>
    <s v="Kabir Verma"/>
    <n v="53"/>
    <x v="0"/>
    <x v="2"/>
    <x v="8"/>
    <x v="21"/>
    <d v="2026-03-26T00:00:00"/>
    <x v="3"/>
    <s v="Antibiotics"/>
    <s v="Dr. Adeyemi"/>
    <x v="1"/>
    <s v="Avon Hmo"/>
    <n v="286080.32"/>
    <n v="31898.880000000001"/>
    <n v="67280.47"/>
    <n v="3"/>
    <n v="131"/>
    <n v="2.1"/>
    <x v="0"/>
    <s v="Deceased"/>
    <x v="0"/>
    <s v="Bank Transfer"/>
    <n v="385259.67000000004"/>
    <s v="Adult"/>
    <s v="Long Wait"/>
  </r>
  <r>
    <x v="280"/>
    <s v="Ishaan Patel"/>
    <n v="25"/>
    <x v="1"/>
    <x v="9"/>
    <x v="0"/>
    <x v="236"/>
    <d v="2024-07-13T00:00:00"/>
    <x v="3"/>
    <s v="Wound Care"/>
    <s v="Dr. Adeyemi"/>
    <x v="1"/>
    <s v="Avon Hmo"/>
    <n v="26653.759999999998"/>
    <n v="37595.46"/>
    <n v="66646.880000000005"/>
    <n v="16"/>
    <n v="77"/>
    <n v="5"/>
    <x v="1"/>
    <s v="Recovered"/>
    <x v="1"/>
    <s v="Bank Transfer"/>
    <n v="130896.1"/>
    <s v="Yound Adult"/>
    <s v="Long Wait"/>
  </r>
  <r>
    <x v="281"/>
    <s v="Kabir Joshi"/>
    <n v="58"/>
    <x v="0"/>
    <x v="4"/>
    <x v="4"/>
    <x v="237"/>
    <d v="2025-07-07T00:00:00"/>
    <x v="6"/>
    <s v="Iv Therapy"/>
    <s v="Dr. Okafor"/>
    <x v="0"/>
    <s v="Leadway Health"/>
    <n v="135179.49"/>
    <n v="72984.45"/>
    <n v="104775.46"/>
    <n v="1"/>
    <n v="37"/>
    <n v="3"/>
    <x v="1"/>
    <s v="Referred"/>
    <x v="1"/>
    <s v="Bank Transfer"/>
    <n v="312939.40000000002"/>
    <s v="Adult"/>
    <s v="Acceptable"/>
  </r>
  <r>
    <x v="282"/>
    <s v="Aditya Verma"/>
    <n v="74"/>
    <x v="0"/>
    <x v="1"/>
    <x v="4"/>
    <x v="238"/>
    <d v="2026-02-06T00:00:00"/>
    <x v="5"/>
    <s v="Antibiotics"/>
    <s v="Dr. Ibrahim"/>
    <x v="1"/>
    <s v="Reliance Hmo"/>
    <n v="44089.03"/>
    <n v="50330.13"/>
    <n v="36631.11"/>
    <n v="2"/>
    <n v="74"/>
    <n v="4.7"/>
    <x v="1"/>
    <s v="Recovered"/>
    <x v="1"/>
    <s v="Card"/>
    <n v="131050.27"/>
    <s v="Senior"/>
    <s v="Long Wait"/>
  </r>
  <r>
    <x v="283"/>
    <s v="Rohan Sharma"/>
    <n v="55"/>
    <x v="0"/>
    <x v="9"/>
    <x v="3"/>
    <x v="239"/>
    <d v="2025-09-20T00:00:00"/>
    <x v="10"/>
    <s v="Physiotherapy"/>
    <s v="Dr. Chukwu"/>
    <x v="1"/>
    <s v="Reliance Hmo"/>
    <n v="355545.85"/>
    <n v="21717.29"/>
    <n v="26632.9"/>
    <n v="4"/>
    <n v="13"/>
    <n v="2.6"/>
    <x v="0"/>
    <s v="Improved"/>
    <x v="2"/>
    <s v="Mobile Money"/>
    <n v="403896.04"/>
    <s v="Adult"/>
    <s v="Excellent"/>
  </r>
  <r>
    <x v="284"/>
    <s v="Sneha Verma"/>
    <n v="70"/>
    <x v="0"/>
    <x v="9"/>
    <x v="4"/>
    <x v="240"/>
    <d v="2025-05-08T00:00:00"/>
    <x v="9"/>
    <s v="Observation"/>
    <s v="Dr. Eze"/>
    <x v="0"/>
    <s v="Hygeia Hmo"/>
    <n v="30849.59"/>
    <n v="0"/>
    <n v="59455.98"/>
    <n v="24"/>
    <n v="136"/>
    <n v="4.4000000000000004"/>
    <x v="1"/>
    <s v="Referred"/>
    <x v="1"/>
    <s v="Card"/>
    <n v="90305.57"/>
    <s v="Senior"/>
    <s v="Long Wait"/>
  </r>
  <r>
    <x v="285"/>
    <s v="Kavya Kapoor"/>
    <n v="40"/>
    <x v="0"/>
    <x v="1"/>
    <x v="5"/>
    <x v="241"/>
    <d v="2024-01-17T00:00:00"/>
    <x v="9"/>
    <s v="Counseling"/>
    <s v="Dr. Musa"/>
    <x v="0"/>
    <s v="Self Pay"/>
    <n v="265903.13"/>
    <n v="32147.33"/>
    <n v="0"/>
    <n v="2"/>
    <n v="77"/>
    <n v="2.6"/>
    <x v="0"/>
    <s v="Recovered"/>
    <x v="1"/>
    <s v="Cash"/>
    <n v="298050.46000000002"/>
    <s v="Adult"/>
    <s v="Long Wait"/>
  </r>
  <r>
    <x v="286"/>
    <s v="Diya Kumar"/>
    <n v="92"/>
    <x v="0"/>
    <x v="4"/>
    <x v="1"/>
    <x v="242"/>
    <d v="2026-03-31T00:00:00"/>
    <x v="11"/>
    <s v="Surgery"/>
    <s v="Dr. Adebayo"/>
    <x v="0"/>
    <s v="Axa Mansard"/>
    <n v="271447.43"/>
    <n v="22161.759999999998"/>
    <n v="72654.05"/>
    <n v="3"/>
    <n v="131"/>
    <n v="4.2"/>
    <x v="0"/>
    <s v="Recovered"/>
    <x v="1"/>
    <s v="Bank Transfer"/>
    <n v="366263.24"/>
    <s v="Senior"/>
    <s v="Long Wait"/>
  </r>
  <r>
    <x v="287"/>
    <s v="Aarav Das"/>
    <n v="88"/>
    <x v="0"/>
    <x v="0"/>
    <x v="1"/>
    <x v="243"/>
    <d v="2025-12-25T00:00:00"/>
    <x v="1"/>
    <s v="Iv Therapy"/>
    <s v="Dr. Bello"/>
    <x v="0"/>
    <s v="Self Pay"/>
    <n v="61675.62"/>
    <n v="41840.800000000003"/>
    <n v="17208.57"/>
    <n v="4"/>
    <n v="136"/>
    <n v="2.5"/>
    <x v="0"/>
    <s v="Referred"/>
    <x v="0"/>
    <s v="Bank Transfer"/>
    <n v="120724.99000000002"/>
    <s v="Senior"/>
    <s v="Long Wait"/>
  </r>
  <r>
    <x v="288"/>
    <s v="Meera Mehta"/>
    <n v="36"/>
    <x v="0"/>
    <x v="11"/>
    <x v="0"/>
    <x v="244"/>
    <d v="2024-11-01T00:00:00"/>
    <x v="6"/>
    <s v="Iv Therapy"/>
    <s v="Dr. Okafor"/>
    <x v="1"/>
    <s v="Self Pay"/>
    <n v="356614.34"/>
    <n v="52961.36"/>
    <n v="7628.48"/>
    <n v="2"/>
    <n v="99"/>
    <n v="2.8"/>
    <x v="0"/>
    <s v="Recovered"/>
    <x v="0"/>
    <s v="Cash"/>
    <n v="417204.18"/>
    <s v="Adult"/>
    <s v="Long Wait"/>
  </r>
  <r>
    <x v="289"/>
    <s v="Ananya Reddy"/>
    <n v="38"/>
    <x v="0"/>
    <x v="6"/>
    <x v="6"/>
    <x v="245"/>
    <d v="2025-12-23T00:00:00"/>
    <x v="9"/>
    <s v="Observation"/>
    <s v="Dr. Adebayo"/>
    <x v="1"/>
    <s v="Hygeia Hmo"/>
    <n v="176812.41"/>
    <n v="90667.91"/>
    <n v="57988.79"/>
    <n v="1"/>
    <n v="0"/>
    <n v="3"/>
    <x v="0"/>
    <s v="Deceased"/>
    <x v="1"/>
    <s v="Bank Transfer"/>
    <n v="325469.11"/>
    <s v="Adult"/>
    <s v="Excellent"/>
  </r>
  <r>
    <x v="290"/>
    <s v="Aditya Shah"/>
    <n v="88"/>
    <x v="0"/>
    <x v="6"/>
    <x v="0"/>
    <x v="246"/>
    <d v="2025-05-18T00:00:00"/>
    <x v="4"/>
    <s v="Dialysis"/>
    <s v="Dr. Musa"/>
    <x v="2"/>
    <s v="Hygeia Hmo"/>
    <n v="0"/>
    <n v="0"/>
    <n v="101128.96000000001"/>
    <n v="6"/>
    <n v="124"/>
    <n v="2.6"/>
    <x v="0"/>
    <s v="Improved"/>
    <x v="1"/>
    <s v="Bank Transfer"/>
    <n v="101128.96000000001"/>
    <s v="Senior"/>
    <s v="Long Wait"/>
  </r>
  <r>
    <x v="291"/>
    <s v="Kavya Mehta"/>
    <n v="0"/>
    <x v="0"/>
    <x v="8"/>
    <x v="1"/>
    <x v="247"/>
    <d v="2024-10-13T00:00:00"/>
    <x v="8"/>
    <s v="Dialysis"/>
    <s v="Dr. Ibrahim"/>
    <x v="0"/>
    <s v="Hygeia Hmo"/>
    <n v="220472.57"/>
    <n v="38195.53"/>
    <n v="72728.100000000006"/>
    <n v="4"/>
    <n v="18"/>
    <n v="3.8"/>
    <x v="1"/>
    <s v="Recovered"/>
    <x v="1"/>
    <s v="Bank Transfer"/>
    <n v="331396.2"/>
    <s v="Child"/>
    <s v="Excellent"/>
  </r>
  <r>
    <x v="292"/>
    <s v="Kabir Kapoor"/>
    <n v="43"/>
    <x v="0"/>
    <x v="8"/>
    <x v="0"/>
    <x v="134"/>
    <d v="2024-09-25T00:00:00"/>
    <x v="4"/>
    <s v="Iv Therapy"/>
    <s v="Dr. Yusuf"/>
    <x v="1"/>
    <s v="Hygeia Hmo"/>
    <n v="17197.2"/>
    <n v="22508.080000000002"/>
    <n v="43493.86"/>
    <n v="2"/>
    <n v="291"/>
    <n v="2.2999999999999998"/>
    <x v="1"/>
    <s v="Recovered"/>
    <x v="1"/>
    <s v="Bank Transfer"/>
    <n v="83199.14"/>
    <s v="Adult"/>
    <s v="Long Wait"/>
  </r>
  <r>
    <x v="293"/>
    <s v="Riya Reddy"/>
    <n v="67"/>
    <x v="1"/>
    <x v="5"/>
    <x v="4"/>
    <x v="237"/>
    <d v="2025-07-13T00:00:00"/>
    <x v="2"/>
    <s v="Counseling"/>
    <s v="Dr. Chukwu"/>
    <x v="0"/>
    <s v="Hygeia Hmo"/>
    <n v="132405.18"/>
    <n v="0"/>
    <n v="38910.58"/>
    <n v="7"/>
    <n v="34"/>
    <n v="3.6"/>
    <x v="1"/>
    <s v="Improved"/>
    <x v="0"/>
    <s v="Cash"/>
    <n v="171315.76"/>
    <s v="Senior"/>
    <s v="Acceptable"/>
  </r>
  <r>
    <x v="294"/>
    <s v="Zara Das"/>
    <n v="32"/>
    <x v="1"/>
    <x v="4"/>
    <x v="0"/>
    <x v="248"/>
    <d v="2026-08-31T00:00:00"/>
    <x v="5"/>
    <s v="Surgery"/>
    <s v="Dr. Chukwu"/>
    <x v="1"/>
    <s v="Hygeia Hmo"/>
    <n v="214004.73"/>
    <n v="31450.57"/>
    <n v="70452.929999999993"/>
    <n v="7"/>
    <n v="0"/>
    <n v="2.9"/>
    <x v="1"/>
    <s v="Improved"/>
    <x v="2"/>
    <s v="Cash"/>
    <n v="315908.23"/>
    <s v="Yound Adult"/>
    <s v="Excellent"/>
  </r>
  <r>
    <x v="295"/>
    <s v="Aisha Nair"/>
    <n v="69"/>
    <x v="0"/>
    <x v="11"/>
    <x v="5"/>
    <x v="249"/>
    <d v="2024-07-21T00:00:00"/>
    <x v="2"/>
    <s v="Surgery"/>
    <s v="Dr. Adebayo"/>
    <x v="1"/>
    <s v="Mediplus"/>
    <n v="151133.66"/>
    <n v="0"/>
    <n v="63591.34"/>
    <n v="3"/>
    <n v="47"/>
    <n v="2.2000000000000002"/>
    <x v="1"/>
    <s v="Improved"/>
    <x v="2"/>
    <s v="Mobile Money"/>
    <n v="214725"/>
    <s v="Senior"/>
    <s v="Acceptable"/>
  </r>
  <r>
    <x v="296"/>
    <s v="Neha Kapoor"/>
    <n v="38"/>
    <x v="1"/>
    <x v="10"/>
    <x v="3"/>
    <x v="250"/>
    <d v="2024-06-02T00:00:00"/>
    <x v="10"/>
    <s v="Medication"/>
    <s v="Dr. Eze"/>
    <x v="2"/>
    <s v="Nhia"/>
    <n v="135335.75"/>
    <n v="0"/>
    <n v="71911.990000000005"/>
    <n v="2"/>
    <n v="190"/>
    <n v="4.5"/>
    <x v="1"/>
    <s v="Improved"/>
    <x v="2"/>
    <s v="Mobile Money"/>
    <n v="207247.74"/>
    <s v="Adult"/>
    <s v="Long Wait"/>
  </r>
  <r>
    <x v="297"/>
    <s v="Aarav Shah"/>
    <n v="38"/>
    <x v="1"/>
    <x v="0"/>
    <x v="6"/>
    <x v="251"/>
    <d v="2026-07-09T00:00:00"/>
    <x v="7"/>
    <s v="Physiotherapy"/>
    <s v="Dr. Ibrahim"/>
    <x v="2"/>
    <s v="Mediplus"/>
    <n v="219087.02"/>
    <n v="44969.86"/>
    <n v="65050.21"/>
    <n v="1"/>
    <n v="39"/>
    <n v="3.8"/>
    <x v="0"/>
    <s v="Improved"/>
    <x v="2"/>
    <s v="Card"/>
    <n v="329107.09000000003"/>
    <s v="Adult"/>
    <s v="Acceptable"/>
  </r>
  <r>
    <x v="298"/>
    <s v="Neha Kumar"/>
    <n v="75"/>
    <x v="1"/>
    <x v="6"/>
    <x v="6"/>
    <x v="252"/>
    <d v="2025-08-08T00:00:00"/>
    <x v="2"/>
    <s v="Iv Therapy"/>
    <s v="Dr. Adebayo"/>
    <x v="1"/>
    <s v="Axa Mansard"/>
    <n v="318630.92"/>
    <n v="49726.42"/>
    <n v="47514.8"/>
    <n v="4"/>
    <n v="200"/>
    <n v="4.2"/>
    <x v="0"/>
    <s v="Recovered"/>
    <x v="2"/>
    <s v="Card"/>
    <n v="415872.13999999996"/>
    <s v="Senior"/>
    <s v="Long Wait"/>
  </r>
  <r>
    <x v="299"/>
    <s v="Rohan Mehta"/>
    <n v="49"/>
    <x v="1"/>
    <x v="7"/>
    <x v="0"/>
    <x v="253"/>
    <d v="2024-09-24T00:00:00"/>
    <x v="4"/>
    <s v="Surgery"/>
    <s v="Dr. Musa"/>
    <x v="1"/>
    <s v="Avon Hmo"/>
    <n v="457994.03"/>
    <n v="56788.58"/>
    <n v="50719.07"/>
    <n v="3"/>
    <n v="165"/>
    <n v="2.4"/>
    <x v="1"/>
    <s v="Recovered"/>
    <x v="0"/>
    <s v="Bank Transfer"/>
    <n v="565501.68000000005"/>
    <s v="Adult"/>
    <s v="Long Wait"/>
  </r>
  <r>
    <x v="300"/>
    <s v="Aisha Das"/>
    <n v="82"/>
    <x v="1"/>
    <x v="5"/>
    <x v="2"/>
    <x v="254"/>
    <d v="2025-01-03T00:00:00"/>
    <x v="4"/>
    <s v="Medication"/>
    <s v="Dr. Adeyemi"/>
    <x v="0"/>
    <s v="Reliance Hmo"/>
    <n v="189473.57"/>
    <n v="8809.15"/>
    <n v="25437.33"/>
    <n v="4"/>
    <n v="13"/>
    <n v="2.7"/>
    <x v="1"/>
    <s v="Referred"/>
    <x v="2"/>
    <s v="Bank Transfer"/>
    <n v="223720.05"/>
    <s v="Senior"/>
    <s v="Excellent"/>
  </r>
  <r>
    <x v="301"/>
    <s v="Aisha Rao"/>
    <n v="12"/>
    <x v="0"/>
    <x v="7"/>
    <x v="7"/>
    <x v="255"/>
    <d v="2025-12-17T00:00:00"/>
    <x v="10"/>
    <s v="Medication"/>
    <s v="Dr. Bello"/>
    <x v="1"/>
    <s v="Hygeia Hmo"/>
    <n v="222186.57"/>
    <n v="52556.93"/>
    <n v="17767.310000000001"/>
    <n v="2"/>
    <n v="208"/>
    <n v="4.4000000000000004"/>
    <x v="1"/>
    <s v="Recovered"/>
    <x v="0"/>
    <s v="Bank Transfer"/>
    <n v="292510.81"/>
    <s v="Child"/>
    <s v="Long Wait"/>
  </r>
  <r>
    <x v="302"/>
    <s v="Neha Rao"/>
    <n v="28"/>
    <x v="0"/>
    <x v="0"/>
    <x v="1"/>
    <x v="61"/>
    <d v="2024-07-17T00:00:00"/>
    <x v="7"/>
    <s v="Surgery"/>
    <s v="Dr. Adeyemi"/>
    <x v="0"/>
    <s v="Axa Mansard"/>
    <n v="339633.53"/>
    <n v="2701.65"/>
    <n v="71707.429999999993"/>
    <n v="6"/>
    <n v="107"/>
    <n v="4.4000000000000004"/>
    <x v="1"/>
    <s v="Improved"/>
    <x v="2"/>
    <s v="Bank Transfer"/>
    <n v="414042.61000000004"/>
    <s v="Yound Adult"/>
    <s v="Long Wait"/>
  </r>
  <r>
    <x v="303"/>
    <s v="Aditya Shah"/>
    <n v="23"/>
    <x v="1"/>
    <x v="7"/>
    <x v="5"/>
    <x v="256"/>
    <d v="2024-11-08T00:00:00"/>
    <x v="8"/>
    <s v="Surgery"/>
    <s v="Dr. Adeyemi"/>
    <x v="0"/>
    <s v="Axa Mansard"/>
    <n v="303611.95"/>
    <n v="6291.3"/>
    <n v="58896.19"/>
    <n v="1"/>
    <n v="0"/>
    <n v="4.8"/>
    <x v="1"/>
    <s v="Recovered"/>
    <x v="0"/>
    <s v="Mobile Money"/>
    <n v="368799.44"/>
    <s v="Yound Adult"/>
    <s v="Excellent"/>
  </r>
  <r>
    <x v="304"/>
    <s v="Vivaan Patel"/>
    <n v="55"/>
    <x v="0"/>
    <x v="2"/>
    <x v="5"/>
    <x v="257"/>
    <d v="2026-02-15T00:00:00"/>
    <x v="5"/>
    <s v="Medication"/>
    <s v="Dr. Adeyemi"/>
    <x v="0"/>
    <s v="Axa Mansard"/>
    <n v="307588.33"/>
    <n v="12580.7"/>
    <n v="62460.800000000003"/>
    <n v="1"/>
    <n v="114"/>
    <n v="3"/>
    <x v="0"/>
    <s v="Recovered"/>
    <x v="0"/>
    <s v="Card"/>
    <n v="382629.83"/>
    <s v="Adult"/>
    <s v="Long Wait"/>
  </r>
  <r>
    <x v="305"/>
    <s v="Zara Kumar"/>
    <n v="0"/>
    <x v="0"/>
    <x v="6"/>
    <x v="6"/>
    <x v="258"/>
    <d v="2025-09-09T00:00:00"/>
    <x v="10"/>
    <s v="Medication"/>
    <s v="Dr. Adeyemi"/>
    <x v="0"/>
    <s v="Axa Mansard"/>
    <n v="268951.01"/>
    <n v="0"/>
    <n v="47860.33"/>
    <n v="1"/>
    <n v="75"/>
    <n v="4.5999999999999996"/>
    <x v="0"/>
    <s v="Improved"/>
    <x v="0"/>
    <s v="Bank Transfer"/>
    <n v="316811.34000000003"/>
    <s v="Child"/>
    <s v="Long Wait"/>
  </r>
  <r>
    <x v="306"/>
    <s v="Kavya Mehta"/>
    <n v="35"/>
    <x v="0"/>
    <x v="6"/>
    <x v="2"/>
    <x v="259"/>
    <d v="2025-06-27T00:00:00"/>
    <x v="3"/>
    <s v="Medication"/>
    <s v="Dr. Ibrahim"/>
    <x v="0"/>
    <s v="Axa Mansard"/>
    <n v="322461.90000000002"/>
    <n v="38376.449999999997"/>
    <n v="54484.68"/>
    <n v="2"/>
    <n v="130"/>
    <n v="1.7"/>
    <x v="0"/>
    <s v="Improved"/>
    <x v="1"/>
    <s v="Bank Transfer"/>
    <n v="415323.03"/>
    <s v="Yound Adult"/>
    <s v="Long Wait"/>
  </r>
  <r>
    <x v="307"/>
    <s v="Sneha Singh"/>
    <n v="56"/>
    <x v="0"/>
    <x v="0"/>
    <x v="3"/>
    <x v="260"/>
    <d v="2026-05-09T00:00:00"/>
    <x v="6"/>
    <s v="Chemotherapy"/>
    <s v="Dr. Ibrahim"/>
    <x v="1"/>
    <s v="Leadway Health"/>
    <n v="77664.36"/>
    <n v="23897.99"/>
    <n v="43820.78"/>
    <n v="5"/>
    <n v="84"/>
    <n v="4.0999999999999996"/>
    <x v="0"/>
    <s v="Improved"/>
    <x v="2"/>
    <s v="Bank Transfer"/>
    <n v="145383.13"/>
    <s v="Adult"/>
    <s v="Long Wait"/>
  </r>
  <r>
    <x v="308"/>
    <s v="Diya Das"/>
    <n v="66"/>
    <x v="0"/>
    <x v="0"/>
    <x v="4"/>
    <x v="261"/>
    <d v="2024-04-02T00:00:00"/>
    <x v="2"/>
    <s v="Iv Therapy"/>
    <s v="Dr. Chukwu"/>
    <x v="0"/>
    <s v="Mediplus"/>
    <n v="36289.31"/>
    <n v="45551.75"/>
    <n v="84868"/>
    <n v="8"/>
    <n v="124"/>
    <n v="5"/>
    <x v="1"/>
    <s v="Improved"/>
    <x v="1"/>
    <s v="Bank Transfer"/>
    <n v="166709.06"/>
    <s v="Senior"/>
    <s v="Long Wait"/>
  </r>
  <r>
    <x v="309"/>
    <s v="Maya Nair"/>
    <n v="24"/>
    <x v="0"/>
    <x v="6"/>
    <x v="0"/>
    <x v="262"/>
    <d v="2024-03-16T00:00:00"/>
    <x v="6"/>
    <s v="Wound Care"/>
    <s v="Dr. Musa"/>
    <x v="1"/>
    <s v="Leadway Health"/>
    <n v="434531.48"/>
    <n v="42496.6"/>
    <n v="3020.81"/>
    <n v="9"/>
    <n v="122"/>
    <n v="1"/>
    <x v="1"/>
    <s v="Improved"/>
    <x v="2"/>
    <s v="Insurance"/>
    <n v="480048.88999999996"/>
    <s v="Yound Adult"/>
    <s v="Long Wait"/>
  </r>
  <r>
    <x v="310"/>
    <s v="Rohan Sharma"/>
    <n v="62"/>
    <x v="1"/>
    <x v="6"/>
    <x v="7"/>
    <x v="263"/>
    <d v="2025-05-06T00:00:00"/>
    <x v="0"/>
    <s v="Physiotherapy"/>
    <s v="Dr. Musa"/>
    <x v="1"/>
    <s v="Leadway Health"/>
    <n v="137070.17000000001"/>
    <n v="33088.69"/>
    <n v="103624.72"/>
    <n v="4"/>
    <n v="57"/>
    <n v="2.2999999999999998"/>
    <x v="1"/>
    <s v="Recovered"/>
    <x v="2"/>
    <s v="Insurance"/>
    <n v="273783.58"/>
    <s v="Senior"/>
    <s v="Acceptable"/>
  </r>
  <r>
    <x v="311"/>
    <s v="Kavya Verma"/>
    <n v="86"/>
    <x v="1"/>
    <x v="3"/>
    <x v="6"/>
    <x v="170"/>
    <d v="2024-07-10T00:00:00"/>
    <x v="4"/>
    <s v="Wound Care"/>
    <s v="Dr. Musa"/>
    <x v="1"/>
    <s v="Leadway Health"/>
    <n v="220517.39"/>
    <n v="55286.58"/>
    <n v="85244.28"/>
    <n v="8"/>
    <n v="39"/>
    <n v="3.1"/>
    <x v="0"/>
    <s v="Recovered"/>
    <x v="2"/>
    <s v="Mobile Money"/>
    <n v="361048.25"/>
    <s v="Senior"/>
    <s v="Acceptable"/>
  </r>
  <r>
    <x v="312"/>
    <s v="Riya Joshi"/>
    <n v="80"/>
    <x v="1"/>
    <x v="0"/>
    <x v="4"/>
    <x v="264"/>
    <d v="2024-01-26T00:00:00"/>
    <x v="2"/>
    <s v="Dialysis"/>
    <s v="Dr. Yusuf"/>
    <x v="1"/>
    <s v="Self Pay"/>
    <n v="298803.32"/>
    <n v="8004.64"/>
    <n v="104611.83"/>
    <n v="7"/>
    <n v="55"/>
    <n v="3.3"/>
    <x v="1"/>
    <s v="Recovered"/>
    <x v="1"/>
    <s v="Cash"/>
    <n v="411419.79000000004"/>
    <s v="Senior"/>
    <s v="Acceptable"/>
  </r>
  <r>
    <x v="313"/>
    <s v="Sneha Sharma"/>
    <n v="77"/>
    <x v="1"/>
    <x v="0"/>
    <x v="1"/>
    <x v="156"/>
    <d v="2024-05-21T00:00:00"/>
    <x v="5"/>
    <s v="Wound Care"/>
    <s v="Dr. Okafor"/>
    <x v="1"/>
    <s v="Nhia"/>
    <n v="339556.64"/>
    <n v="40371.64"/>
    <n v="58898.66"/>
    <n v="4"/>
    <n v="98"/>
    <n v="4.4000000000000004"/>
    <x v="1"/>
    <s v="Recovered"/>
    <x v="1"/>
    <s v="Cash"/>
    <n v="438826.94000000006"/>
    <s v="Senior"/>
    <s v="Long Wait"/>
  </r>
  <r>
    <x v="314"/>
    <s v="Isha Nair"/>
    <n v="32"/>
    <x v="1"/>
    <x v="4"/>
    <x v="0"/>
    <x v="265"/>
    <d v="2024-09-06T00:00:00"/>
    <x v="7"/>
    <s v="Wound Care"/>
    <s v="Dr. Eze"/>
    <x v="1"/>
    <s v="Nhia"/>
    <n v="198882.72"/>
    <n v="28151.31"/>
    <n v="31450.22"/>
    <n v="9"/>
    <n v="109"/>
    <n v="2.7"/>
    <x v="1"/>
    <s v="Recovered"/>
    <x v="0"/>
    <s v="Cash"/>
    <n v="258484.25"/>
    <s v="Yound Adult"/>
    <s v="Long Wait"/>
  </r>
  <r>
    <x v="315"/>
    <s v="Aisha Singh"/>
    <n v="56"/>
    <x v="0"/>
    <x v="0"/>
    <x v="8"/>
    <x v="196"/>
    <d v="2024-01-24T00:00:00"/>
    <x v="2"/>
    <s v="Antibiotics"/>
    <s v="Dr. Musa"/>
    <x v="1"/>
    <s v="Mediplus"/>
    <n v="308134.14"/>
    <n v="9892.11"/>
    <n v="71860.66"/>
    <n v="1"/>
    <n v="47"/>
    <n v="4"/>
    <x v="1"/>
    <s v="Deceased"/>
    <x v="0"/>
    <s v="Cash"/>
    <n v="389886.91000000003"/>
    <s v="Adult"/>
    <s v="Acceptable"/>
  </r>
  <r>
    <x v="316"/>
    <s v="Aisha Gupta"/>
    <n v="42"/>
    <x v="0"/>
    <x v="6"/>
    <x v="2"/>
    <x v="81"/>
    <d v="2026-05-22T00:00:00"/>
    <x v="0"/>
    <s v="Medication"/>
    <s v="Dr. Eze"/>
    <x v="0"/>
    <s v="Self Pay"/>
    <n v="283663.73"/>
    <n v="17089.259999999998"/>
    <n v="39106"/>
    <n v="5"/>
    <n v="79"/>
    <n v="2.7"/>
    <x v="1"/>
    <s v="Deceased"/>
    <x v="2"/>
    <s v="Card"/>
    <n v="339858.99"/>
    <s v="Adult"/>
    <s v="Long Wait"/>
  </r>
  <r>
    <x v="317"/>
    <s v="Sneha Verma"/>
    <n v="8"/>
    <x v="0"/>
    <x v="5"/>
    <x v="7"/>
    <x v="266"/>
    <d v="2026-03-27T00:00:00"/>
    <x v="4"/>
    <s v="Counseling"/>
    <s v="Dr. Okafor"/>
    <x v="0"/>
    <s v="Nhia"/>
    <n v="151238.48000000001"/>
    <n v="22878.11"/>
    <n v="37314.61"/>
    <n v="2"/>
    <n v="76"/>
    <n v="3.6"/>
    <x v="1"/>
    <s v="Deceased"/>
    <x v="2"/>
    <s v="Insurance"/>
    <n v="211431.2"/>
    <s v="Child"/>
    <s v="Long Wait"/>
  </r>
  <r>
    <x v="318"/>
    <s v="Priya Verma"/>
    <n v="62"/>
    <x v="1"/>
    <x v="5"/>
    <x v="5"/>
    <x v="267"/>
    <d v="2025-06-16T00:00:00"/>
    <x v="1"/>
    <s v="Iv Therapy"/>
    <s v="Dr. Okafor"/>
    <x v="0"/>
    <s v="Self Pay"/>
    <n v="129032.87"/>
    <n v="0"/>
    <n v="13738.67"/>
    <n v="4"/>
    <n v="58"/>
    <n v="3.2"/>
    <x v="1"/>
    <s v="Deceased"/>
    <x v="1"/>
    <s v="Insurance"/>
    <n v="142771.54"/>
    <s v="Senior"/>
    <s v="Acceptable"/>
  </r>
  <r>
    <x v="319"/>
    <s v="Zara Kumar"/>
    <n v="14"/>
    <x v="1"/>
    <x v="3"/>
    <x v="5"/>
    <x v="223"/>
    <d v="2025-03-22T00:00:00"/>
    <x v="7"/>
    <s v="Medication"/>
    <s v="Dr. Ibrahim"/>
    <x v="0"/>
    <s v="Self Pay"/>
    <n v="156143.07999999999"/>
    <n v="34535.67"/>
    <n v="62850.879999999997"/>
    <n v="1"/>
    <n v="53"/>
    <n v="3.2"/>
    <x v="1"/>
    <s v="Recovered"/>
    <x v="0"/>
    <s v="Insurance"/>
    <n v="253529.63"/>
    <s v="Child"/>
    <s v="Acceptable"/>
  </r>
  <r>
    <x v="320"/>
    <s v="Ananya Joshi"/>
    <n v="42"/>
    <x v="1"/>
    <x v="4"/>
    <x v="1"/>
    <x v="268"/>
    <d v="2026-04-28T00:00:00"/>
    <x v="2"/>
    <s v="Counseling"/>
    <s v="Dr. Okafor"/>
    <x v="1"/>
    <s v="Reliance Hmo"/>
    <n v="101219.99"/>
    <n v="44328.2"/>
    <n v="0"/>
    <n v="1"/>
    <n v="68"/>
    <n v="4.0999999999999996"/>
    <x v="0"/>
    <s v="Recovered"/>
    <x v="0"/>
    <s v="Cash"/>
    <n v="145548.19"/>
    <s v="Adult"/>
    <s v="Long Wait"/>
  </r>
  <r>
    <x v="321"/>
    <s v="Rohan Kumar"/>
    <n v="92"/>
    <x v="1"/>
    <x v="2"/>
    <x v="1"/>
    <x v="269"/>
    <d v="2026-03-15T00:00:00"/>
    <x v="7"/>
    <s v="Antibiotics"/>
    <s v="Dr. Musa"/>
    <x v="2"/>
    <s v="Leadway Health"/>
    <n v="268972"/>
    <n v="4898.6400000000003"/>
    <n v="42136.07"/>
    <n v="3"/>
    <n v="0"/>
    <n v="3.6"/>
    <x v="0"/>
    <s v="Improved"/>
    <x v="2"/>
    <s v="Card"/>
    <n v="316006.71000000002"/>
    <s v="Senior"/>
    <s v="Excellent"/>
  </r>
  <r>
    <x v="322"/>
    <s v="Rohan Patel"/>
    <n v="63"/>
    <x v="1"/>
    <x v="2"/>
    <x v="4"/>
    <x v="188"/>
    <d v="2026-04-29T00:00:00"/>
    <x v="11"/>
    <s v="Wound Care"/>
    <s v="Dr. Adeyemi"/>
    <x v="2"/>
    <s v="Nhia"/>
    <n v="143064.35999999999"/>
    <n v="27080.85"/>
    <n v="25933.26"/>
    <n v="1"/>
    <n v="225"/>
    <n v="7"/>
    <x v="1"/>
    <s v="Improved"/>
    <x v="1"/>
    <s v="Card"/>
    <n v="196078.47"/>
    <s v="Senior"/>
    <s v="Long Wait"/>
  </r>
  <r>
    <x v="323"/>
    <s v="Priya Verma"/>
    <n v="60"/>
    <x v="1"/>
    <x v="2"/>
    <x v="7"/>
    <x v="150"/>
    <d v="2025-09-06T00:00:00"/>
    <x v="10"/>
    <s v="Surgery"/>
    <s v="Dr. Adeyemi"/>
    <x v="2"/>
    <s v="Axa Mansard"/>
    <n v="287489.34000000003"/>
    <n v="39218.33"/>
    <n v="56813.919999999998"/>
    <n v="11"/>
    <n v="0"/>
    <n v="3.3"/>
    <x v="1"/>
    <s v="Improved"/>
    <x v="1"/>
    <s v="Insurance"/>
    <n v="383521.59"/>
    <s v="Senior"/>
    <s v="Excellent"/>
  </r>
  <r>
    <x v="324"/>
    <s v="Neha Shah"/>
    <n v="41"/>
    <x v="1"/>
    <x v="2"/>
    <x v="0"/>
    <x v="70"/>
    <d v="2025-09-17T00:00:00"/>
    <x v="11"/>
    <s v="Iv Therapy"/>
    <s v="Dr. Adebayo"/>
    <x v="1"/>
    <s v="Avon Hmo"/>
    <n v="23273.42"/>
    <n v="28689.89"/>
    <n v="96123.17"/>
    <n v="5"/>
    <n v="188"/>
    <n v="3.6"/>
    <x v="1"/>
    <s v="Improved"/>
    <x v="2"/>
    <s v="Insurance"/>
    <n v="148086.47999999998"/>
    <s v="Adult"/>
    <s v="Long Wait"/>
  </r>
  <r>
    <x v="325"/>
    <s v="Kavya Verma"/>
    <n v="34"/>
    <x v="0"/>
    <x v="1"/>
    <x v="2"/>
    <x v="30"/>
    <d v="2024-11-10T00:00:00"/>
    <x v="6"/>
    <s v="Iv Therapy"/>
    <s v="Dr. Bello"/>
    <x v="1"/>
    <s v="Self Pay"/>
    <n v="0"/>
    <n v="6888.35"/>
    <n v="91886.66"/>
    <n v="6"/>
    <n v="74"/>
    <n v="3.4"/>
    <x v="0"/>
    <s v="Improved"/>
    <x v="1"/>
    <s v="Insurance"/>
    <n v="98775.010000000009"/>
    <s v="Yound Adult"/>
    <s v="Long Wait"/>
  </r>
  <r>
    <x v="326"/>
    <s v="Kabir Joshi"/>
    <n v="84"/>
    <x v="0"/>
    <x v="9"/>
    <x v="0"/>
    <x v="270"/>
    <d v="2026-07-31T00:00:00"/>
    <x v="0"/>
    <s v="Chemotherapy"/>
    <s v="Dr. Adeyemi"/>
    <x v="2"/>
    <s v="Self Pay"/>
    <n v="447634.25"/>
    <n v="85469.51"/>
    <n v="40228.639999999999"/>
    <n v="2"/>
    <n v="117"/>
    <n v="1.7"/>
    <x v="0"/>
    <s v="Improved"/>
    <x v="1"/>
    <s v="Cash"/>
    <n v="573332.4"/>
    <s v="Senior"/>
    <s v="Long Wait"/>
  </r>
  <r>
    <x v="327"/>
    <s v="Kavya Das"/>
    <n v="17"/>
    <x v="0"/>
    <x v="4"/>
    <x v="4"/>
    <x v="271"/>
    <d v="2024-11-16T00:00:00"/>
    <x v="3"/>
    <s v="Observation"/>
    <s v="Dr. Adebayo"/>
    <x v="2"/>
    <s v="Self Pay"/>
    <n v="250348.58"/>
    <n v="2567.44"/>
    <n v="27334"/>
    <n v="8"/>
    <n v="32"/>
    <n v="2.9"/>
    <x v="1"/>
    <s v="Referred"/>
    <x v="1"/>
    <s v="Bank Transfer"/>
    <n v="280250.02"/>
    <s v="Child"/>
    <s v="Acceptable"/>
  </r>
  <r>
    <x v="328"/>
    <s v="Zara Joshi"/>
    <n v="30"/>
    <x v="1"/>
    <x v="6"/>
    <x v="4"/>
    <x v="111"/>
    <d v="2026-03-31T00:00:00"/>
    <x v="2"/>
    <s v="Antibiotics"/>
    <s v="Dr. Bello"/>
    <x v="1"/>
    <s v="Self Pay"/>
    <n v="336666.75"/>
    <n v="2378.4299999999998"/>
    <n v="51616.24"/>
    <n v="2"/>
    <n v="186"/>
    <n v="3"/>
    <x v="1"/>
    <s v="Deceased"/>
    <x v="1"/>
    <s v="Cash"/>
    <n v="390661.42"/>
    <s v="Yound Adult"/>
    <s v="Long Wait"/>
  </r>
  <r>
    <x v="329"/>
    <s v="Sneha Shah"/>
    <n v="37"/>
    <x v="1"/>
    <x v="2"/>
    <x v="3"/>
    <x v="272"/>
    <d v="2026-05-23T00:00:00"/>
    <x v="2"/>
    <s v="Wound Care"/>
    <s v="Dr. Eze"/>
    <x v="0"/>
    <s v="Leadway Health"/>
    <n v="385161.53"/>
    <n v="34852.69"/>
    <n v="29063.57"/>
    <n v="1"/>
    <n v="131"/>
    <n v="2.2999999999999998"/>
    <x v="1"/>
    <s v="Referred"/>
    <x v="2"/>
    <s v="Cash"/>
    <n v="449077.79000000004"/>
    <s v="Adult"/>
    <s v="Long Wait"/>
  </r>
  <r>
    <x v="330"/>
    <s v="Ishaan Shah"/>
    <n v="51"/>
    <x v="0"/>
    <x v="6"/>
    <x v="3"/>
    <x v="273"/>
    <d v="2024-08-22T00:00:00"/>
    <x v="0"/>
    <s v="Iv Therapy"/>
    <s v="Dr. Adeyemi"/>
    <x v="1"/>
    <s v="Self Pay"/>
    <n v="176906.81"/>
    <n v="9035.36"/>
    <n v="18399.57"/>
    <n v="5"/>
    <n v="135"/>
    <n v="5"/>
    <x v="0"/>
    <s v="Referred"/>
    <x v="1"/>
    <s v="Mobile Money"/>
    <n v="204341.74"/>
    <s v="Adult"/>
    <s v="Long Wait"/>
  </r>
  <r>
    <x v="331"/>
    <s v="Meera Kapoor"/>
    <n v="53"/>
    <x v="0"/>
    <x v="1"/>
    <x v="0"/>
    <x v="274"/>
    <d v="2024-08-31T00:00:00"/>
    <x v="1"/>
    <s v="Surgery"/>
    <s v="Dr. Okafor"/>
    <x v="1"/>
    <s v="Hygeia Hmo"/>
    <n v="0"/>
    <n v="15384.56"/>
    <n v="44068.23"/>
    <n v="2"/>
    <n v="26"/>
    <n v="2.5"/>
    <x v="0"/>
    <s v="Improved"/>
    <x v="1"/>
    <s v="Mobile Money"/>
    <n v="59452.79"/>
    <s v="Adult"/>
    <s v="Excellent"/>
  </r>
  <r>
    <x v="332"/>
    <s v="Zara Shah"/>
    <n v="49"/>
    <x v="0"/>
    <x v="1"/>
    <x v="1"/>
    <x v="56"/>
    <d v="2024-02-24T00:00:00"/>
    <x v="10"/>
    <s v="Wound Care"/>
    <s v="Dr. Okafor"/>
    <x v="1"/>
    <s v="Self Pay"/>
    <n v="193773.94"/>
    <n v="0"/>
    <n v="0"/>
    <n v="1"/>
    <n v="49"/>
    <n v="4.3"/>
    <x v="0"/>
    <s v="Recovered"/>
    <x v="1"/>
    <s v="Insurance"/>
    <n v="193773.94"/>
    <s v="Adult"/>
    <s v="Acceptable"/>
  </r>
  <r>
    <x v="333"/>
    <s v="Rohan Gupta"/>
    <n v="32"/>
    <x v="1"/>
    <x v="9"/>
    <x v="2"/>
    <x v="275"/>
    <d v="2025-07-27T00:00:00"/>
    <x v="3"/>
    <s v="Chemotherapy"/>
    <s v="Dr. Chukwu"/>
    <x v="2"/>
    <s v="Mediplus"/>
    <n v="146325.29999999999"/>
    <n v="64708.44"/>
    <n v="33449.35"/>
    <n v="1"/>
    <n v="123"/>
    <n v="3.9"/>
    <x v="1"/>
    <s v="Improved"/>
    <x v="0"/>
    <s v="Insurance"/>
    <n v="244483.09"/>
    <s v="Yound Adult"/>
    <s v="Long Wait"/>
  </r>
  <r>
    <x v="334"/>
    <s v="Kavya Malhotra"/>
    <n v="59"/>
    <x v="1"/>
    <x v="10"/>
    <x v="3"/>
    <x v="260"/>
    <d v="2026-05-05T00:00:00"/>
    <x v="4"/>
    <s v="Chemotherapy"/>
    <s v="Dr. Eze"/>
    <x v="0"/>
    <s v="Avon Hmo"/>
    <n v="250155.51"/>
    <n v="42706.720000000001"/>
    <n v="162787.13"/>
    <n v="1"/>
    <n v="0"/>
    <n v="5"/>
    <x v="0"/>
    <s v="Improved"/>
    <x v="0"/>
    <s v="Bank Transfer"/>
    <n v="455649.36"/>
    <s v="Adult"/>
    <s v="Excellent"/>
  </r>
  <r>
    <x v="335"/>
    <s v="Kavya Sharma"/>
    <n v="49"/>
    <x v="1"/>
    <x v="6"/>
    <x v="6"/>
    <x v="276"/>
    <d v="2025-03-28T00:00:00"/>
    <x v="1"/>
    <s v="Observation"/>
    <s v="Dr. Bello"/>
    <x v="1"/>
    <s v="Mediplus"/>
    <n v="213628.29"/>
    <n v="19394.09"/>
    <n v="27905.01"/>
    <n v="2"/>
    <n v="119"/>
    <n v="1.7"/>
    <x v="0"/>
    <s v="Referred"/>
    <x v="0"/>
    <s v="Card"/>
    <n v="260927.39"/>
    <s v="Adult"/>
    <s v="Long Wait"/>
  </r>
  <r>
    <x v="336"/>
    <s v="Aarav Reddy"/>
    <n v="33"/>
    <x v="1"/>
    <x v="7"/>
    <x v="0"/>
    <x v="277"/>
    <d v="2024-04-30T00:00:00"/>
    <x v="7"/>
    <s v="Observation"/>
    <s v="Dr. Okafor"/>
    <x v="2"/>
    <s v="Hygeia Hmo"/>
    <n v="61790.29"/>
    <n v="18749.68"/>
    <n v="82714.48"/>
    <n v="5"/>
    <n v="54"/>
    <n v="4.2"/>
    <x v="0"/>
    <s v="Referred"/>
    <x v="2"/>
    <s v="Mobile Money"/>
    <n v="163254.45000000001"/>
    <s v="Yound Adult"/>
    <s v="Acceptable"/>
  </r>
  <r>
    <x v="337"/>
    <s v="Diya Verma"/>
    <n v="47"/>
    <x v="0"/>
    <x v="0"/>
    <x v="4"/>
    <x v="231"/>
    <d v="2024-07-03T00:00:00"/>
    <x v="2"/>
    <s v="Antibiotics"/>
    <s v="Dr. Ibrahim"/>
    <x v="0"/>
    <s v="Self Pay"/>
    <n v="440936.53"/>
    <n v="54636.24"/>
    <n v="71074.64"/>
    <n v="2"/>
    <n v="60"/>
    <n v="2.5"/>
    <x v="0"/>
    <s v="Deceased"/>
    <x v="2"/>
    <s v="Bank Transfer"/>
    <n v="566647.41"/>
    <s v="Adult"/>
    <s v="Long Wait"/>
  </r>
  <r>
    <x v="338"/>
    <s v="Aditya Shah"/>
    <n v="81"/>
    <x v="1"/>
    <x v="4"/>
    <x v="4"/>
    <x v="278"/>
    <d v="2024-12-30T00:00:00"/>
    <x v="11"/>
    <s v="Medication"/>
    <s v="Dr. Adeyemi"/>
    <x v="2"/>
    <s v="Axa Mansard"/>
    <n v="350506.82"/>
    <n v="24086.12"/>
    <n v="79068.600000000006"/>
    <n v="1"/>
    <n v="12"/>
    <n v="2.6"/>
    <x v="0"/>
    <s v="Referred"/>
    <x v="0"/>
    <s v="Card"/>
    <n v="453661.54000000004"/>
    <s v="Senior"/>
    <s v="Excellent"/>
  </r>
  <r>
    <x v="339"/>
    <s v="Aarav Sharma"/>
    <n v="31"/>
    <x v="1"/>
    <x v="11"/>
    <x v="0"/>
    <x v="279"/>
    <d v="2025-11-19T00:00:00"/>
    <x v="3"/>
    <s v="Observation"/>
    <s v="Dr. Bello"/>
    <x v="1"/>
    <s v="Axa Mansard"/>
    <n v="72081.929999999993"/>
    <n v="60577.08"/>
    <n v="37234.370000000003"/>
    <n v="2"/>
    <n v="121"/>
    <n v="3"/>
    <x v="0"/>
    <s v="Recovered"/>
    <x v="2"/>
    <s v="Card"/>
    <n v="169893.38"/>
    <s v="Yound Adult"/>
    <s v="Long Wait"/>
  </r>
  <r>
    <x v="340"/>
    <s v="Aarav Kumar"/>
    <n v="48"/>
    <x v="1"/>
    <x v="5"/>
    <x v="8"/>
    <x v="280"/>
    <d v="2025-02-19T00:00:00"/>
    <x v="10"/>
    <s v="Surgery"/>
    <s v="Dr. Okafor"/>
    <x v="1"/>
    <s v="Axa Mansard"/>
    <n v="0"/>
    <n v="28284.15"/>
    <n v="3950.55"/>
    <n v="1"/>
    <n v="244"/>
    <n v="4.9000000000000004"/>
    <x v="1"/>
    <s v="Recovered"/>
    <x v="2"/>
    <s v="Bank Transfer"/>
    <n v="32234.7"/>
    <s v="Adult"/>
    <s v="Long Wait"/>
  </r>
  <r>
    <x v="341"/>
    <s v="Aarav Shah"/>
    <n v="76"/>
    <x v="1"/>
    <x v="2"/>
    <x v="1"/>
    <x v="281"/>
    <d v="2025-09-01T00:00:00"/>
    <x v="2"/>
    <s v="Dialysis"/>
    <s v="Dr. Adebayo"/>
    <x v="0"/>
    <s v="Axa Mansard"/>
    <n v="304296.56"/>
    <n v="31800.92"/>
    <n v="38633.730000000003"/>
    <n v="17"/>
    <n v="23"/>
    <n v="3.8"/>
    <x v="0"/>
    <s v="Improved"/>
    <x v="1"/>
    <s v="Cash"/>
    <n v="374731.20999999996"/>
    <s v="Senior"/>
    <s v="Excellent"/>
  </r>
  <r>
    <x v="342"/>
    <s v="Neha Kumar"/>
    <n v="15"/>
    <x v="0"/>
    <x v="7"/>
    <x v="1"/>
    <x v="282"/>
    <d v="2026-07-02T00:00:00"/>
    <x v="10"/>
    <s v="Dialysis"/>
    <s v="Dr. Adeyemi"/>
    <x v="1"/>
    <s v="Axa Mansard"/>
    <n v="266784.7"/>
    <n v="26118.52"/>
    <n v="0"/>
    <n v="3"/>
    <n v="30"/>
    <n v="3.2"/>
    <x v="0"/>
    <s v="Recovered"/>
    <x v="1"/>
    <s v="Cash"/>
    <n v="292903.22000000003"/>
    <s v="Child"/>
    <s v="Excellent"/>
  </r>
  <r>
    <x v="343"/>
    <s v="Ishaan Gupta"/>
    <n v="55"/>
    <x v="0"/>
    <x v="8"/>
    <x v="2"/>
    <x v="283"/>
    <d v="2026-06-03T00:00:00"/>
    <x v="2"/>
    <s v="Counseling"/>
    <s v="Dr. Eze"/>
    <x v="1"/>
    <s v="Reliance Hmo"/>
    <n v="33032.58"/>
    <n v="42150.91"/>
    <n v="0"/>
    <n v="11"/>
    <n v="176"/>
    <n v="3.1"/>
    <x v="0"/>
    <s v="Improved"/>
    <x v="1"/>
    <s v="Bank Transfer"/>
    <n v="75183.490000000005"/>
    <s v="Adult"/>
    <s v="Long Wait"/>
  </r>
  <r>
    <x v="344"/>
    <s v="Priya Joshi"/>
    <n v="72"/>
    <x v="0"/>
    <x v="7"/>
    <x v="4"/>
    <x v="284"/>
    <d v="2024-06-11T00:00:00"/>
    <x v="2"/>
    <s v="Dialysis"/>
    <s v="Dr. Eze"/>
    <x v="0"/>
    <s v="Reliance Hmo"/>
    <n v="39797.1"/>
    <n v="0"/>
    <n v="27492.02"/>
    <n v="2"/>
    <n v="172"/>
    <n v="5"/>
    <x v="0"/>
    <s v="Recovered"/>
    <x v="1"/>
    <s v="Bank Transfer"/>
    <n v="67289.119999999995"/>
    <s v="Senior"/>
    <s v="Long Wait"/>
  </r>
  <r>
    <x v="345"/>
    <s v="Ananya Rao"/>
    <n v="33"/>
    <x v="0"/>
    <x v="0"/>
    <x v="4"/>
    <x v="285"/>
    <d v="2024-03-07T00:00:00"/>
    <x v="11"/>
    <s v="Surgery"/>
    <s v="Dr. Adebayo"/>
    <x v="0"/>
    <s v="Mediplus"/>
    <n v="297243.71000000002"/>
    <n v="60006.54"/>
    <n v="31105.16"/>
    <n v="1"/>
    <n v="64"/>
    <n v="5"/>
    <x v="0"/>
    <s v="Improved"/>
    <x v="0"/>
    <s v="Cash"/>
    <n v="388355.41"/>
    <s v="Yound Adult"/>
    <s v="Long Wait"/>
  </r>
  <r>
    <x v="346"/>
    <s v="Kabir Joshi"/>
    <n v="34"/>
    <x v="1"/>
    <x v="4"/>
    <x v="4"/>
    <x v="286"/>
    <d v="2025-12-25T00:00:00"/>
    <x v="1"/>
    <s v="Surgery"/>
    <s v="Dr. Okafor"/>
    <x v="1"/>
    <s v="Leadway Health"/>
    <n v="246659.34"/>
    <n v="41230.47"/>
    <n v="29705.8"/>
    <n v="1"/>
    <n v="97"/>
    <n v="0.5"/>
    <x v="0"/>
    <s v="Improved"/>
    <x v="1"/>
    <s v="Cash"/>
    <n v="317595.61"/>
    <s v="Yound Adult"/>
    <s v="Long Wait"/>
  </r>
  <r>
    <x v="347"/>
    <s v="Isha Malhotra"/>
    <n v="52"/>
    <x v="1"/>
    <x v="4"/>
    <x v="1"/>
    <x v="287"/>
    <d v="2025-12-27T00:00:00"/>
    <x v="5"/>
    <s v="Physiotherapy"/>
    <s v="Dr. Okafor"/>
    <x v="2"/>
    <s v="Nhia"/>
    <n v="82478.84"/>
    <n v="31474.61"/>
    <n v="58406.18"/>
    <n v="1"/>
    <n v="69"/>
    <n v="3.9"/>
    <x v="1"/>
    <s v="Referred"/>
    <x v="2"/>
    <s v="Mobile Money"/>
    <n v="172359.63"/>
    <s v="Adult"/>
    <s v="Long Wait"/>
  </r>
  <r>
    <x v="348"/>
    <s v="Rahul Singh"/>
    <n v="38"/>
    <x v="1"/>
    <x v="4"/>
    <x v="2"/>
    <x v="288"/>
    <d v="2025-06-02T00:00:00"/>
    <x v="10"/>
    <s v="Surgery"/>
    <s v="Dr. Okafor"/>
    <x v="1"/>
    <s v="Nhia"/>
    <n v="305430.26"/>
    <n v="33924.32"/>
    <n v="27404.06"/>
    <n v="1"/>
    <n v="111"/>
    <n v="4.5999999999999996"/>
    <x v="1"/>
    <s v="Deceased"/>
    <x v="0"/>
    <s v="Mobile Money"/>
    <n v="366758.64"/>
    <s v="Adult"/>
    <s v="Long Wait"/>
  </r>
  <r>
    <x v="349"/>
    <s v="Kabir Shah"/>
    <n v="68"/>
    <x v="0"/>
    <x v="0"/>
    <x v="1"/>
    <x v="272"/>
    <d v="2026-05-23T00:00:00"/>
    <x v="8"/>
    <s v="Iv Therapy"/>
    <s v="Dr. Okafor"/>
    <x v="1"/>
    <s v="Axa Mansard"/>
    <n v="172924.34"/>
    <n v="40637.25"/>
    <n v="80917.41"/>
    <n v="1"/>
    <n v="0"/>
    <n v="2.8"/>
    <x v="1"/>
    <s v="Improved"/>
    <x v="0"/>
    <s v="Bank Transfer"/>
    <n v="294479"/>
    <s v="Senior"/>
    <s v="Excellent"/>
  </r>
  <r>
    <x v="350"/>
    <s v="Ananya Rao"/>
    <n v="25"/>
    <x v="1"/>
    <x v="0"/>
    <x v="2"/>
    <x v="289"/>
    <d v="2026-07-15T00:00:00"/>
    <x v="2"/>
    <s v="Counseling"/>
    <s v="Dr. Okafor"/>
    <x v="1"/>
    <s v="Axa Mansard"/>
    <n v="462891.12"/>
    <n v="8580.7000000000007"/>
    <n v="28333.599999999999"/>
    <n v="2"/>
    <n v="110"/>
    <n v="2.1"/>
    <x v="0"/>
    <s v="Recovered"/>
    <x v="0"/>
    <s v="Bank Transfer"/>
    <n v="499805.42"/>
    <s v="Yound Adult"/>
    <s v="Long Wait"/>
  </r>
  <r>
    <x v="351"/>
    <s v="Riya Gupta"/>
    <n v="49"/>
    <x v="1"/>
    <x v="10"/>
    <x v="4"/>
    <x v="290"/>
    <d v="2024-07-31T00:00:00"/>
    <x v="2"/>
    <s v="Iv Therapy"/>
    <s v="Dr. Ibrahim"/>
    <x v="2"/>
    <s v="Leadway Health"/>
    <n v="173399.54"/>
    <n v="27665.33"/>
    <n v="29120.04"/>
    <n v="2"/>
    <n v="0"/>
    <n v="4.0999999999999996"/>
    <x v="0"/>
    <s v="Improved"/>
    <x v="0"/>
    <s v="Bank Transfer"/>
    <n v="230184.91"/>
    <s v="Adult"/>
    <s v="Excellent"/>
  </r>
  <r>
    <x v="352"/>
    <s v="Maya Joshi"/>
    <n v="26"/>
    <x v="1"/>
    <x v="0"/>
    <x v="1"/>
    <x v="12"/>
    <d v="2025-04-13T00:00:00"/>
    <x v="9"/>
    <s v="Observation"/>
    <s v="Dr. Adeyemi"/>
    <x v="2"/>
    <s v="Self Pay"/>
    <n v="474528.67"/>
    <n v="49378.89"/>
    <n v="61591.199999999997"/>
    <n v="9"/>
    <n v="112"/>
    <n v="3.4"/>
    <x v="0"/>
    <s v="Deceased"/>
    <x v="0"/>
    <s v="Insurance"/>
    <n v="585498.76"/>
    <s v="Yound Adult"/>
    <s v="Long Wait"/>
  </r>
  <r>
    <x v="353"/>
    <s v="Kavya Kumar"/>
    <n v="46"/>
    <x v="0"/>
    <x v="10"/>
    <x v="1"/>
    <x v="267"/>
    <d v="2025-06-19T00:00:00"/>
    <x v="5"/>
    <s v="Physiotherapy"/>
    <s v="Dr. Adeyemi"/>
    <x v="1"/>
    <s v="Self Pay"/>
    <n v="0"/>
    <n v="2070.34"/>
    <n v="39424.629999999997"/>
    <n v="7"/>
    <n v="118"/>
    <n v="3.6"/>
    <x v="1"/>
    <s v="Improved"/>
    <x v="1"/>
    <s v="Card"/>
    <n v="41494.97"/>
    <s v="Adult"/>
    <s v="Long Wait"/>
  </r>
  <r>
    <x v="354"/>
    <s v="Rohan Verma"/>
    <n v="0"/>
    <x v="0"/>
    <x v="11"/>
    <x v="8"/>
    <x v="193"/>
    <d v="2025-06-22T00:00:00"/>
    <x v="5"/>
    <s v="Medication"/>
    <s v="Dr. Balogun"/>
    <x v="1"/>
    <s v="Nhia"/>
    <n v="240102.31"/>
    <n v="0"/>
    <n v="67791.37"/>
    <n v="7"/>
    <n v="87"/>
    <n v="4.2"/>
    <x v="1"/>
    <s v="Improved"/>
    <x v="0"/>
    <s v="Bank Transfer"/>
    <n v="307893.68"/>
    <s v="Child"/>
    <s v="Long Wait"/>
  </r>
  <r>
    <x v="355"/>
    <s v="Maya Gupta"/>
    <n v="71"/>
    <x v="0"/>
    <x v="4"/>
    <x v="1"/>
    <x v="291"/>
    <d v="2024-05-01T00:00:00"/>
    <x v="1"/>
    <s v="Surgery"/>
    <s v="Dr. Bello"/>
    <x v="0"/>
    <s v="Nhia"/>
    <n v="365841.45"/>
    <n v="44588.61"/>
    <n v="41114.480000000003"/>
    <n v="1"/>
    <n v="138"/>
    <n v="2.8"/>
    <x v="0"/>
    <s v="Improved"/>
    <x v="2"/>
    <s v="Card"/>
    <n v="451544.54"/>
    <s v="Senior"/>
    <s v="Long Wait"/>
  </r>
  <r>
    <x v="356"/>
    <s v="Neha Singh"/>
    <n v="1"/>
    <x v="1"/>
    <x v="4"/>
    <x v="0"/>
    <x v="292"/>
    <d v="2025-08-13T00:00:00"/>
    <x v="2"/>
    <s v="Dialysis"/>
    <s v="Dr. Okafor"/>
    <x v="0"/>
    <s v="Self Pay"/>
    <n v="57350.26"/>
    <n v="22921.53"/>
    <n v="35974.21"/>
    <n v="4"/>
    <n v="4"/>
    <n v="4.2"/>
    <x v="1"/>
    <s v="Referred"/>
    <x v="2"/>
    <s v="Mobile Money"/>
    <n v="116246"/>
    <s v="Child"/>
    <s v="Excellent"/>
  </r>
  <r>
    <x v="357"/>
    <s v="Aarav Nair"/>
    <n v="38"/>
    <x v="0"/>
    <x v="1"/>
    <x v="3"/>
    <x v="293"/>
    <d v="2025-02-26T00:00:00"/>
    <x v="9"/>
    <s v="Chemotherapy"/>
    <s v="Dr. Okafor"/>
    <x v="0"/>
    <s v="Mediplus"/>
    <n v="114189.19"/>
    <n v="56217.68"/>
    <n v="94662.21"/>
    <n v="3"/>
    <n v="58"/>
    <n v="2.9"/>
    <x v="1"/>
    <s v="Recovered"/>
    <x v="2"/>
    <s v="Bank Transfer"/>
    <n v="265069.08"/>
    <s v="Adult"/>
    <s v="Acceptable"/>
  </r>
  <r>
    <x v="358"/>
    <s v="Aarav Gupta"/>
    <n v="35"/>
    <x v="0"/>
    <x v="6"/>
    <x v="8"/>
    <x v="294"/>
    <d v="2025-10-25T00:00:00"/>
    <x v="1"/>
    <s v="Wound Care"/>
    <s v="Dr. Adebayo"/>
    <x v="0"/>
    <s v="Mediplus"/>
    <n v="200484.39"/>
    <n v="48491.33"/>
    <n v="0"/>
    <n v="4"/>
    <n v="193"/>
    <n v="3.8"/>
    <x v="1"/>
    <s v="Recovered"/>
    <x v="2"/>
    <s v="Bank Transfer"/>
    <n v="248975.72000000003"/>
    <s v="Yound Adult"/>
    <s v="Long Wait"/>
  </r>
  <r>
    <x v="359"/>
    <s v="Aisha Shah"/>
    <n v="41"/>
    <x v="0"/>
    <x v="3"/>
    <x v="3"/>
    <x v="295"/>
    <d v="2025-04-01T00:00:00"/>
    <x v="1"/>
    <s v="Dialysis"/>
    <s v="Dr. Eze"/>
    <x v="1"/>
    <s v="Nhia"/>
    <n v="214740.11"/>
    <n v="0"/>
    <n v="89848.15"/>
    <n v="2"/>
    <n v="98"/>
    <n v="4.3"/>
    <x v="1"/>
    <s v="Referred"/>
    <x v="2"/>
    <s v="Cash"/>
    <n v="304588.26"/>
    <s v="Adult"/>
    <s v="Long Wait"/>
  </r>
  <r>
    <x v="360"/>
    <s v="Vivaan Gupta"/>
    <n v="20"/>
    <x v="1"/>
    <x v="11"/>
    <x v="4"/>
    <x v="296"/>
    <d v="2024-06-02T00:00:00"/>
    <x v="7"/>
    <s v="Physiotherapy"/>
    <s v="Dr. Eze"/>
    <x v="1"/>
    <s v="Reliance Hmo"/>
    <n v="286286.07"/>
    <n v="23308.97"/>
    <n v="70403.12"/>
    <n v="6"/>
    <n v="0"/>
    <n v="3.6"/>
    <x v="0"/>
    <s v="Recovered"/>
    <x v="0"/>
    <s v="Bank Transfer"/>
    <n v="379998.16000000003"/>
    <s v="Yound Adult"/>
    <s v="Excellent"/>
  </r>
  <r>
    <x v="361"/>
    <s v="Aisha Verma"/>
    <n v="52"/>
    <x v="0"/>
    <x v="2"/>
    <x v="5"/>
    <x v="297"/>
    <d v="2025-01-21T00:00:00"/>
    <x v="11"/>
    <s v="Iv Therapy"/>
    <s v="Dr. Musa"/>
    <x v="0"/>
    <s v="Reliance Hmo"/>
    <n v="285806.19"/>
    <n v="12309.35"/>
    <n v="23634.78"/>
    <n v="2"/>
    <n v="86"/>
    <n v="2.5"/>
    <x v="0"/>
    <s v="Recovered"/>
    <x v="2"/>
    <s v="Insurance"/>
    <n v="321750.31999999995"/>
    <s v="Adult"/>
    <s v="Long Wait"/>
  </r>
  <r>
    <x v="362"/>
    <s v="Aditya Das"/>
    <n v="34"/>
    <x v="1"/>
    <x v="11"/>
    <x v="7"/>
    <x v="298"/>
    <d v="2026-07-29T00:00:00"/>
    <x v="5"/>
    <s v="Observation"/>
    <s v="Dr. Okafor"/>
    <x v="0"/>
    <s v="Mediplus"/>
    <n v="0"/>
    <n v="20629.45"/>
    <n v="13843.69"/>
    <n v="5"/>
    <n v="0"/>
    <n v="2.1"/>
    <x v="1"/>
    <s v="Referred"/>
    <x v="2"/>
    <s v="Card"/>
    <n v="34473.14"/>
    <s v="Yound Adult"/>
    <s v="Excellent"/>
  </r>
  <r>
    <x v="363"/>
    <s v="Kavya Gupta"/>
    <n v="72"/>
    <x v="0"/>
    <x v="0"/>
    <x v="7"/>
    <x v="148"/>
    <d v="2024-06-24T00:00:00"/>
    <x v="1"/>
    <s v="Medication"/>
    <s v="Dr. Okafor"/>
    <x v="0"/>
    <s v="Mediplus"/>
    <n v="263845.83"/>
    <n v="14837.42"/>
    <n v="58677.13"/>
    <n v="3"/>
    <n v="60"/>
    <n v="2.8"/>
    <x v="0"/>
    <s v="Recovered"/>
    <x v="0"/>
    <s v="Cash"/>
    <n v="337360.38"/>
    <s v="Senior"/>
    <s v="Long Wait"/>
  </r>
  <r>
    <x v="364"/>
    <s v="Arjun Das"/>
    <n v="4"/>
    <x v="0"/>
    <x v="0"/>
    <x v="2"/>
    <x v="299"/>
    <d v="2025-10-10T00:00:00"/>
    <x v="1"/>
    <s v="Physiotherapy"/>
    <s v="Dr. Adeyemi"/>
    <x v="0"/>
    <s v="Self Pay"/>
    <n v="165410.68"/>
    <n v="33951.339999999997"/>
    <n v="42101.29"/>
    <n v="1"/>
    <n v="63"/>
    <n v="2.5"/>
    <x v="0"/>
    <s v="Recovered"/>
    <x v="2"/>
    <s v="Card"/>
    <n v="241463.31"/>
    <s v="Child"/>
    <s v="Long Wait"/>
  </r>
  <r>
    <x v="365"/>
    <s v="Neha Sharma"/>
    <n v="16"/>
    <x v="0"/>
    <x v="10"/>
    <x v="3"/>
    <x v="300"/>
    <d v="2026-04-20T00:00:00"/>
    <x v="3"/>
    <s v="Counseling"/>
    <s v="Dr. Adeyemi"/>
    <x v="1"/>
    <s v="Reliance Hmo"/>
    <n v="345117.68"/>
    <n v="52323.85"/>
    <n v="99888.61"/>
    <n v="8"/>
    <n v="64"/>
    <n v="4.5999999999999996"/>
    <x v="1"/>
    <s v="Improved"/>
    <x v="2"/>
    <s v="Bank Transfer"/>
    <n v="497330.13999999996"/>
    <s v="Child"/>
    <s v="Long Wait"/>
  </r>
  <r>
    <x v="366"/>
    <s v="Zara Kumar"/>
    <n v="29"/>
    <x v="0"/>
    <x v="4"/>
    <x v="3"/>
    <x v="301"/>
    <d v="2025-01-16T00:00:00"/>
    <x v="4"/>
    <s v="Iv Therapy"/>
    <s v="Dr. Adeyemi"/>
    <x v="0"/>
    <s v="Reliance Hmo"/>
    <n v="5094.37"/>
    <n v="0"/>
    <n v="66381.36"/>
    <n v="15"/>
    <n v="0"/>
    <n v="3.2"/>
    <x v="1"/>
    <s v="Improved"/>
    <x v="1"/>
    <s v="Insurance"/>
    <n v="71475.73"/>
    <s v="Yound Adult"/>
    <s v="Excellent"/>
  </r>
  <r>
    <x v="367"/>
    <s v="Aditya Singh"/>
    <n v="47"/>
    <x v="1"/>
    <x v="9"/>
    <x v="7"/>
    <x v="302"/>
    <d v="2024-10-15T00:00:00"/>
    <x v="6"/>
    <s v="Medication"/>
    <s v="Dr. Adeyemi"/>
    <x v="0"/>
    <s v="Self Pay"/>
    <n v="279562.28000000003"/>
    <n v="35557.25"/>
    <n v="83365.97"/>
    <n v="4"/>
    <n v="23"/>
    <n v="2.8"/>
    <x v="1"/>
    <s v="Referred"/>
    <x v="2"/>
    <s v="Bank Transfer"/>
    <n v="398485.5"/>
    <s v="Adult"/>
    <s v="Excellent"/>
  </r>
  <r>
    <x v="368"/>
    <s v="Vivaan Das"/>
    <n v="61"/>
    <x v="1"/>
    <x v="6"/>
    <x v="7"/>
    <x v="269"/>
    <d v="2026-03-13T00:00:00"/>
    <x v="2"/>
    <s v="Surgery"/>
    <s v="Dr. Okafor"/>
    <x v="0"/>
    <s v="Self Pay"/>
    <n v="346055.8"/>
    <n v="41280.629999999997"/>
    <n v="80504.81"/>
    <n v="1"/>
    <n v="6"/>
    <n v="5"/>
    <x v="1"/>
    <s v="Referred"/>
    <x v="1"/>
    <s v="Card"/>
    <n v="467841.24"/>
    <s v="Senior"/>
    <s v="Excellent"/>
  </r>
  <r>
    <x v="369"/>
    <s v="Aisha Sharma"/>
    <n v="59"/>
    <x v="0"/>
    <x v="6"/>
    <x v="0"/>
    <x v="6"/>
    <d v="2025-12-06T00:00:00"/>
    <x v="2"/>
    <s v="Iv Therapy"/>
    <s v="Dr. Okafor"/>
    <x v="0"/>
    <s v="Reliance Hmo"/>
    <n v="469451.85"/>
    <n v="0"/>
    <n v="29266.560000000001"/>
    <n v="9"/>
    <n v="39"/>
    <n v="4.5999999999999996"/>
    <x v="1"/>
    <s v="Recovered"/>
    <x v="1"/>
    <s v="Card"/>
    <n v="498718.41"/>
    <s v="Adult"/>
    <s v="Acceptable"/>
  </r>
  <r>
    <x v="370"/>
    <s v="Aarav Nair"/>
    <n v="59"/>
    <x v="0"/>
    <x v="0"/>
    <x v="4"/>
    <x v="303"/>
    <d v="2026-01-26T00:00:00"/>
    <x v="11"/>
    <s v="Observation"/>
    <s v="Dr. Bello"/>
    <x v="2"/>
    <s v="Avon Hmo"/>
    <n v="411875.06"/>
    <n v="47380.07"/>
    <n v="53512.53"/>
    <n v="1"/>
    <n v="20"/>
    <n v="2.6"/>
    <x v="1"/>
    <s v="Improved"/>
    <x v="1"/>
    <s v="Card"/>
    <n v="512767.66000000003"/>
    <s v="Adult"/>
    <s v="Excellent"/>
  </r>
  <r>
    <x v="371"/>
    <s v="Arjun Patel"/>
    <n v="60"/>
    <x v="0"/>
    <x v="3"/>
    <x v="4"/>
    <x v="304"/>
    <d v="2025-05-06T00:00:00"/>
    <x v="1"/>
    <s v="Observation"/>
    <s v="Dr. Yusuf"/>
    <x v="0"/>
    <s v="Reliance Hmo"/>
    <n v="214537.27"/>
    <n v="19552.259999999998"/>
    <n v="0"/>
    <n v="7"/>
    <n v="14"/>
    <n v="5"/>
    <x v="1"/>
    <s v="Improved"/>
    <x v="2"/>
    <s v="Card"/>
    <n v="234089.53"/>
    <s v="Senior"/>
    <s v="Excellent"/>
  </r>
  <r>
    <x v="372"/>
    <s v="Aisha Nair"/>
    <n v="6"/>
    <x v="1"/>
    <x v="4"/>
    <x v="3"/>
    <x v="13"/>
    <d v="2026-06-27T00:00:00"/>
    <x v="1"/>
    <s v="Iv Therapy"/>
    <s v="Dr. Balogun"/>
    <x v="0"/>
    <s v="Self Pay"/>
    <n v="368221.99"/>
    <n v="25679.96"/>
    <n v="68157.600000000006"/>
    <n v="23"/>
    <n v="128"/>
    <n v="2.7"/>
    <x v="1"/>
    <s v="Improved"/>
    <x v="1"/>
    <s v="Cash"/>
    <n v="462059.55000000005"/>
    <s v="Child"/>
    <s v="Long Wait"/>
  </r>
  <r>
    <x v="373"/>
    <s v="Sneha Das"/>
    <n v="23"/>
    <x v="1"/>
    <x v="8"/>
    <x v="6"/>
    <x v="301"/>
    <d v="2025-01-04T00:00:00"/>
    <x v="1"/>
    <s v="Iv Therapy"/>
    <s v="Dr. Musa"/>
    <x v="2"/>
    <s v="Avon Hmo"/>
    <n v="120289.09"/>
    <n v="59668.37"/>
    <n v="88090.06"/>
    <n v="3"/>
    <n v="77"/>
    <n v="3.8"/>
    <x v="1"/>
    <s v="Recovered"/>
    <x v="0"/>
    <s v="Cash"/>
    <n v="268047.52"/>
    <s v="Yound Adult"/>
    <s v="Long Wait"/>
  </r>
  <r>
    <x v="374"/>
    <s v="Aisha Singh"/>
    <n v="68"/>
    <x v="0"/>
    <x v="4"/>
    <x v="0"/>
    <x v="305"/>
    <d v="2024-07-25T00:00:00"/>
    <x v="6"/>
    <s v="Medication"/>
    <s v="Dr. Chukwu"/>
    <x v="2"/>
    <s v="Reliance Hmo"/>
    <n v="313158.36"/>
    <n v="78530.44"/>
    <n v="18650.310000000001"/>
    <n v="1"/>
    <n v="66"/>
    <n v="4"/>
    <x v="1"/>
    <s v="Improved"/>
    <x v="0"/>
    <s v="Insurance"/>
    <n v="410339.11"/>
    <s v="Senior"/>
    <s v="Long Wait"/>
  </r>
  <r>
    <x v="375"/>
    <s v="Kabir Das"/>
    <n v="38"/>
    <x v="1"/>
    <x v="1"/>
    <x v="0"/>
    <x v="177"/>
    <d v="2026-08-04T00:00:00"/>
    <x v="11"/>
    <s v="Dialysis"/>
    <s v="Dr. Musa"/>
    <x v="0"/>
    <s v="Reliance Hmo"/>
    <n v="97785.45"/>
    <n v="52035.19"/>
    <n v="66634.06"/>
    <n v="4"/>
    <n v="26"/>
    <n v="0.9"/>
    <x v="1"/>
    <s v="Improved"/>
    <x v="0"/>
    <s v="Mobile Money"/>
    <n v="216454.7"/>
    <s v="Adult"/>
    <s v="Excellent"/>
  </r>
  <r>
    <x v="376"/>
    <s v="Kabir Kumar"/>
    <n v="45"/>
    <x v="1"/>
    <x v="5"/>
    <x v="1"/>
    <x v="306"/>
    <d v="2024-05-04T00:00:00"/>
    <x v="6"/>
    <s v="Medication"/>
    <s v="Dr. Musa"/>
    <x v="0"/>
    <s v="Nhia"/>
    <n v="231143.7"/>
    <n v="43851.44"/>
    <n v="19148.91"/>
    <n v="7"/>
    <n v="97"/>
    <n v="0.9"/>
    <x v="0"/>
    <s v="Recovered"/>
    <x v="1"/>
    <s v="Mobile Money"/>
    <n v="294144.05"/>
    <s v="Adult"/>
    <s v="Long Wait"/>
  </r>
  <r>
    <x v="377"/>
    <s v="Diya Verma"/>
    <n v="8"/>
    <x v="0"/>
    <x v="0"/>
    <x v="6"/>
    <x v="231"/>
    <d v="2024-07-06T00:00:00"/>
    <x v="0"/>
    <s v="Medication"/>
    <s v="Dr. Adeyemi"/>
    <x v="1"/>
    <s v="Reliance Hmo"/>
    <n v="430478.78"/>
    <n v="21747"/>
    <n v="38649.99"/>
    <n v="5"/>
    <n v="47"/>
    <n v="3.3"/>
    <x v="1"/>
    <s v="Recovered"/>
    <x v="2"/>
    <s v="Bank Transfer"/>
    <n v="490875.77"/>
    <s v="Child"/>
    <s v="Acceptable"/>
  </r>
  <r>
    <x v="378"/>
    <s v="Isha Joshi"/>
    <n v="0"/>
    <x v="1"/>
    <x v="4"/>
    <x v="4"/>
    <x v="111"/>
    <d v="2026-04-06T00:00:00"/>
    <x v="8"/>
    <s v="Medication"/>
    <s v="Dr. Bello"/>
    <x v="1"/>
    <s v="Reliance Hmo"/>
    <n v="398775.15"/>
    <n v="38450.589999999997"/>
    <n v="8789.35"/>
    <n v="8"/>
    <n v="14"/>
    <n v="5"/>
    <x v="1"/>
    <s v="Recovered"/>
    <x v="0"/>
    <s v="Bank Transfer"/>
    <n v="446015.08999999997"/>
    <s v="Child"/>
    <s v="Excellent"/>
  </r>
  <r>
    <x v="379"/>
    <s v="Aditya Malhotra"/>
    <n v="17"/>
    <x v="1"/>
    <x v="8"/>
    <x v="0"/>
    <x v="307"/>
    <d v="2025-07-03T00:00:00"/>
    <x v="11"/>
    <s v="Medication"/>
    <s v="Dr. Okafor"/>
    <x v="1"/>
    <s v="Avon Hmo"/>
    <n v="379224.04"/>
    <n v="38463.82"/>
    <n v="16862.23"/>
    <n v="1"/>
    <n v="111"/>
    <n v="2.4"/>
    <x v="1"/>
    <s v="Referred"/>
    <x v="0"/>
    <s v="Mobile Money"/>
    <n v="434550.08999999997"/>
    <s v="Child"/>
    <s v="Long Wait"/>
  </r>
  <r>
    <x v="380"/>
    <s v="Maya Shah"/>
    <n v="66"/>
    <x v="0"/>
    <x v="8"/>
    <x v="7"/>
    <x v="308"/>
    <d v="2026-02-14T00:00:00"/>
    <x v="1"/>
    <s v="Physiotherapy"/>
    <s v="Dr. Yusuf"/>
    <x v="1"/>
    <s v="Nhia"/>
    <n v="294480.87"/>
    <n v="39041.53"/>
    <n v="97835.64"/>
    <n v="6"/>
    <n v="94"/>
    <n v="2.2000000000000002"/>
    <x v="0"/>
    <s v="Referred"/>
    <x v="0"/>
    <s v="Mobile Money"/>
    <n v="431358.04000000004"/>
    <s v="Senior"/>
    <s v="Long Wait"/>
  </r>
  <r>
    <x v="381"/>
    <s v="Aditya Singh"/>
    <n v="88"/>
    <x v="0"/>
    <x v="4"/>
    <x v="7"/>
    <x v="309"/>
    <d v="2026-07-09T00:00:00"/>
    <x v="11"/>
    <s v="Counseling"/>
    <s v="Dr. Ibrahim"/>
    <x v="2"/>
    <s v="Self Pay"/>
    <n v="77933.67"/>
    <n v="20963.43"/>
    <n v="57493.38"/>
    <n v="4"/>
    <n v="90"/>
    <n v="2.4"/>
    <x v="0"/>
    <s v="Referred"/>
    <x v="0"/>
    <s v="Insurance"/>
    <n v="156390.48000000001"/>
    <s v="Senior"/>
    <s v="Long Wait"/>
  </r>
  <r>
    <x v="382"/>
    <s v="Meera Sharma"/>
    <n v="92"/>
    <x v="1"/>
    <x v="4"/>
    <x v="8"/>
    <x v="310"/>
    <d v="2024-02-18T00:00:00"/>
    <x v="9"/>
    <s v="Counseling"/>
    <s v="Dr. Chukwu"/>
    <x v="1"/>
    <s v="Self Pay"/>
    <n v="247458.4"/>
    <n v="7398.29"/>
    <n v="0"/>
    <n v="6"/>
    <n v="114"/>
    <n v="5"/>
    <x v="0"/>
    <s v="Improved"/>
    <x v="0"/>
    <s v="Bank Transfer"/>
    <n v="254856.69"/>
    <s v="Senior"/>
    <s v="Long Wait"/>
  </r>
  <r>
    <x v="383"/>
    <s v="Ishaan Mehta"/>
    <n v="42"/>
    <x v="1"/>
    <x v="4"/>
    <x v="7"/>
    <x v="261"/>
    <d v="2024-03-29T00:00:00"/>
    <x v="7"/>
    <s v="Iv Therapy"/>
    <s v="Dr. Eze"/>
    <x v="0"/>
    <s v="Leadway Health"/>
    <n v="137501.97"/>
    <n v="2695.91"/>
    <n v="70042.539999999994"/>
    <n v="4"/>
    <n v="163"/>
    <n v="1.7"/>
    <x v="0"/>
    <s v="Improved"/>
    <x v="0"/>
    <s v="Cash"/>
    <n v="210240.41999999998"/>
    <s v="Adult"/>
    <s v="Long Wait"/>
  </r>
  <r>
    <x v="384"/>
    <s v="Priya Malhotra"/>
    <n v="55"/>
    <x v="1"/>
    <x v="6"/>
    <x v="0"/>
    <x v="311"/>
    <d v="2025-12-09T00:00:00"/>
    <x v="8"/>
    <s v="Iv Therapy"/>
    <s v="Dr. Balogun"/>
    <x v="0"/>
    <s v="Reliance Hmo"/>
    <n v="415943.25"/>
    <n v="0"/>
    <n v="4025.28"/>
    <n v="9"/>
    <n v="83"/>
    <n v="4.4000000000000004"/>
    <x v="0"/>
    <s v="Recovered"/>
    <x v="1"/>
    <s v="Insurance"/>
    <n v="419968.53"/>
    <s v="Adult"/>
    <s v="Long Wait"/>
  </r>
  <r>
    <x v="385"/>
    <s v="Maya Malhotra"/>
    <n v="58"/>
    <x v="0"/>
    <x v="6"/>
    <x v="4"/>
    <x v="125"/>
    <d v="2024-01-24T00:00:00"/>
    <x v="8"/>
    <s v="Iv Therapy"/>
    <s v="Dr. Balogun"/>
    <x v="0"/>
    <s v="Reliance Hmo"/>
    <n v="186024.62"/>
    <n v="4340.7700000000004"/>
    <n v="81900.02"/>
    <n v="11"/>
    <n v="22"/>
    <n v="5"/>
    <x v="0"/>
    <s v="Deceased"/>
    <x v="1"/>
    <s v="Mobile Money"/>
    <n v="272265.40999999997"/>
    <s v="Adult"/>
    <s v="Excellent"/>
  </r>
  <r>
    <x v="386"/>
    <s v="Aarav Verma"/>
    <n v="77"/>
    <x v="0"/>
    <x v="6"/>
    <x v="3"/>
    <x v="312"/>
    <d v="2024-03-30T00:00:00"/>
    <x v="2"/>
    <s v="Observation"/>
    <s v="Dr. Chukwu"/>
    <x v="1"/>
    <s v="Axa Mansard"/>
    <n v="315050.38"/>
    <n v="26575.11"/>
    <n v="29418.11"/>
    <n v="2"/>
    <n v="69"/>
    <n v="4.3"/>
    <x v="0"/>
    <s v="Improved"/>
    <x v="0"/>
    <s v="Bank Transfer"/>
    <n v="371043.6"/>
    <s v="Senior"/>
    <s v="Long Wait"/>
  </r>
  <r>
    <x v="387"/>
    <s v="Meera Patel"/>
    <n v="29"/>
    <x v="1"/>
    <x v="5"/>
    <x v="0"/>
    <x v="313"/>
    <d v="2025-12-06T00:00:00"/>
    <x v="2"/>
    <s v="Wound Care"/>
    <s v="Dr. Adebayo"/>
    <x v="1"/>
    <s v="Hygeia Hmo"/>
    <n v="196811.6"/>
    <n v="31964.43"/>
    <n v="0"/>
    <n v="3"/>
    <n v="129"/>
    <n v="2.4"/>
    <x v="1"/>
    <s v="Improved"/>
    <x v="0"/>
    <s v="Card"/>
    <n v="228776.03"/>
    <s v="Yound Adult"/>
    <s v="Long Wait"/>
  </r>
  <r>
    <x v="388"/>
    <s v="Aditya Rao"/>
    <n v="5"/>
    <x v="1"/>
    <x v="4"/>
    <x v="6"/>
    <x v="133"/>
    <d v="2025-04-08T00:00:00"/>
    <x v="5"/>
    <s v="Medication"/>
    <s v="Dr. Adebayo"/>
    <x v="0"/>
    <s v="Axa Mansard"/>
    <n v="0"/>
    <n v="0"/>
    <n v="23729.37"/>
    <n v="1"/>
    <n v="241"/>
    <n v="3"/>
    <x v="1"/>
    <s v="Improved"/>
    <x v="1"/>
    <s v="Bank Transfer"/>
    <n v="23729.37"/>
    <s v="Child"/>
    <s v="Long Wait"/>
  </r>
  <r>
    <x v="389"/>
    <s v="Isha Verma"/>
    <n v="51"/>
    <x v="0"/>
    <x v="2"/>
    <x v="0"/>
    <x v="314"/>
    <d v="2024-03-15T00:00:00"/>
    <x v="5"/>
    <s v="Medication"/>
    <s v="Dr. Bello"/>
    <x v="2"/>
    <s v="Self Pay"/>
    <n v="238349.13"/>
    <n v="28063.91"/>
    <n v="9141.19"/>
    <n v="3"/>
    <n v="203"/>
    <n v="5"/>
    <x v="1"/>
    <s v="Referred"/>
    <x v="2"/>
    <s v="Bank Transfer"/>
    <n v="275554.23"/>
    <s v="Adult"/>
    <s v="Long Wait"/>
  </r>
  <r>
    <x v="390"/>
    <s v="Aarav Singh"/>
    <n v="20"/>
    <x v="0"/>
    <x v="5"/>
    <x v="3"/>
    <x v="315"/>
    <d v="2026-06-11T00:00:00"/>
    <x v="5"/>
    <s v="Physiotherapy"/>
    <s v="Dr. Musa"/>
    <x v="0"/>
    <s v="Avon Hmo"/>
    <n v="180826.55"/>
    <n v="5886.56"/>
    <n v="60178.97"/>
    <n v="1"/>
    <n v="40"/>
    <n v="5"/>
    <x v="1"/>
    <s v="Deceased"/>
    <x v="2"/>
    <s v="Insurance"/>
    <n v="246892.08"/>
    <s v="Yound Adult"/>
    <s v="Acceptable"/>
  </r>
  <r>
    <x v="391"/>
    <s v="Kabir Shah"/>
    <n v="47"/>
    <x v="1"/>
    <x v="4"/>
    <x v="1"/>
    <x v="316"/>
    <d v="2024-12-09T00:00:00"/>
    <x v="1"/>
    <s v="Surgery"/>
    <s v="Dr. Adeyemi"/>
    <x v="2"/>
    <s v="Avon Hmo"/>
    <n v="363778.08"/>
    <n v="57647.51"/>
    <n v="28081.58"/>
    <n v="7"/>
    <n v="33"/>
    <n v="3.8"/>
    <x v="1"/>
    <s v="Improved"/>
    <x v="2"/>
    <s v="Card"/>
    <n v="449507.17000000004"/>
    <s v="Adult"/>
    <s v="Acceptable"/>
  </r>
  <r>
    <x v="392"/>
    <s v="Isha Malhotra"/>
    <n v="46"/>
    <x v="1"/>
    <x v="7"/>
    <x v="3"/>
    <x v="317"/>
    <d v="2026-07-26T00:00:00"/>
    <x v="1"/>
    <s v="Observation"/>
    <s v="Dr. Ibrahim"/>
    <x v="0"/>
    <s v="Avon Hmo"/>
    <n v="0"/>
    <n v="9929.39"/>
    <n v="42780.81"/>
    <n v="5"/>
    <n v="89"/>
    <n v="5"/>
    <x v="1"/>
    <s v="Recovered"/>
    <x v="2"/>
    <s v="Mobile Money"/>
    <n v="52710.2"/>
    <s v="Adult"/>
    <s v="Long Wait"/>
  </r>
  <r>
    <x v="393"/>
    <s v="Aisha Kapoor"/>
    <n v="54"/>
    <x v="0"/>
    <x v="0"/>
    <x v="1"/>
    <x v="186"/>
    <d v="2026-02-24T00:00:00"/>
    <x v="3"/>
    <s v="Iv Therapy"/>
    <s v="Dr. Ibrahim"/>
    <x v="0"/>
    <s v="Axa Mansard"/>
    <n v="428475.84"/>
    <n v="86786.240000000005"/>
    <n v="32868.080000000002"/>
    <n v="1"/>
    <n v="131"/>
    <n v="4.4000000000000004"/>
    <x v="1"/>
    <s v="Recovered"/>
    <x v="2"/>
    <s v="Mobile Money"/>
    <n v="548130.16"/>
    <s v="Adult"/>
    <s v="Long Wait"/>
  </r>
  <r>
    <x v="394"/>
    <s v="Riya Kumar"/>
    <n v="28"/>
    <x v="0"/>
    <x v="9"/>
    <x v="4"/>
    <x v="318"/>
    <d v="2024-05-20T00:00:00"/>
    <x v="2"/>
    <s v="Medication"/>
    <s v="Dr. Eze"/>
    <x v="0"/>
    <s v="Mediplus"/>
    <n v="163569.35999999999"/>
    <n v="79788.83"/>
    <n v="20038.16"/>
    <n v="13"/>
    <n v="53"/>
    <n v="3.5"/>
    <x v="1"/>
    <s v="Referred"/>
    <x v="1"/>
    <s v="Cash"/>
    <n v="263396.34999999998"/>
    <s v="Yound Adult"/>
    <s v="Acceptable"/>
  </r>
  <r>
    <x v="395"/>
    <s v="Rahul Kumar"/>
    <n v="47"/>
    <x v="0"/>
    <x v="0"/>
    <x v="0"/>
    <x v="319"/>
    <d v="2025-11-14T00:00:00"/>
    <x v="4"/>
    <s v="Dialysis"/>
    <s v="Dr. Okafor"/>
    <x v="0"/>
    <s v="Axa Mansard"/>
    <n v="39032.449999999997"/>
    <n v="16695.79"/>
    <n v="26779.37"/>
    <n v="5"/>
    <n v="89"/>
    <n v="4.3"/>
    <x v="0"/>
    <s v="Referred"/>
    <x v="1"/>
    <s v="Mobile Money"/>
    <n v="82507.61"/>
    <s v="Adult"/>
    <s v="Long Wait"/>
  </r>
  <r>
    <x v="396"/>
    <s v="Ishaan Nair"/>
    <n v="3"/>
    <x v="0"/>
    <x v="1"/>
    <x v="4"/>
    <x v="320"/>
    <d v="2024-07-19T00:00:00"/>
    <x v="3"/>
    <s v="Surgery"/>
    <s v="Dr. Bello"/>
    <x v="1"/>
    <s v="Self Pay"/>
    <n v="368951.74"/>
    <n v="36314.22"/>
    <n v="86535.96"/>
    <n v="4"/>
    <n v="128"/>
    <n v="5"/>
    <x v="0"/>
    <s v="Improved"/>
    <x v="0"/>
    <s v="Bank Transfer"/>
    <n v="491801.92"/>
    <s v="Child"/>
    <s v="Long Wait"/>
  </r>
  <r>
    <x v="397"/>
    <s v="Aditya Joshi"/>
    <n v="72"/>
    <x v="0"/>
    <x v="10"/>
    <x v="0"/>
    <x v="159"/>
    <d v="2024-08-10T00:00:00"/>
    <x v="3"/>
    <s v="Medication"/>
    <s v="Dr. Balogun"/>
    <x v="1"/>
    <s v="Nhia"/>
    <n v="293115.09000000003"/>
    <n v="27552.12"/>
    <n v="113173.04"/>
    <n v="4"/>
    <n v="161"/>
    <n v="4.4000000000000004"/>
    <x v="1"/>
    <s v="Improved"/>
    <x v="1"/>
    <s v="Bank Transfer"/>
    <n v="433840.25"/>
    <s v="Senior"/>
    <s v="Long Wait"/>
  </r>
  <r>
    <x v="398"/>
    <s v="Meera Joshi"/>
    <n v="14"/>
    <x v="0"/>
    <x v="5"/>
    <x v="4"/>
    <x v="321"/>
    <d v="2024-08-12T00:00:00"/>
    <x v="3"/>
    <s v="Surgery"/>
    <s v="Dr. Adeyemi"/>
    <x v="0"/>
    <s v="Self Pay"/>
    <n v="260980.17"/>
    <n v="33638.03"/>
    <n v="26576.32"/>
    <n v="1"/>
    <n v="105"/>
    <n v="5"/>
    <x v="1"/>
    <s v="Recovered"/>
    <x v="2"/>
    <s v="Bank Transfer"/>
    <n v="321194.52"/>
    <s v="Child"/>
    <s v="Long Wait"/>
  </r>
  <r>
    <x v="399"/>
    <s v="Zara Malhotra"/>
    <n v="17"/>
    <x v="0"/>
    <x v="5"/>
    <x v="4"/>
    <x v="322"/>
    <d v="2026-02-23T00:00:00"/>
    <x v="9"/>
    <s v="Medication"/>
    <s v="Dr. Musa"/>
    <x v="0"/>
    <s v="Mediplus"/>
    <n v="204388.76"/>
    <n v="9875.84"/>
    <n v="33369"/>
    <n v="5"/>
    <n v="63"/>
    <n v="3.1"/>
    <x v="0"/>
    <s v="Deceased"/>
    <x v="1"/>
    <s v="Mobile Money"/>
    <n v="247633.6"/>
    <s v="Child"/>
    <s v="Long Wait"/>
  </r>
  <r>
    <x v="400"/>
    <s v="Zara Verma"/>
    <n v="40"/>
    <x v="0"/>
    <x v="2"/>
    <x v="6"/>
    <x v="323"/>
    <d v="2025-09-27T00:00:00"/>
    <x v="10"/>
    <s v="Dialysis"/>
    <s v="Dr. Eze"/>
    <x v="0"/>
    <s v="Hygeia Hmo"/>
    <n v="141514.93"/>
    <n v="0"/>
    <n v="106589.16"/>
    <n v="1"/>
    <n v="176"/>
    <n v="3.2"/>
    <x v="0"/>
    <s v="Deceased"/>
    <x v="1"/>
    <s v="Mobile Money"/>
    <n v="248104.09"/>
    <s v="Adult"/>
    <s v="Long Wait"/>
  </r>
  <r>
    <x v="401"/>
    <s v="Riya Sharma"/>
    <n v="17"/>
    <x v="1"/>
    <x v="2"/>
    <x v="4"/>
    <x v="324"/>
    <d v="2026-02-20T00:00:00"/>
    <x v="2"/>
    <s v="Medication"/>
    <s v="Dr. Chukwu"/>
    <x v="2"/>
    <s v="Axa Mansard"/>
    <n v="457401.2"/>
    <n v="77432.22"/>
    <n v="49700.81"/>
    <n v="3"/>
    <n v="171"/>
    <n v="3.9"/>
    <x v="1"/>
    <s v="Improved"/>
    <x v="0"/>
    <s v="Mobile Money"/>
    <n v="584534.23"/>
    <s v="Child"/>
    <s v="Long Wait"/>
  </r>
  <r>
    <x v="402"/>
    <s v="Rohan Kumar"/>
    <n v="33"/>
    <x v="0"/>
    <x v="0"/>
    <x v="7"/>
    <x v="7"/>
    <d v="2026-01-07T00:00:00"/>
    <x v="9"/>
    <s v="Physiotherapy"/>
    <s v="Dr. Chukwu"/>
    <x v="2"/>
    <s v="Axa Mansard"/>
    <n v="238469.92"/>
    <n v="18636.310000000001"/>
    <n v="38440.400000000001"/>
    <n v="1"/>
    <n v="88"/>
    <n v="3.6"/>
    <x v="0"/>
    <s v="Improved"/>
    <x v="2"/>
    <s v="Mobile Money"/>
    <n v="295546.63"/>
    <s v="Yound Adult"/>
    <s v="Long Wait"/>
  </r>
  <r>
    <x v="403"/>
    <s v="Zara Kumar"/>
    <n v="19"/>
    <x v="0"/>
    <x v="0"/>
    <x v="4"/>
    <x v="325"/>
    <d v="2024-07-31T00:00:00"/>
    <x v="2"/>
    <s v="Surgery"/>
    <s v="Dr. Chukwu"/>
    <x v="2"/>
    <s v="Hygeia Hmo"/>
    <n v="119617.74"/>
    <n v="0"/>
    <n v="74334.47"/>
    <n v="3"/>
    <n v="0"/>
    <n v="5"/>
    <x v="1"/>
    <s v="Deceased"/>
    <x v="1"/>
    <s v="Card"/>
    <n v="193952.21000000002"/>
    <s v="Yound Adult"/>
    <s v="Excellent"/>
  </r>
  <r>
    <x v="404"/>
    <s v="Meera Shah"/>
    <n v="36"/>
    <x v="1"/>
    <x v="4"/>
    <x v="0"/>
    <x v="326"/>
    <d v="2026-06-10T00:00:00"/>
    <x v="2"/>
    <s v="Counseling"/>
    <s v="Dr. Bello"/>
    <x v="1"/>
    <s v="Mediplus"/>
    <n v="0"/>
    <n v="20967.240000000002"/>
    <n v="43074.48"/>
    <n v="8"/>
    <n v="19"/>
    <n v="3"/>
    <x v="0"/>
    <s v="Deceased"/>
    <x v="0"/>
    <s v="Card"/>
    <n v="64041.72"/>
    <s v="Adult"/>
    <s v="Excellent"/>
  </r>
  <r>
    <x v="405"/>
    <s v="Kavya Kumar"/>
    <n v="57"/>
    <x v="1"/>
    <x v="11"/>
    <x v="3"/>
    <x v="199"/>
    <d v="2024-06-14T00:00:00"/>
    <x v="1"/>
    <s v="Iv Therapy"/>
    <s v="Dr. Chukwu"/>
    <x v="2"/>
    <s v="Self Pay"/>
    <n v="90561.02"/>
    <n v="0"/>
    <n v="35189.480000000003"/>
    <n v="9"/>
    <n v="78"/>
    <n v="4.3"/>
    <x v="1"/>
    <s v="Deceased"/>
    <x v="2"/>
    <s v="Bank Transfer"/>
    <n v="125750.5"/>
    <s v="Adult"/>
    <s v="Long Wait"/>
  </r>
  <r>
    <x v="406"/>
    <s v="Arjun Shah"/>
    <n v="54"/>
    <x v="0"/>
    <x v="11"/>
    <x v="3"/>
    <x v="327"/>
    <d v="2026-01-14T00:00:00"/>
    <x v="2"/>
    <s v="Counseling"/>
    <s v="Dr. Adeyemi"/>
    <x v="2"/>
    <s v="Self Pay"/>
    <n v="490921.57"/>
    <n v="50387.53"/>
    <n v="43557.34"/>
    <n v="2"/>
    <n v="81"/>
    <n v="3.2"/>
    <x v="0"/>
    <s v="Recovered"/>
    <x v="2"/>
    <s v="Card"/>
    <n v="584866.43999999994"/>
    <s v="Adult"/>
    <s v="Long Wait"/>
  </r>
  <r>
    <x v="407"/>
    <s v="Kavya Sharma"/>
    <n v="29"/>
    <x v="0"/>
    <x v="11"/>
    <x v="0"/>
    <x v="328"/>
    <d v="2026-03-07T00:00:00"/>
    <x v="2"/>
    <s v="Medication"/>
    <s v="Dr. Adeyemi"/>
    <x v="2"/>
    <s v="Reliance Hmo"/>
    <n v="226331.18"/>
    <n v="31279.95"/>
    <n v="29946.47"/>
    <n v="7"/>
    <n v="0"/>
    <n v="1.4"/>
    <x v="1"/>
    <s v="Recovered"/>
    <x v="2"/>
    <s v="Mobile Money"/>
    <n v="287557.59999999998"/>
    <s v="Yound Adult"/>
    <s v="Excellent"/>
  </r>
  <r>
    <x v="408"/>
    <s v="Meera Shah"/>
    <n v="54"/>
    <x v="1"/>
    <x v="11"/>
    <x v="8"/>
    <x v="329"/>
    <d v="2025-11-15T00:00:00"/>
    <x v="1"/>
    <s v="Medication"/>
    <s v="Dr. Bello"/>
    <x v="2"/>
    <s v="Reliance Hmo"/>
    <n v="145295.96"/>
    <n v="60520.53"/>
    <n v="18696.79"/>
    <n v="3"/>
    <n v="223"/>
    <n v="1.4"/>
    <x v="0"/>
    <s v="Referred"/>
    <x v="1"/>
    <s v="Card"/>
    <n v="224513.28"/>
    <s v="Adult"/>
    <s v="Long Wait"/>
  </r>
  <r>
    <x v="409"/>
    <s v="Aditya Patel"/>
    <n v="53"/>
    <x v="0"/>
    <x v="9"/>
    <x v="8"/>
    <x v="330"/>
    <d v="2026-06-20T00:00:00"/>
    <x v="2"/>
    <s v="Iv Therapy"/>
    <s v="Dr. Adeyemi"/>
    <x v="2"/>
    <s v="Axa Mansard"/>
    <n v="108622.01"/>
    <n v="40609.85"/>
    <n v="83385.56"/>
    <n v="4"/>
    <n v="0"/>
    <n v="4.4000000000000004"/>
    <x v="0"/>
    <s v="Referred"/>
    <x v="2"/>
    <s v="Card"/>
    <n v="232617.41999999998"/>
    <s v="Adult"/>
    <s v="Excellent"/>
  </r>
  <r>
    <x v="410"/>
    <s v="Isha Joshi"/>
    <n v="21"/>
    <x v="0"/>
    <x v="0"/>
    <x v="0"/>
    <x v="331"/>
    <d v="2026-02-06T00:00:00"/>
    <x v="4"/>
    <s v="Medication"/>
    <s v="Dr. Bello"/>
    <x v="2"/>
    <s v="Mediplus"/>
    <n v="448083.29"/>
    <n v="15455.45"/>
    <n v="9783.6"/>
    <n v="1"/>
    <n v="80"/>
    <n v="5"/>
    <x v="0"/>
    <s v="Improved"/>
    <x v="2"/>
    <s v="Card"/>
    <n v="473322.33999999997"/>
    <s v="Yound Adult"/>
    <s v="Long Wait"/>
  </r>
  <r>
    <x v="411"/>
    <s v="Ananya Rao"/>
    <n v="19"/>
    <x v="0"/>
    <x v="0"/>
    <x v="6"/>
    <x v="156"/>
    <d v="2024-05-18T00:00:00"/>
    <x v="4"/>
    <s v="Surgery"/>
    <s v="Dr. Chukwu"/>
    <x v="0"/>
    <s v="Reliance Hmo"/>
    <n v="429640.44"/>
    <n v="76442.559999999998"/>
    <n v="41897.06"/>
    <n v="1"/>
    <n v="2"/>
    <n v="5"/>
    <x v="1"/>
    <s v="Deceased"/>
    <x v="1"/>
    <s v="Bank Transfer"/>
    <n v="547980.06000000006"/>
    <s v="Yound Adult"/>
    <s v="Excellent"/>
  </r>
  <r>
    <x v="412"/>
    <s v="Arjun Sharma"/>
    <n v="57"/>
    <x v="1"/>
    <x v="4"/>
    <x v="2"/>
    <x v="332"/>
    <d v="2025-10-22T00:00:00"/>
    <x v="7"/>
    <s v="Counseling"/>
    <s v="Dr. Adeyemi"/>
    <x v="2"/>
    <s v="Leadway Health"/>
    <n v="106263.67"/>
    <n v="28774.27"/>
    <n v="40189.199999999997"/>
    <n v="9"/>
    <n v="119"/>
    <n v="5"/>
    <x v="1"/>
    <s v="Recovered"/>
    <x v="1"/>
    <s v="Bank Transfer"/>
    <n v="175227.14"/>
    <s v="Adult"/>
    <s v="Long Wait"/>
  </r>
  <r>
    <x v="413"/>
    <s v="Priya Joshi"/>
    <n v="19"/>
    <x v="0"/>
    <x v="6"/>
    <x v="7"/>
    <x v="310"/>
    <d v="2024-02-17T00:00:00"/>
    <x v="2"/>
    <s v="Counseling"/>
    <s v="Dr. Musa"/>
    <x v="0"/>
    <s v="Avon Hmo"/>
    <n v="412709.5"/>
    <n v="37828.300000000003"/>
    <n v="65611.97"/>
    <n v="5"/>
    <n v="204"/>
    <n v="2.2999999999999998"/>
    <x v="0"/>
    <s v="Recovered"/>
    <x v="0"/>
    <s v="Card"/>
    <n v="516149.77"/>
    <s v="Yound Adult"/>
    <s v="Long Wait"/>
  </r>
  <r>
    <x v="414"/>
    <s v="Zara Patel"/>
    <n v="31"/>
    <x v="0"/>
    <x v="0"/>
    <x v="8"/>
    <x v="329"/>
    <d v="2025-11-15T00:00:00"/>
    <x v="1"/>
    <s v="Antibiotics"/>
    <s v="Dr. Ibrahim"/>
    <x v="2"/>
    <s v="Leadway Health"/>
    <n v="499.68"/>
    <n v="38667.75"/>
    <n v="120346.7"/>
    <n v="3"/>
    <n v="0"/>
    <n v="3.7"/>
    <x v="0"/>
    <s v="Recovered"/>
    <x v="0"/>
    <s v="Bank Transfer"/>
    <n v="159514.13"/>
    <s v="Yound Adult"/>
    <s v="Excellent"/>
  </r>
  <r>
    <x v="415"/>
    <s v="Aisha Joshi"/>
    <n v="45"/>
    <x v="0"/>
    <x v="0"/>
    <x v="7"/>
    <x v="333"/>
    <d v="2025-01-16T00:00:00"/>
    <x v="2"/>
    <s v="Medication"/>
    <s v="Dr. Ibrahim"/>
    <x v="1"/>
    <s v="Self Pay"/>
    <n v="204162.07"/>
    <n v="0"/>
    <n v="51983.6"/>
    <n v="4"/>
    <n v="38"/>
    <n v="0.9"/>
    <x v="0"/>
    <s v="Improved"/>
    <x v="1"/>
    <s v="Bank Transfer"/>
    <n v="256145.67"/>
    <s v="Adult"/>
    <s v="Acceptable"/>
  </r>
  <r>
    <x v="416"/>
    <s v="Aditya Gupta"/>
    <n v="64"/>
    <x v="0"/>
    <x v="0"/>
    <x v="1"/>
    <x v="334"/>
    <d v="2024-03-31T00:00:00"/>
    <x v="5"/>
    <s v="Surgery"/>
    <s v="Dr. Balogun"/>
    <x v="2"/>
    <s v="Self Pay"/>
    <n v="227232.54"/>
    <n v="35726.870000000003"/>
    <n v="77229.539999999994"/>
    <n v="7"/>
    <n v="111"/>
    <n v="4.9000000000000004"/>
    <x v="1"/>
    <s v="Referred"/>
    <x v="1"/>
    <s v="Bank Transfer"/>
    <n v="340188.95"/>
    <s v="Senior"/>
    <s v="Long Wait"/>
  </r>
  <r>
    <x v="417"/>
    <s v="Aarav Singh"/>
    <n v="71"/>
    <x v="1"/>
    <x v="7"/>
    <x v="1"/>
    <x v="131"/>
    <d v="2026-07-08T00:00:00"/>
    <x v="11"/>
    <s v="Observation"/>
    <s v="Dr. Ibrahim"/>
    <x v="0"/>
    <s v="Avon Hmo"/>
    <n v="264910"/>
    <n v="34851.300000000003"/>
    <n v="6898.17"/>
    <n v="2"/>
    <n v="116"/>
    <n v="2.6"/>
    <x v="1"/>
    <s v="Improved"/>
    <x v="2"/>
    <s v="Card"/>
    <n v="306659.46999999997"/>
    <s v="Senior"/>
    <s v="Long Wait"/>
  </r>
  <r>
    <x v="418"/>
    <s v="Maya Rao"/>
    <n v="14"/>
    <x v="1"/>
    <x v="0"/>
    <x v="4"/>
    <x v="335"/>
    <d v="2026-02-02T00:00:00"/>
    <x v="11"/>
    <s v="Observation"/>
    <s v="Dr. Eze"/>
    <x v="1"/>
    <s v="Avon Hmo"/>
    <n v="122602.72"/>
    <n v="7046.83"/>
    <n v="82187.520000000004"/>
    <n v="3"/>
    <n v="65"/>
    <n v="5"/>
    <x v="1"/>
    <s v="Improved"/>
    <x v="2"/>
    <s v="Bank Transfer"/>
    <n v="211837.07"/>
    <s v="Child"/>
    <s v="Long Wait"/>
  </r>
  <r>
    <x v="419"/>
    <s v="Zara Nair"/>
    <n v="92"/>
    <x v="1"/>
    <x v="0"/>
    <x v="2"/>
    <x v="336"/>
    <d v="2024-11-20T00:00:00"/>
    <x v="1"/>
    <s v="Wound Care"/>
    <s v="Dr. Adebayo"/>
    <x v="0"/>
    <s v="Self Pay"/>
    <n v="12877.81"/>
    <n v="61480.83"/>
    <n v="79393.23"/>
    <n v="4"/>
    <n v="21"/>
    <n v="5"/>
    <x v="1"/>
    <s v="Improved"/>
    <x v="0"/>
    <s v="Bank Transfer"/>
    <n v="153751.87"/>
    <s v="Senior"/>
    <s v="Excellent"/>
  </r>
  <r>
    <x v="420"/>
    <s v="Arjun Gupta"/>
    <n v="37"/>
    <x v="1"/>
    <x v="1"/>
    <x v="1"/>
    <x v="226"/>
    <d v="2024-05-31T00:00:00"/>
    <x v="1"/>
    <s v="Physiotherapy"/>
    <s v="Dr. Musa"/>
    <x v="2"/>
    <s v="Hygeia Hmo"/>
    <n v="104649.03"/>
    <n v="12022.26"/>
    <n v="106494.36"/>
    <n v="3"/>
    <n v="95"/>
    <n v="4.7"/>
    <x v="1"/>
    <s v="Recovered"/>
    <x v="0"/>
    <s v="Insurance"/>
    <n v="223165.65"/>
    <s v="Adult"/>
    <s v="Long Wait"/>
  </r>
  <r>
    <x v="421"/>
    <s v="Riya Shah"/>
    <n v="51"/>
    <x v="1"/>
    <x v="3"/>
    <x v="3"/>
    <x v="52"/>
    <d v="2025-07-17T00:00:00"/>
    <x v="9"/>
    <s v="Antibiotics"/>
    <s v="Dr. Bello"/>
    <x v="1"/>
    <s v="Self Pay"/>
    <n v="316999.81"/>
    <n v="48365.94"/>
    <n v="15425.89"/>
    <n v="2"/>
    <n v="73"/>
    <n v="5"/>
    <x v="1"/>
    <s v="Recovered"/>
    <x v="2"/>
    <s v="Mobile Money"/>
    <n v="380791.64"/>
    <s v="Adult"/>
    <s v="Long Wait"/>
  </r>
  <r>
    <x v="422"/>
    <s v="Aisha Nair"/>
    <n v="59"/>
    <x v="1"/>
    <x v="0"/>
    <x v="3"/>
    <x v="337"/>
    <d v="2026-03-16T00:00:00"/>
    <x v="3"/>
    <s v="Wound Care"/>
    <s v="Dr. Okafor"/>
    <x v="1"/>
    <s v="Nhia"/>
    <n v="4007.79"/>
    <n v="14181.12"/>
    <n v="62893.23"/>
    <n v="1"/>
    <n v="47"/>
    <n v="3.4"/>
    <x v="1"/>
    <s v="Referred"/>
    <x v="1"/>
    <s v="Card"/>
    <n v="81082.14"/>
    <s v="Adult"/>
    <s v="Acceptable"/>
  </r>
  <r>
    <x v="423"/>
    <s v="Meera Gupta"/>
    <n v="52"/>
    <x v="0"/>
    <x v="0"/>
    <x v="1"/>
    <x v="338"/>
    <d v="2024-05-06T00:00:00"/>
    <x v="4"/>
    <s v="Surgery"/>
    <s v="Dr. Musa"/>
    <x v="0"/>
    <s v="Mediplus"/>
    <n v="257354.58"/>
    <n v="21521.94"/>
    <n v="56101.83"/>
    <n v="5"/>
    <n v="85"/>
    <n v="4.3"/>
    <x v="1"/>
    <s v="Referred"/>
    <x v="2"/>
    <s v="Card"/>
    <n v="334978.34999999998"/>
    <s v="Adult"/>
    <s v="Long Wait"/>
  </r>
  <r>
    <x v="424"/>
    <s v="Isha Gupta"/>
    <n v="38"/>
    <x v="1"/>
    <x v="0"/>
    <x v="5"/>
    <x v="339"/>
    <d v="2024-05-06T00:00:00"/>
    <x v="2"/>
    <s v="Wound Care"/>
    <s v="Dr. Musa"/>
    <x v="0"/>
    <s v="Mediplus"/>
    <n v="81405.91"/>
    <n v="29124.81"/>
    <n v="20669.97"/>
    <n v="2"/>
    <n v="11"/>
    <n v="4"/>
    <x v="1"/>
    <s v="Improved"/>
    <x v="0"/>
    <s v="Card"/>
    <n v="131200.69"/>
    <s v="Adult"/>
    <s v="Excellent"/>
  </r>
  <r>
    <x v="425"/>
    <s v="Riya Kapoor"/>
    <n v="60"/>
    <x v="1"/>
    <x v="0"/>
    <x v="5"/>
    <x v="266"/>
    <d v="2026-03-28T00:00:00"/>
    <x v="2"/>
    <s v="Counseling"/>
    <s v="Dr. Adebayo"/>
    <x v="0"/>
    <s v="Axa Mansard"/>
    <n v="159642.42000000001"/>
    <n v="40201.32"/>
    <n v="61523.93"/>
    <n v="3"/>
    <n v="128"/>
    <n v="2.6"/>
    <x v="1"/>
    <s v="Improved"/>
    <x v="2"/>
    <s v="Card"/>
    <n v="261367.67"/>
    <s v="Senior"/>
    <s v="Long Wait"/>
  </r>
  <r>
    <x v="426"/>
    <s v="Kabir Patel"/>
    <n v="51"/>
    <x v="0"/>
    <x v="9"/>
    <x v="5"/>
    <x v="340"/>
    <d v="2025-11-08T00:00:00"/>
    <x v="3"/>
    <s v="Medication"/>
    <s v="Dr. Adebayo"/>
    <x v="1"/>
    <s v="Nhia"/>
    <n v="221004.99"/>
    <n v="0"/>
    <n v="49814.69"/>
    <n v="3"/>
    <n v="260"/>
    <n v="3.2"/>
    <x v="1"/>
    <s v="Recovered"/>
    <x v="0"/>
    <s v="Mobile Money"/>
    <n v="270819.68"/>
    <s v="Adult"/>
    <s v="Long Wait"/>
  </r>
  <r>
    <x v="427"/>
    <s v="Rohan Nair"/>
    <n v="51"/>
    <x v="1"/>
    <x v="10"/>
    <x v="7"/>
    <x v="217"/>
    <d v="2025-06-03T00:00:00"/>
    <x v="3"/>
    <s v="Counseling"/>
    <s v="Dr. Okafor"/>
    <x v="1"/>
    <s v="Reliance Hmo"/>
    <n v="263732.95"/>
    <n v="59818.38"/>
    <n v="7263.96"/>
    <n v="1"/>
    <n v="149"/>
    <n v="4.5"/>
    <x v="1"/>
    <s v="Recovered"/>
    <x v="2"/>
    <s v="Mobile Money"/>
    <n v="330815.29000000004"/>
    <s v="Adult"/>
    <s v="Long Wait"/>
  </r>
  <r>
    <x v="428"/>
    <s v="Ananya Joshi"/>
    <n v="44"/>
    <x v="1"/>
    <x v="9"/>
    <x v="3"/>
    <x v="134"/>
    <d v="2024-09-26T00:00:00"/>
    <x v="1"/>
    <s v="Surgery"/>
    <s v="Dr. Eze"/>
    <x v="0"/>
    <s v="Self Pay"/>
    <n v="198965.98"/>
    <n v="59792.69"/>
    <n v="42488.46"/>
    <n v="3"/>
    <n v="11"/>
    <n v="3.2"/>
    <x v="1"/>
    <s v="Referred"/>
    <x v="1"/>
    <s v="Card"/>
    <n v="301247.13"/>
    <s v="Adult"/>
    <s v="Excellent"/>
  </r>
  <r>
    <x v="429"/>
    <s v="Riya Patel"/>
    <n v="70"/>
    <x v="1"/>
    <x v="0"/>
    <x v="3"/>
    <x v="341"/>
    <d v="2026-04-23T00:00:00"/>
    <x v="8"/>
    <s v="Antibiotics"/>
    <s v="Dr. Okafor"/>
    <x v="1"/>
    <s v="Self Pay"/>
    <n v="304433.26"/>
    <n v="8736.6200000000008"/>
    <n v="119555.7"/>
    <n v="3"/>
    <n v="114"/>
    <n v="5"/>
    <x v="0"/>
    <s v="Deceased"/>
    <x v="2"/>
    <s v="Insurance"/>
    <n v="432725.58"/>
    <s v="Senior"/>
    <s v="Long Wait"/>
  </r>
  <r>
    <x v="430"/>
    <s v="Sneha Kapoor"/>
    <n v="54"/>
    <x v="0"/>
    <x v="11"/>
    <x v="6"/>
    <x v="119"/>
    <d v="2026-07-22T00:00:00"/>
    <x v="11"/>
    <s v="Iv Therapy"/>
    <s v="Dr. Okafor"/>
    <x v="1"/>
    <s v="Self Pay"/>
    <n v="337525.59"/>
    <n v="60454.87"/>
    <n v="76721.05"/>
    <n v="2"/>
    <n v="160"/>
    <n v="3.3"/>
    <x v="1"/>
    <s v="Deceased"/>
    <x v="2"/>
    <s v="Card"/>
    <n v="474701.51"/>
    <s v="Adult"/>
    <s v="Long Wait"/>
  </r>
  <r>
    <x v="431"/>
    <s v="Riya Reddy"/>
    <n v="50"/>
    <x v="1"/>
    <x v="11"/>
    <x v="8"/>
    <x v="342"/>
    <d v="2024-12-25T00:00:00"/>
    <x v="5"/>
    <s v="Iv Therapy"/>
    <s v="Dr. Okafor"/>
    <x v="0"/>
    <s v="Nhia"/>
    <n v="350637.93"/>
    <n v="24431.98"/>
    <n v="76955.16"/>
    <n v="2"/>
    <n v="203"/>
    <n v="2.5"/>
    <x v="1"/>
    <s v="Deceased"/>
    <x v="0"/>
    <s v="Bank Transfer"/>
    <n v="452025.06999999995"/>
    <s v="Adult"/>
    <s v="Long Wait"/>
  </r>
  <r>
    <x v="432"/>
    <s v="Neha Singh"/>
    <n v="39"/>
    <x v="1"/>
    <x v="8"/>
    <x v="6"/>
    <x v="15"/>
    <d v="2024-01-11T00:00:00"/>
    <x v="2"/>
    <s v="Wound Care"/>
    <s v="Dr. Adeyemi"/>
    <x v="2"/>
    <s v="Axa Mansard"/>
    <n v="263065.77"/>
    <n v="16885.82"/>
    <n v="85566.080000000002"/>
    <n v="1"/>
    <n v="126"/>
    <n v="3.8"/>
    <x v="1"/>
    <s v="Improved"/>
    <x v="1"/>
    <s v="Card"/>
    <n v="365517.67000000004"/>
    <s v="Adult"/>
    <s v="Long Wait"/>
  </r>
  <r>
    <x v="433"/>
    <s v="Aditya Patel"/>
    <n v="14"/>
    <x v="1"/>
    <x v="8"/>
    <x v="0"/>
    <x v="343"/>
    <d v="2026-09-03T00:00:00"/>
    <x v="11"/>
    <s v="Iv Therapy"/>
    <s v="Dr. Okafor"/>
    <x v="2"/>
    <s v="Leadway Health"/>
    <n v="259341.3"/>
    <n v="0"/>
    <n v="75379.12"/>
    <n v="1"/>
    <n v="83"/>
    <n v="5"/>
    <x v="1"/>
    <s v="Improved"/>
    <x v="0"/>
    <s v="Card"/>
    <n v="334720.42"/>
    <s v="Child"/>
    <s v="Long Wait"/>
  </r>
  <r>
    <x v="434"/>
    <s v="Riya Kapoor"/>
    <n v="39"/>
    <x v="1"/>
    <x v="8"/>
    <x v="4"/>
    <x v="344"/>
    <d v="2026-02-15T00:00:00"/>
    <x v="2"/>
    <s v="Counseling"/>
    <s v="Dr. Okafor"/>
    <x v="0"/>
    <s v="Self Pay"/>
    <n v="205112.82"/>
    <n v="54889.54"/>
    <n v="96095.18"/>
    <n v="15"/>
    <n v="0"/>
    <n v="1.4"/>
    <x v="1"/>
    <s v="Improved"/>
    <x v="0"/>
    <s v="Card"/>
    <n v="356097.54000000004"/>
    <s v="Adult"/>
    <s v="Excellent"/>
  </r>
  <r>
    <x v="435"/>
    <s v="Priya Das"/>
    <n v="55"/>
    <x v="0"/>
    <x v="10"/>
    <x v="5"/>
    <x v="345"/>
    <d v="2024-01-10T00:00:00"/>
    <x v="2"/>
    <s v="Medication"/>
    <s v="Dr. Musa"/>
    <x v="1"/>
    <s v="Self Pay"/>
    <n v="289562.3"/>
    <n v="56744.29"/>
    <n v="9009.07"/>
    <n v="2"/>
    <n v="0"/>
    <n v="4.8"/>
    <x v="0"/>
    <s v="Referred"/>
    <x v="1"/>
    <s v="Bank Transfer"/>
    <n v="355315.66"/>
    <s v="Adult"/>
    <s v="Excellent"/>
  </r>
  <r>
    <x v="436"/>
    <s v="Ishaan Sharma"/>
    <n v="0"/>
    <x v="0"/>
    <x v="7"/>
    <x v="0"/>
    <x v="235"/>
    <d v="2024-06-24T00:00:00"/>
    <x v="11"/>
    <s v="Medication"/>
    <s v="Dr. Adebayo"/>
    <x v="1"/>
    <s v="Leadway Health"/>
    <n v="240308.92"/>
    <n v="49829.39"/>
    <n v="41338.29"/>
    <n v="1"/>
    <n v="60"/>
    <n v="3.5"/>
    <x v="0"/>
    <s v="Recovered"/>
    <x v="1"/>
    <s v="Insurance"/>
    <n v="331476.59999999998"/>
    <s v="Child"/>
    <s v="Long Wait"/>
  </r>
  <r>
    <x v="437"/>
    <s v="Aarav Mehta"/>
    <n v="13"/>
    <x v="1"/>
    <x v="4"/>
    <x v="8"/>
    <x v="346"/>
    <d v="2026-08-15T00:00:00"/>
    <x v="11"/>
    <s v="Medication"/>
    <s v="Dr. Yusuf"/>
    <x v="1"/>
    <s v="Self Pay"/>
    <n v="119944.71"/>
    <n v="43032"/>
    <n v="54650.36"/>
    <n v="2"/>
    <n v="107"/>
    <n v="2.4"/>
    <x v="0"/>
    <s v="Improved"/>
    <x v="2"/>
    <s v="Bank Transfer"/>
    <n v="217627.07"/>
    <s v="Child"/>
    <s v="Long Wait"/>
  </r>
  <r>
    <x v="438"/>
    <s v="Kavya Shah"/>
    <n v="0"/>
    <x v="0"/>
    <x v="4"/>
    <x v="7"/>
    <x v="347"/>
    <d v="2025-05-20T00:00:00"/>
    <x v="11"/>
    <s v="Medication"/>
    <s v="Dr. Bello"/>
    <x v="1"/>
    <s v="Leadway Health"/>
    <n v="244986.73"/>
    <n v="65721.440000000002"/>
    <n v="776.04"/>
    <n v="2"/>
    <n v="51"/>
    <n v="4.0999999999999996"/>
    <x v="1"/>
    <s v="Recovered"/>
    <x v="0"/>
    <s v="Insurance"/>
    <n v="311484.21000000002"/>
    <s v="Child"/>
    <s v="Acceptable"/>
  </r>
  <r>
    <x v="439"/>
    <s v="Rohan Kumar"/>
    <n v="4"/>
    <x v="0"/>
    <x v="11"/>
    <x v="0"/>
    <x v="115"/>
    <d v="2024-10-15T00:00:00"/>
    <x v="11"/>
    <s v="Medication"/>
    <s v="Dr. Yusuf"/>
    <x v="1"/>
    <s v="Reliance Hmo"/>
    <n v="286015.93"/>
    <n v="0"/>
    <n v="8146.69"/>
    <n v="1"/>
    <n v="0"/>
    <n v="3.6"/>
    <x v="1"/>
    <s v="Improved"/>
    <x v="0"/>
    <s v="Mobile Money"/>
    <n v="294162.62"/>
    <s v="Child"/>
    <s v="Excellent"/>
  </r>
  <r>
    <x v="440"/>
    <s v="Isha Verma"/>
    <n v="35"/>
    <x v="1"/>
    <x v="0"/>
    <x v="8"/>
    <x v="348"/>
    <d v="2024-05-31T00:00:00"/>
    <x v="6"/>
    <s v="Surgery"/>
    <s v="Dr. Yusuf"/>
    <x v="1"/>
    <s v="Self Pay"/>
    <n v="74039.12"/>
    <n v="694.16"/>
    <n v="58931.1"/>
    <n v="2"/>
    <n v="53"/>
    <n v="4.0999999999999996"/>
    <x v="0"/>
    <s v="Recovered"/>
    <x v="1"/>
    <s v="Mobile Money"/>
    <n v="133664.38"/>
    <s v="Yound Adult"/>
    <s v="Acceptable"/>
  </r>
  <r>
    <x v="441"/>
    <s v="Diya Verma"/>
    <n v="46"/>
    <x v="1"/>
    <x v="10"/>
    <x v="0"/>
    <x v="349"/>
    <d v="2025-01-08T00:00:00"/>
    <x v="2"/>
    <s v="Observation"/>
    <s v="Dr. Yusuf"/>
    <x v="1"/>
    <s v="Hygeia Hmo"/>
    <n v="402458.93"/>
    <n v="44654.15"/>
    <n v="32627.59"/>
    <n v="1"/>
    <n v="114"/>
    <n v="3.4"/>
    <x v="1"/>
    <s v="Recovered"/>
    <x v="1"/>
    <s v="Bank Transfer"/>
    <n v="479740.67000000004"/>
    <s v="Adult"/>
    <s v="Long Wait"/>
  </r>
  <r>
    <x v="442"/>
    <s v="Priya Kapoor"/>
    <n v="35"/>
    <x v="0"/>
    <x v="3"/>
    <x v="2"/>
    <x v="347"/>
    <d v="2025-05-21T00:00:00"/>
    <x v="5"/>
    <s v="Surgery"/>
    <s v="Dr. Okafor"/>
    <x v="1"/>
    <s v="Leadway Health"/>
    <n v="196993.07"/>
    <n v="35302.33"/>
    <n v="15199.24"/>
    <n v="3"/>
    <n v="18"/>
    <n v="1.9"/>
    <x v="1"/>
    <s v="Referred"/>
    <x v="0"/>
    <s v="Bank Transfer"/>
    <n v="247494.64"/>
    <s v="Yound Adult"/>
    <s v="Excellent"/>
  </r>
  <r>
    <x v="443"/>
    <s v="Aditya Reddy"/>
    <n v="16"/>
    <x v="1"/>
    <x v="4"/>
    <x v="4"/>
    <x v="350"/>
    <d v="2024-08-04T00:00:00"/>
    <x v="8"/>
    <s v="Medication"/>
    <s v="Dr. Adeyemi"/>
    <x v="0"/>
    <s v="Leadway Health"/>
    <n v="242324.75"/>
    <n v="7680.31"/>
    <n v="60408.43"/>
    <n v="1"/>
    <n v="97"/>
    <n v="1.1000000000000001"/>
    <x v="0"/>
    <s v="Deceased"/>
    <x v="1"/>
    <s v="Bank Transfer"/>
    <n v="310413.49"/>
    <s v="Child"/>
    <s v="Long Wait"/>
  </r>
  <r>
    <x v="444"/>
    <s v="Arjun Rao"/>
    <n v="60"/>
    <x v="1"/>
    <x v="2"/>
    <x v="6"/>
    <x v="351"/>
    <d v="2025-07-04T00:00:00"/>
    <x v="6"/>
    <s v="Counseling"/>
    <s v="Dr. Adebayo"/>
    <x v="0"/>
    <s v="Avon Hmo"/>
    <n v="80859.23"/>
    <n v="40504.79"/>
    <n v="19305.05"/>
    <n v="4"/>
    <n v="102"/>
    <n v="2.1"/>
    <x v="0"/>
    <s v="Improved"/>
    <x v="0"/>
    <s v="Bank Transfer"/>
    <n v="140669.06999999998"/>
    <s v="Senior"/>
    <s v="Long Wait"/>
  </r>
  <r>
    <x v="445"/>
    <s v="Riya Das"/>
    <n v="34"/>
    <x v="1"/>
    <x v="9"/>
    <x v="8"/>
    <x v="352"/>
    <d v="2026-03-21T00:00:00"/>
    <x v="0"/>
    <s v="Surgery"/>
    <s v="Dr. Bello"/>
    <x v="2"/>
    <s v="Axa Mansard"/>
    <n v="202677.95"/>
    <n v="20058.009999999998"/>
    <n v="9479.08"/>
    <n v="1"/>
    <n v="65"/>
    <n v="4.0999999999999996"/>
    <x v="1"/>
    <s v="Recovered"/>
    <x v="1"/>
    <s v="Card"/>
    <n v="232215.04000000001"/>
    <s v="Yound Adult"/>
    <s v="Long Wait"/>
  </r>
  <r>
    <x v="446"/>
    <s v="Sneha Kapoor"/>
    <n v="47"/>
    <x v="0"/>
    <x v="0"/>
    <x v="8"/>
    <x v="353"/>
    <d v="2025-08-01T00:00:00"/>
    <x v="0"/>
    <s v="Observation"/>
    <s v="Dr. Bello"/>
    <x v="1"/>
    <s v="Hygeia Hmo"/>
    <n v="126183.87"/>
    <n v="59292.95"/>
    <n v="9714.7999999999993"/>
    <n v="3"/>
    <n v="131"/>
    <n v="5"/>
    <x v="1"/>
    <s v="Deceased"/>
    <x v="1"/>
    <s v="Card"/>
    <n v="195191.62"/>
    <s v="Adult"/>
    <s v="Long Wait"/>
  </r>
  <r>
    <x v="447"/>
    <s v="Vivaan Joshi"/>
    <n v="38"/>
    <x v="0"/>
    <x v="9"/>
    <x v="5"/>
    <x v="354"/>
    <d v="2024-10-05T00:00:00"/>
    <x v="1"/>
    <s v="Chemotherapy"/>
    <s v="Dr. Ibrahim"/>
    <x v="2"/>
    <s v="Axa Mansard"/>
    <n v="146038.41"/>
    <n v="55902.19"/>
    <n v="2310.75"/>
    <n v="4"/>
    <n v="22"/>
    <n v="3.2"/>
    <x v="0"/>
    <s v="Referred"/>
    <x v="2"/>
    <s v="Bank Transfer"/>
    <n v="204251.35"/>
    <s v="Adult"/>
    <s v="Excellent"/>
  </r>
  <r>
    <x v="448"/>
    <s v="Aarav Das"/>
    <n v="51"/>
    <x v="0"/>
    <x v="10"/>
    <x v="0"/>
    <x v="355"/>
    <d v="2025-11-02T00:00:00"/>
    <x v="7"/>
    <s v="Surgery"/>
    <s v="Dr. Adebayo"/>
    <x v="2"/>
    <s v="Self Pay"/>
    <n v="84473.59"/>
    <n v="22242.31"/>
    <n v="26570.31"/>
    <n v="7"/>
    <n v="41"/>
    <n v="5"/>
    <x v="0"/>
    <s v="Referred"/>
    <x v="2"/>
    <s v="Bank Transfer"/>
    <n v="133286.21"/>
    <s v="Adult"/>
    <s v="Acceptable"/>
  </r>
  <r>
    <x v="449"/>
    <s v="Kabir Joshi"/>
    <n v="53"/>
    <x v="0"/>
    <x v="10"/>
    <x v="6"/>
    <x v="220"/>
    <d v="2024-08-27T00:00:00"/>
    <x v="0"/>
    <s v="Surgery"/>
    <s v="Dr. Chukwu"/>
    <x v="0"/>
    <s v="Mediplus"/>
    <n v="401448.83"/>
    <n v="2321.08"/>
    <n v="34034.82"/>
    <n v="2"/>
    <n v="83"/>
    <n v="1.9"/>
    <x v="0"/>
    <s v="Referred"/>
    <x v="1"/>
    <s v="Mobile Money"/>
    <n v="437804.73000000004"/>
    <s v="Adult"/>
    <s v="Long Wait"/>
  </r>
  <r>
    <x v="450"/>
    <s v="Arjun Shah"/>
    <n v="27"/>
    <x v="0"/>
    <x v="4"/>
    <x v="6"/>
    <x v="356"/>
    <d v="2025-12-08T00:00:00"/>
    <x v="7"/>
    <s v="Counseling"/>
    <s v="Dr. Ibrahim"/>
    <x v="1"/>
    <s v="Self Pay"/>
    <n v="192645.35"/>
    <n v="18701.27"/>
    <n v="21319.84"/>
    <n v="4"/>
    <n v="94"/>
    <n v="3.4"/>
    <x v="0"/>
    <s v="Improved"/>
    <x v="0"/>
    <s v="Cash"/>
    <n v="232666.46"/>
    <s v="Yound Adult"/>
    <s v="Long Wait"/>
  </r>
  <r>
    <x v="451"/>
    <s v="Aisha Das"/>
    <n v="26"/>
    <x v="1"/>
    <x v="8"/>
    <x v="5"/>
    <x v="357"/>
    <d v="2026-08-17T00:00:00"/>
    <x v="7"/>
    <s v="Iv Therapy"/>
    <s v="Dr. Bello"/>
    <x v="1"/>
    <s v="Self Pay"/>
    <n v="264733.45"/>
    <n v="71340.429999999993"/>
    <n v="49196.62"/>
    <n v="2"/>
    <n v="169"/>
    <n v="1.9"/>
    <x v="0"/>
    <s v="Recovered"/>
    <x v="2"/>
    <s v="Cash"/>
    <n v="385270.5"/>
    <s v="Yound Adult"/>
    <s v="Long Wait"/>
  </r>
  <r>
    <x v="452"/>
    <s v="Arjun Reddy"/>
    <n v="18"/>
    <x v="1"/>
    <x v="5"/>
    <x v="0"/>
    <x v="295"/>
    <d v="2025-04-02T00:00:00"/>
    <x v="7"/>
    <s v="Physiotherapy"/>
    <s v="Dr. Ibrahim"/>
    <x v="1"/>
    <s v="Axa Mansard"/>
    <n v="13230.51"/>
    <n v="11515.71"/>
    <n v="80756.98"/>
    <n v="3"/>
    <n v="166"/>
    <n v="4"/>
    <x v="0"/>
    <s v="Recovered"/>
    <x v="2"/>
    <s v="Cash"/>
    <n v="105503.2"/>
    <s v="Yound Adult"/>
    <s v="Long Wait"/>
  </r>
  <r>
    <x v="453"/>
    <s v="Kabir Patel"/>
    <n v="38"/>
    <x v="0"/>
    <x v="0"/>
    <x v="5"/>
    <x v="358"/>
    <d v="2026-07-24T00:00:00"/>
    <x v="2"/>
    <s v="Counseling"/>
    <s v="Dr. Bello"/>
    <x v="2"/>
    <s v="Self Pay"/>
    <n v="262238"/>
    <n v="34388.410000000003"/>
    <n v="0"/>
    <n v="1"/>
    <n v="28"/>
    <n v="3.6"/>
    <x v="1"/>
    <s v="Deceased"/>
    <x v="2"/>
    <s v="Card"/>
    <n v="296626.41000000003"/>
    <s v="Adult"/>
    <s v="Excellent"/>
  </r>
  <r>
    <x v="454"/>
    <s v="Neha Kapoor"/>
    <n v="1"/>
    <x v="0"/>
    <x v="11"/>
    <x v="4"/>
    <x v="158"/>
    <d v="2025-11-09T00:00:00"/>
    <x v="7"/>
    <s v="Iv Therapy"/>
    <s v="Dr. Okafor"/>
    <x v="0"/>
    <s v="Hygeia Hmo"/>
    <n v="164972.60999999999"/>
    <n v="55040.800000000003"/>
    <n v="86803.64"/>
    <n v="1"/>
    <n v="148"/>
    <n v="4.3"/>
    <x v="1"/>
    <s v="Referred"/>
    <x v="0"/>
    <s v="Bank Transfer"/>
    <n v="306817.05"/>
    <s v="Child"/>
    <s v="Long Wait"/>
  </r>
  <r>
    <x v="455"/>
    <s v="Isha Nair"/>
    <n v="30"/>
    <x v="1"/>
    <x v="8"/>
    <x v="4"/>
    <x v="212"/>
    <d v="2025-03-17T00:00:00"/>
    <x v="9"/>
    <s v="Physiotherapy"/>
    <s v="Dr. Bello"/>
    <x v="0"/>
    <s v="Self Pay"/>
    <n v="201791.56"/>
    <n v="71726.740000000005"/>
    <n v="16723.259999999998"/>
    <n v="4"/>
    <n v="216"/>
    <n v="3.3"/>
    <x v="1"/>
    <s v="Improved"/>
    <x v="0"/>
    <s v="Card"/>
    <n v="290241.56"/>
    <s v="Yound Adult"/>
    <s v="Long Wait"/>
  </r>
  <r>
    <x v="456"/>
    <s v="Isha Reddy"/>
    <n v="12"/>
    <x v="0"/>
    <x v="0"/>
    <x v="7"/>
    <x v="359"/>
    <d v="2024-09-15T00:00:00"/>
    <x v="9"/>
    <s v="Chemotherapy"/>
    <s v="Dr. Adebayo"/>
    <x v="1"/>
    <s v="Axa Mansard"/>
    <n v="302026.59000000003"/>
    <n v="11580.75"/>
    <n v="2541.98"/>
    <n v="7"/>
    <n v="111"/>
    <n v="5"/>
    <x v="1"/>
    <s v="Deceased"/>
    <x v="0"/>
    <s v="Card"/>
    <n v="316149.32"/>
    <s v="Child"/>
    <s v="Long Wait"/>
  </r>
  <r>
    <x v="457"/>
    <s v="Diya Verma"/>
    <n v="10"/>
    <x v="0"/>
    <x v="0"/>
    <x v="5"/>
    <x v="265"/>
    <d v="2024-08-29T00:00:00"/>
    <x v="2"/>
    <s v="Antibiotics"/>
    <s v="Dr. Adebayo"/>
    <x v="1"/>
    <s v="Hygeia Hmo"/>
    <n v="207141.73"/>
    <n v="27814.12"/>
    <n v="61449.59"/>
    <n v="1"/>
    <n v="166"/>
    <n v="3.6"/>
    <x v="1"/>
    <s v="Recovered"/>
    <x v="0"/>
    <s v="Bank Transfer"/>
    <n v="296405.44"/>
    <s v="Child"/>
    <s v="Long Wait"/>
  </r>
  <r>
    <x v="458"/>
    <s v="Sneha Kapoor"/>
    <n v="17"/>
    <x v="0"/>
    <x v="8"/>
    <x v="4"/>
    <x v="360"/>
    <d v="2024-06-03T00:00:00"/>
    <x v="11"/>
    <s v="Surgery"/>
    <s v="Dr. Okafor"/>
    <x v="0"/>
    <s v="Self Pay"/>
    <n v="244115.61"/>
    <n v="46788.28"/>
    <n v="90840.94"/>
    <n v="4"/>
    <n v="161"/>
    <n v="4.7"/>
    <x v="0"/>
    <s v="Referred"/>
    <x v="0"/>
    <s v="Bank Transfer"/>
    <n v="381744.83"/>
    <s v="Child"/>
    <s v="Long Wait"/>
  </r>
  <r>
    <x v="459"/>
    <s v="Isha Joshi"/>
    <n v="51"/>
    <x v="1"/>
    <x v="5"/>
    <x v="4"/>
    <x v="49"/>
    <d v="2025-10-25T00:00:00"/>
    <x v="8"/>
    <s v="Medication"/>
    <s v="Dr. Okafor"/>
    <x v="1"/>
    <s v="Self Pay"/>
    <n v="394930.69"/>
    <n v="0"/>
    <n v="34516.82"/>
    <n v="3"/>
    <n v="37"/>
    <n v="4.2"/>
    <x v="1"/>
    <s v="Referred"/>
    <x v="0"/>
    <s v="Cash"/>
    <n v="429447.51"/>
    <s v="Adult"/>
    <s v="Acceptable"/>
  </r>
  <r>
    <x v="460"/>
    <s v="Meera Singh"/>
    <n v="29"/>
    <x v="1"/>
    <x v="1"/>
    <x v="3"/>
    <x v="182"/>
    <d v="2025-08-15T00:00:00"/>
    <x v="3"/>
    <s v="Iv Therapy"/>
    <s v="Dr. Adeyemi"/>
    <x v="0"/>
    <s v="Self Pay"/>
    <n v="0"/>
    <n v="19694.48"/>
    <n v="72404.210000000006"/>
    <n v="7"/>
    <n v="135"/>
    <n v="4.3"/>
    <x v="1"/>
    <s v="Deceased"/>
    <x v="0"/>
    <s v="Cash"/>
    <n v="92098.69"/>
    <s v="Yound Adult"/>
    <s v="Long Wait"/>
  </r>
  <r>
    <x v="461"/>
    <s v="Arjun Patel"/>
    <n v="14"/>
    <x v="1"/>
    <x v="1"/>
    <x v="0"/>
    <x v="361"/>
    <d v="2025-12-12T00:00:00"/>
    <x v="2"/>
    <s v="Iv Therapy"/>
    <s v="Dr. Balogun"/>
    <x v="0"/>
    <s v="Axa Mansard"/>
    <n v="292141.21000000002"/>
    <n v="9142.9500000000007"/>
    <n v="110522.9"/>
    <n v="2"/>
    <n v="137"/>
    <n v="5"/>
    <x v="0"/>
    <s v="Improved"/>
    <x v="0"/>
    <s v="Mobile Money"/>
    <n v="411807.06000000006"/>
    <s v="Child"/>
    <s v="Long Wait"/>
  </r>
  <r>
    <x v="462"/>
    <s v="Aditya Nair"/>
    <n v="40"/>
    <x v="1"/>
    <x v="7"/>
    <x v="4"/>
    <x v="214"/>
    <d v="2024-10-17T00:00:00"/>
    <x v="6"/>
    <s v="Wound Care"/>
    <s v="Dr. Okafor"/>
    <x v="0"/>
    <s v="Avon Hmo"/>
    <n v="186469.73"/>
    <n v="57920.84"/>
    <n v="50592.49"/>
    <n v="2"/>
    <n v="40"/>
    <n v="5"/>
    <x v="0"/>
    <s v="Deceased"/>
    <x v="1"/>
    <s v="Mobile Money"/>
    <n v="294983.06"/>
    <s v="Adult"/>
    <s v="Acceptable"/>
  </r>
  <r>
    <x v="463"/>
    <s v="Rohan Malhotra"/>
    <n v="34"/>
    <x v="1"/>
    <x v="0"/>
    <x v="1"/>
    <x v="62"/>
    <d v="2024-06-09T00:00:00"/>
    <x v="1"/>
    <s v="Iv Therapy"/>
    <s v="Dr. Bello"/>
    <x v="0"/>
    <s v="Self Pay"/>
    <n v="65682.240000000005"/>
    <n v="38689.040000000001"/>
    <n v="47600.93"/>
    <n v="7"/>
    <n v="121"/>
    <n v="3.9"/>
    <x v="1"/>
    <s v="Improved"/>
    <x v="2"/>
    <s v="Mobile Money"/>
    <n v="151972.21"/>
    <s v="Yound Adult"/>
    <s v="Long Wait"/>
  </r>
  <r>
    <x v="464"/>
    <s v="Ishaan Nair"/>
    <n v="74"/>
    <x v="0"/>
    <x v="4"/>
    <x v="4"/>
    <x v="151"/>
    <d v="2025-09-19T00:00:00"/>
    <x v="8"/>
    <s v="Antibiotics"/>
    <s v="Dr. Eze"/>
    <x v="2"/>
    <s v="Self Pay"/>
    <n v="299534.45"/>
    <n v="3758.61"/>
    <n v="85876.89"/>
    <n v="4"/>
    <n v="218"/>
    <n v="5"/>
    <x v="1"/>
    <s v="Improved"/>
    <x v="1"/>
    <s v="Card"/>
    <n v="389169.95"/>
    <s v="Senior"/>
    <s v="Long Wait"/>
  </r>
  <r>
    <x v="465"/>
    <s v="Diya Singh"/>
    <n v="48"/>
    <x v="1"/>
    <x v="8"/>
    <x v="4"/>
    <x v="140"/>
    <d v="2024-04-10T00:00:00"/>
    <x v="4"/>
    <s v="Chemotherapy"/>
    <s v="Dr. Chukwu"/>
    <x v="2"/>
    <s v="Leadway Health"/>
    <n v="0"/>
    <n v="43828.73"/>
    <n v="28553.99"/>
    <n v="1"/>
    <n v="239"/>
    <n v="2.7"/>
    <x v="1"/>
    <s v="Improved"/>
    <x v="1"/>
    <s v="Bank Transfer"/>
    <n v="72382.720000000001"/>
    <s v="Adult"/>
    <s v="Long Wait"/>
  </r>
  <r>
    <x v="466"/>
    <s v="Meera Shah"/>
    <n v="32"/>
    <x v="0"/>
    <x v="11"/>
    <x v="1"/>
    <x v="362"/>
    <d v="2025-12-29T00:00:00"/>
    <x v="0"/>
    <s v="Iv Therapy"/>
    <s v="Dr. Chukwu"/>
    <x v="2"/>
    <s v="Hygeia Hmo"/>
    <n v="0"/>
    <n v="48777.49"/>
    <n v="0"/>
    <n v="1"/>
    <n v="97"/>
    <n v="1"/>
    <x v="0"/>
    <s v="Improved"/>
    <x v="1"/>
    <s v="Bank Transfer"/>
    <n v="48777.49"/>
    <s v="Yound Adult"/>
    <s v="Long Wait"/>
  </r>
  <r>
    <x v="467"/>
    <s v="Rohan Das"/>
    <n v="79"/>
    <x v="0"/>
    <x v="10"/>
    <x v="4"/>
    <x v="363"/>
    <d v="2026-05-17T00:00:00"/>
    <x v="2"/>
    <s v="Chemotherapy"/>
    <s v="Dr. Chukwu"/>
    <x v="2"/>
    <s v="Mediplus"/>
    <n v="270490.7"/>
    <n v="8412.66"/>
    <n v="44063.9"/>
    <n v="2"/>
    <n v="96"/>
    <n v="4.3"/>
    <x v="0"/>
    <s v="Recovered"/>
    <x v="1"/>
    <s v="Bank Transfer"/>
    <n v="322967.26"/>
    <s v="Senior"/>
    <s v="Long Wait"/>
  </r>
  <r>
    <x v="468"/>
    <s v="Rohan Verma"/>
    <n v="21"/>
    <x v="0"/>
    <x v="3"/>
    <x v="8"/>
    <x v="262"/>
    <d v="2024-03-08T00:00:00"/>
    <x v="7"/>
    <s v="Observation"/>
    <s v="Dr. Adeyemi"/>
    <x v="1"/>
    <s v="Mediplus"/>
    <n v="247815.2"/>
    <n v="28023.32"/>
    <n v="27626.28"/>
    <n v="1"/>
    <n v="58"/>
    <n v="4.5999999999999996"/>
    <x v="1"/>
    <s v="Recovered"/>
    <x v="2"/>
    <s v="Cash"/>
    <n v="303464.80000000005"/>
    <s v="Yound Adult"/>
    <s v="Acceptable"/>
  </r>
  <r>
    <x v="469"/>
    <s v="Ananya Joshi"/>
    <n v="41"/>
    <x v="0"/>
    <x v="2"/>
    <x v="4"/>
    <x v="364"/>
    <d v="2026-03-05T00:00:00"/>
    <x v="10"/>
    <s v="Iv Therapy"/>
    <s v="Dr. Balogun"/>
    <x v="1"/>
    <s v="Reliance Hmo"/>
    <n v="523791.12"/>
    <n v="0"/>
    <n v="0"/>
    <n v="2"/>
    <n v="153"/>
    <n v="2.8"/>
    <x v="0"/>
    <s v="Deceased"/>
    <x v="1"/>
    <s v="Card"/>
    <n v="523791.12"/>
    <s v="Adult"/>
    <s v="Long Wait"/>
  </r>
  <r>
    <x v="470"/>
    <s v="Ishaan Mehta"/>
    <n v="25"/>
    <x v="0"/>
    <x v="0"/>
    <x v="7"/>
    <x v="89"/>
    <d v="2026-06-15T00:00:00"/>
    <x v="6"/>
    <s v="Medication"/>
    <s v="Dr. Eze"/>
    <x v="0"/>
    <s v="Axa Mansard"/>
    <n v="183627.98"/>
    <n v="69963.45"/>
    <n v="69063.850000000006"/>
    <n v="2"/>
    <n v="159"/>
    <n v="1.9"/>
    <x v="1"/>
    <s v="Deceased"/>
    <x v="0"/>
    <s v="Insurance"/>
    <n v="322655.28000000003"/>
    <s v="Yound Adult"/>
    <s v="Long Wait"/>
  </r>
  <r>
    <x v="471"/>
    <s v="Aisha Sharma"/>
    <n v="0"/>
    <x v="0"/>
    <x v="10"/>
    <x v="0"/>
    <x v="171"/>
    <d v="2025-12-15T00:00:00"/>
    <x v="2"/>
    <s v="Medication"/>
    <s v="Dr. Okafor"/>
    <x v="0"/>
    <s v="Self Pay"/>
    <n v="106686.69"/>
    <n v="53917.58"/>
    <n v="60508.4"/>
    <n v="1"/>
    <n v="78"/>
    <n v="3.7"/>
    <x v="1"/>
    <s v="Improved"/>
    <x v="0"/>
    <s v="Bank Transfer"/>
    <n v="221112.67"/>
    <s v="Child"/>
    <s v="Long Wait"/>
  </r>
  <r>
    <x v="472"/>
    <s v="Ishaan Shah"/>
    <n v="47"/>
    <x v="0"/>
    <x v="11"/>
    <x v="7"/>
    <x v="153"/>
    <d v="2024-04-27T00:00:00"/>
    <x v="2"/>
    <s v="Dialysis"/>
    <s v="Dr. Eze"/>
    <x v="0"/>
    <s v="Hygeia Hmo"/>
    <n v="327222.96000000002"/>
    <n v="0"/>
    <n v="53989.43"/>
    <n v="1"/>
    <n v="164"/>
    <n v="3.2"/>
    <x v="1"/>
    <s v="Improved"/>
    <x v="2"/>
    <s v="Cash"/>
    <n v="381212.39"/>
    <s v="Adult"/>
    <s v="Long Wait"/>
  </r>
  <r>
    <x v="473"/>
    <s v="Isha Mehta"/>
    <n v="92"/>
    <x v="0"/>
    <x v="0"/>
    <x v="0"/>
    <x v="365"/>
    <d v="2024-08-07T00:00:00"/>
    <x v="10"/>
    <s v="Medication"/>
    <s v="Dr. Eze"/>
    <x v="2"/>
    <s v="Axa Mansard"/>
    <n v="205392.01"/>
    <n v="39832.68"/>
    <n v="22858.29"/>
    <n v="5"/>
    <n v="108"/>
    <n v="4.3"/>
    <x v="1"/>
    <s v="Improved"/>
    <x v="2"/>
    <s v="Cash"/>
    <n v="268082.98"/>
    <s v="Senior"/>
    <s v="Long Wait"/>
  </r>
  <r>
    <x v="474"/>
    <s v="Isha Joshi"/>
    <n v="20"/>
    <x v="1"/>
    <x v="4"/>
    <x v="3"/>
    <x v="153"/>
    <d v="2024-04-29T00:00:00"/>
    <x v="10"/>
    <s v="Physiotherapy"/>
    <s v="Dr. Adebayo"/>
    <x v="0"/>
    <s v="Hygeia Hmo"/>
    <n v="248890.65"/>
    <n v="66554.899999999994"/>
    <n v="58459.07"/>
    <n v="3"/>
    <n v="167"/>
    <n v="3.4"/>
    <x v="1"/>
    <s v="Improved"/>
    <x v="2"/>
    <s v="Insurance"/>
    <n v="373904.62"/>
    <s v="Yound Adult"/>
    <s v="Long Wait"/>
  </r>
  <r>
    <x v="475"/>
    <s v="Rohan Reddy"/>
    <n v="79"/>
    <x v="1"/>
    <x v="0"/>
    <x v="6"/>
    <x v="188"/>
    <d v="2026-04-29T00:00:00"/>
    <x v="2"/>
    <s v="Surgery"/>
    <s v="Dr. Bello"/>
    <x v="1"/>
    <s v="Nhia"/>
    <n v="0"/>
    <n v="62779.19"/>
    <n v="38270.43"/>
    <n v="1"/>
    <n v="159"/>
    <n v="3.8"/>
    <x v="0"/>
    <s v="Referred"/>
    <x v="0"/>
    <s v="Mobile Money"/>
    <n v="101049.62"/>
    <s v="Senior"/>
    <s v="Long Wait"/>
  </r>
  <r>
    <x v="476"/>
    <s v="Aditya Rao"/>
    <n v="56"/>
    <x v="0"/>
    <x v="9"/>
    <x v="5"/>
    <x v="366"/>
    <d v="2026-03-08T00:00:00"/>
    <x v="11"/>
    <s v="Iv Therapy"/>
    <s v="Dr. Ibrahim"/>
    <x v="0"/>
    <s v="Reliance Hmo"/>
    <n v="137414.73000000001"/>
    <n v="26695.77"/>
    <n v="47168.37"/>
    <n v="1"/>
    <n v="0"/>
    <n v="2.7"/>
    <x v="0"/>
    <s v="Referred"/>
    <x v="2"/>
    <s v="Cash"/>
    <n v="211278.87"/>
    <s v="Adult"/>
    <s v="Excellent"/>
  </r>
  <r>
    <x v="477"/>
    <s v="Arjun Verma"/>
    <n v="62"/>
    <x v="0"/>
    <x v="7"/>
    <x v="4"/>
    <x v="367"/>
    <d v="2024-05-01T00:00:00"/>
    <x v="8"/>
    <s v="Iv Therapy"/>
    <s v="Dr. Eze"/>
    <x v="0"/>
    <s v="Leadway Health"/>
    <n v="211230.46"/>
    <n v="36078.089999999997"/>
    <n v="36172.720000000001"/>
    <n v="8"/>
    <n v="196"/>
    <n v="3.4"/>
    <x v="1"/>
    <s v="Referred"/>
    <x v="0"/>
    <s v="Mobile Money"/>
    <n v="283481.27"/>
    <s v="Senior"/>
    <s v="Long Wait"/>
  </r>
  <r>
    <x v="478"/>
    <s v="Priya Verma"/>
    <n v="68"/>
    <x v="0"/>
    <x v="0"/>
    <x v="0"/>
    <x v="350"/>
    <d v="2024-08-06T00:00:00"/>
    <x v="1"/>
    <s v="Iv Therapy"/>
    <s v="Dr. Bello"/>
    <x v="0"/>
    <s v="Avon Hmo"/>
    <n v="111167.99"/>
    <n v="68969.73"/>
    <n v="0"/>
    <n v="3"/>
    <n v="217"/>
    <n v="3.2"/>
    <x v="0"/>
    <s v="Referred"/>
    <x v="1"/>
    <s v="Card"/>
    <n v="180137.72"/>
    <s v="Senior"/>
    <s v="Long Wait"/>
  </r>
  <r>
    <x v="479"/>
    <s v="Ishaan Sharma"/>
    <n v="1"/>
    <x v="0"/>
    <x v="6"/>
    <x v="8"/>
    <x v="368"/>
    <d v="2024-09-19T00:00:00"/>
    <x v="2"/>
    <s v="Chemotherapy"/>
    <s v="Dr. Okafor"/>
    <x v="0"/>
    <s v="Axa Mansard"/>
    <n v="156328.74"/>
    <n v="4004.84"/>
    <n v="26770.61"/>
    <n v="2"/>
    <n v="84"/>
    <n v="4.9000000000000004"/>
    <x v="0"/>
    <s v="Referred"/>
    <x v="1"/>
    <s v="Bank Transfer"/>
    <n v="187104.19"/>
    <s v="Child"/>
    <s v="Long Wait"/>
  </r>
  <r>
    <x v="480"/>
    <s v="Meera Rao"/>
    <n v="49"/>
    <x v="1"/>
    <x v="6"/>
    <x v="5"/>
    <x v="354"/>
    <d v="2024-10-04T00:00:00"/>
    <x v="7"/>
    <s v="Antibiotics"/>
    <s v="Dr. Adeyemi"/>
    <x v="0"/>
    <s v="Avon Hmo"/>
    <n v="66627.289999999994"/>
    <n v="7981.15"/>
    <n v="98961.75"/>
    <n v="3"/>
    <n v="39"/>
    <n v="5"/>
    <x v="0"/>
    <s v="Referred"/>
    <x v="1"/>
    <s v="Card"/>
    <n v="173570.19"/>
    <s v="Adult"/>
    <s v="Acceptable"/>
  </r>
  <r>
    <x v="481"/>
    <s v="Ananya Das"/>
    <n v="43"/>
    <x v="0"/>
    <x v="7"/>
    <x v="8"/>
    <x v="115"/>
    <d v="2024-10-16T00:00:00"/>
    <x v="4"/>
    <s v="Physiotherapy"/>
    <s v="Dr. Okafor"/>
    <x v="0"/>
    <s v="Avon Hmo"/>
    <n v="369851.12"/>
    <n v="61797.31"/>
    <n v="41675.620000000003"/>
    <n v="2"/>
    <n v="65"/>
    <n v="3.6"/>
    <x v="0"/>
    <s v="Referred"/>
    <x v="1"/>
    <s v="Card"/>
    <n v="473324.05"/>
    <s v="Adult"/>
    <s v="Long Wait"/>
  </r>
  <r>
    <x v="482"/>
    <s v="Meera Sharma"/>
    <n v="62"/>
    <x v="0"/>
    <x v="4"/>
    <x v="1"/>
    <x v="369"/>
    <d v="2024-12-31T00:00:00"/>
    <x v="3"/>
    <s v="Physiotherapy"/>
    <s v="Dr. Okafor"/>
    <x v="0"/>
    <s v="Avon Hmo"/>
    <n v="220592.18"/>
    <n v="45472.160000000003"/>
    <n v="94150.79"/>
    <n v="4"/>
    <n v="123"/>
    <n v="4.0999999999999996"/>
    <x v="0"/>
    <s v="Referred"/>
    <x v="2"/>
    <s v="Card"/>
    <n v="360215.12999999995"/>
    <s v="Senior"/>
    <s v="Long Wait"/>
  </r>
  <r>
    <x v="483"/>
    <s v="Aisha Kumar"/>
    <n v="44"/>
    <x v="1"/>
    <x v="6"/>
    <x v="7"/>
    <x v="370"/>
    <d v="2025-02-04T00:00:00"/>
    <x v="6"/>
    <s v="Surgery"/>
    <s v="Dr. Adebayo"/>
    <x v="2"/>
    <s v="Self Pay"/>
    <n v="115430.74"/>
    <n v="54754.16"/>
    <n v="38486.07"/>
    <n v="6"/>
    <n v="134"/>
    <n v="3.1"/>
    <x v="0"/>
    <s v="Improved"/>
    <x v="0"/>
    <s v="Card"/>
    <n v="208670.97000000003"/>
    <s v="Adult"/>
    <s v="Long Wait"/>
  </r>
  <r>
    <x v="484"/>
    <s v="Maya Sharma"/>
    <n v="44"/>
    <x v="0"/>
    <x v="7"/>
    <x v="1"/>
    <x v="371"/>
    <d v="2025-03-09T00:00:00"/>
    <x v="3"/>
    <s v="Wound Care"/>
    <s v="Dr. Yusuf"/>
    <x v="0"/>
    <s v="Self Pay"/>
    <n v="221796.01"/>
    <n v="41995.68"/>
    <n v="36940.629999999997"/>
    <n v="2"/>
    <n v="0"/>
    <n v="3.1"/>
    <x v="0"/>
    <s v="Recovered"/>
    <x v="2"/>
    <s v="Cash"/>
    <n v="300732.32"/>
    <s v="Adult"/>
    <s v="Excellent"/>
  </r>
  <r>
    <x v="485"/>
    <s v="Zara Malhotra"/>
    <n v="49"/>
    <x v="0"/>
    <x v="0"/>
    <x v="0"/>
    <x v="213"/>
    <d v="2026-01-13T00:00:00"/>
    <x v="1"/>
    <s v="Iv Therapy"/>
    <s v="Dr. Musa"/>
    <x v="1"/>
    <s v="Leadway Health"/>
    <n v="148710.13"/>
    <n v="8841.01"/>
    <n v="27452.77"/>
    <n v="2"/>
    <n v="59"/>
    <n v="4.2"/>
    <x v="0"/>
    <s v="Recovered"/>
    <x v="2"/>
    <s v="Insurance"/>
    <n v="185003.91"/>
    <s v="Adult"/>
    <s v="Acceptable"/>
  </r>
  <r>
    <x v="486"/>
    <s v="Rahul Nair"/>
    <n v="27"/>
    <x v="0"/>
    <x v="8"/>
    <x v="0"/>
    <x v="372"/>
    <d v="2025-05-02T00:00:00"/>
    <x v="8"/>
    <s v="Iv Therapy"/>
    <s v="Dr. Musa"/>
    <x v="1"/>
    <s v="Self Pay"/>
    <n v="161672.46"/>
    <n v="28421.919999999998"/>
    <n v="56873.97"/>
    <n v="16"/>
    <n v="114"/>
    <n v="5"/>
    <x v="0"/>
    <s v="Recovered"/>
    <x v="2"/>
    <s v="Insurance"/>
    <n v="246968.35"/>
    <s v="Yound Adult"/>
    <s v="Long Wait"/>
  </r>
  <r>
    <x v="487"/>
    <s v="Kavya Sharma"/>
    <n v="0"/>
    <x v="0"/>
    <x v="4"/>
    <x v="2"/>
    <x v="39"/>
    <d v="2025-05-10T00:00:00"/>
    <x v="4"/>
    <s v="Surgery"/>
    <s v="Dr. Adeyemi"/>
    <x v="2"/>
    <s v="Axa Mansard"/>
    <n v="150577.06"/>
    <n v="57432.5"/>
    <n v="0"/>
    <n v="1"/>
    <n v="0"/>
    <n v="4.4000000000000004"/>
    <x v="0"/>
    <s v="Deceased"/>
    <x v="1"/>
    <s v="Card"/>
    <n v="208009.56"/>
    <s v="Child"/>
    <s v="Excellent"/>
  </r>
  <r>
    <x v="488"/>
    <s v="Rohan Kumar"/>
    <n v="19"/>
    <x v="0"/>
    <x v="3"/>
    <x v="5"/>
    <x v="373"/>
    <d v="2025-05-17T00:00:00"/>
    <x v="4"/>
    <s v="Chemotherapy"/>
    <s v="Dr. Bello"/>
    <x v="2"/>
    <s v="Avon Hmo"/>
    <n v="82024.460000000006"/>
    <n v="5756.41"/>
    <n v="48316.06"/>
    <n v="3"/>
    <n v="48"/>
    <n v="4.3"/>
    <x v="0"/>
    <s v="Deceased"/>
    <x v="0"/>
    <s v="Card"/>
    <n v="136096.93"/>
    <s v="Yound Adult"/>
    <s v="Acceptable"/>
  </r>
  <r>
    <x v="489"/>
    <s v="Isha Reddy"/>
    <n v="55"/>
    <x v="1"/>
    <x v="10"/>
    <x v="2"/>
    <x v="374"/>
    <d v="2025-06-30T00:00:00"/>
    <x v="5"/>
    <s v="Counseling"/>
    <s v="Dr. Adebayo"/>
    <x v="1"/>
    <s v="Nhia"/>
    <n v="479930.64"/>
    <n v="17955.849999999999"/>
    <n v="54733.760000000002"/>
    <n v="3"/>
    <n v="0"/>
    <n v="4.2"/>
    <x v="0"/>
    <s v="Deceased"/>
    <x v="0"/>
    <s v="Card"/>
    <n v="552620.25"/>
    <s v="Adult"/>
    <s v="Excellent"/>
  </r>
  <r>
    <x v="490"/>
    <s v="Vivaan Joshi"/>
    <n v="42"/>
    <x v="1"/>
    <x v="6"/>
    <x v="2"/>
    <x v="375"/>
    <d v="2025-01-31T00:00:00"/>
    <x v="6"/>
    <s v="Counseling"/>
    <s v="Dr. Bello"/>
    <x v="0"/>
    <s v="Avon Hmo"/>
    <n v="384991.78"/>
    <n v="0"/>
    <n v="60597.06"/>
    <n v="5"/>
    <n v="235"/>
    <n v="4.2"/>
    <x v="0"/>
    <s v="Deceased"/>
    <x v="0"/>
    <s v="Card"/>
    <n v="445588.84"/>
    <s v="Adult"/>
    <s v="Long Wait"/>
  </r>
  <r>
    <x v="491"/>
    <s v="Rahul Kapoor"/>
    <n v="43"/>
    <x v="1"/>
    <x v="1"/>
    <x v="4"/>
    <x v="376"/>
    <d v="2025-08-15T00:00:00"/>
    <x v="5"/>
    <s v="Iv Therapy"/>
    <s v="Dr. Ibrahim"/>
    <x v="0"/>
    <s v="Hygeia Hmo"/>
    <n v="76.599999999999994"/>
    <n v="63889.32"/>
    <n v="26674.27"/>
    <n v="3"/>
    <n v="132"/>
    <n v="1.7"/>
    <x v="0"/>
    <s v="Deceased"/>
    <x v="0"/>
    <s v="Card"/>
    <n v="90640.19"/>
    <s v="Adult"/>
    <s v="Long Wait"/>
  </r>
  <r>
    <x v="492"/>
    <s v="Aisha Joshi"/>
    <n v="74"/>
    <x v="0"/>
    <x v="5"/>
    <x v="0"/>
    <x v="377"/>
    <d v="2024-07-28T00:00:00"/>
    <x v="4"/>
    <s v="Surgery"/>
    <s v="Dr. Okafor"/>
    <x v="1"/>
    <s v="Hygeia Hmo"/>
    <n v="171377.68"/>
    <n v="66331.89"/>
    <n v="42653.08"/>
    <n v="1"/>
    <n v="0"/>
    <n v="4.9000000000000004"/>
    <x v="1"/>
    <s v="Deceased"/>
    <x v="2"/>
    <s v="Mobile Money"/>
    <n v="280362.65000000002"/>
    <s v="Senior"/>
    <s v="Excellent"/>
  </r>
  <r>
    <x v="493"/>
    <s v="Aarav Verma"/>
    <n v="58"/>
    <x v="1"/>
    <x v="0"/>
    <x v="0"/>
    <x v="192"/>
    <d v="2024-01-16T00:00:00"/>
    <x v="2"/>
    <s v="Physiotherapy"/>
    <s v="Dr. Eze"/>
    <x v="1"/>
    <s v="Hygeia Hmo"/>
    <n v="223529.52"/>
    <n v="0"/>
    <n v="49928.84"/>
    <n v="2"/>
    <n v="259"/>
    <n v="4.7"/>
    <x v="1"/>
    <s v="Recovered"/>
    <x v="0"/>
    <s v="Mobile Money"/>
    <n v="273458.36"/>
    <s v="Adult"/>
    <s v="Long Wait"/>
  </r>
  <r>
    <x v="494"/>
    <s v="Priya Reddy"/>
    <n v="66"/>
    <x v="1"/>
    <x v="1"/>
    <x v="7"/>
    <x v="6"/>
    <d v="2025-11-30T00:00:00"/>
    <x v="2"/>
    <s v="Physiotherapy"/>
    <s v="Dr. Eze"/>
    <x v="0"/>
    <s v="Leadway Health"/>
    <n v="249493.59"/>
    <n v="35238.36"/>
    <n v="12251.24"/>
    <n v="3"/>
    <n v="112"/>
    <n v="4.7"/>
    <x v="1"/>
    <s v="Recovered"/>
    <x v="0"/>
    <s v="Mobile Money"/>
    <n v="296983.19"/>
    <s v="Senior"/>
    <s v="Long Wait"/>
  </r>
  <r>
    <x v="495"/>
    <s v="Rohan Mehta"/>
    <n v="74"/>
    <x v="1"/>
    <x v="3"/>
    <x v="7"/>
    <x v="369"/>
    <d v="2024-12-28T00:00:00"/>
    <x v="2"/>
    <s v="Surgery"/>
    <s v="Dr. Eze"/>
    <x v="0"/>
    <s v="Axa Mansard"/>
    <n v="207161.16"/>
    <n v="7805.76"/>
    <n v="74928.960000000006"/>
    <n v="1"/>
    <n v="73"/>
    <n v="4.7"/>
    <x v="1"/>
    <s v="Recovered"/>
    <x v="0"/>
    <s v="Card"/>
    <n v="289895.88"/>
    <s v="Senior"/>
    <s v="Long Wait"/>
  </r>
  <r>
    <x v="496"/>
    <s v="Priya Rao"/>
    <n v="41"/>
    <x v="0"/>
    <x v="4"/>
    <x v="5"/>
    <x v="98"/>
    <d v="2025-01-05T00:00:00"/>
    <x v="2"/>
    <s v="Medication"/>
    <s v="Dr. Adeyemi"/>
    <x v="2"/>
    <s v="Self Pay"/>
    <n v="289098.43"/>
    <n v="37272.43"/>
    <n v="0"/>
    <n v="2"/>
    <n v="10"/>
    <n v="4.9000000000000004"/>
    <x v="1"/>
    <s v="Recovered"/>
    <x v="0"/>
    <s v="Insurance"/>
    <n v="326370.86"/>
    <s v="Adult"/>
    <s v="Excellent"/>
  </r>
  <r>
    <x v="497"/>
    <s v="Aarav Verma"/>
    <n v="31"/>
    <x v="1"/>
    <x v="4"/>
    <x v="0"/>
    <x v="378"/>
    <d v="2024-07-16T00:00:00"/>
    <x v="9"/>
    <s v="Medication"/>
    <s v="Dr. Musa"/>
    <x v="1"/>
    <s v="Self Pay"/>
    <n v="29799.64"/>
    <n v="3006.59"/>
    <n v="0"/>
    <n v="2"/>
    <n v="87"/>
    <n v="2.9"/>
    <x v="0"/>
    <s v="Recovered"/>
    <x v="0"/>
    <s v="Insurance"/>
    <n v="32806.229999999996"/>
    <s v="Yound Adult"/>
    <s v="Long Wait"/>
  </r>
  <r>
    <x v="498"/>
    <s v="Arjun Sharma"/>
    <n v="41"/>
    <x v="1"/>
    <x v="5"/>
    <x v="1"/>
    <x v="379"/>
    <d v="2024-10-24T00:00:00"/>
    <x v="4"/>
    <s v="Surgery"/>
    <s v="Dr. Adeyemi"/>
    <x v="2"/>
    <s v="Axa Mansard"/>
    <n v="270955.89"/>
    <n v="82329.95"/>
    <n v="0"/>
    <n v="1"/>
    <n v="181"/>
    <n v="5"/>
    <x v="0"/>
    <s v="Recovered"/>
    <x v="1"/>
    <s v="Insurance"/>
    <n v="353285.84"/>
    <s v="Adult"/>
    <s v="Long Wait"/>
  </r>
  <r>
    <x v="499"/>
    <s v="Ishaan Shah"/>
    <n v="47"/>
    <x v="1"/>
    <x v="8"/>
    <x v="0"/>
    <x v="380"/>
    <d v="2024-02-22T00:00:00"/>
    <x v="4"/>
    <s v="Iv Therapy"/>
    <s v="Dr. Adeyemi"/>
    <x v="0"/>
    <s v="Avon Hmo"/>
    <n v="155931.35"/>
    <n v="34642.21"/>
    <n v="90273.93"/>
    <n v="1"/>
    <n v="140"/>
    <n v="4.4000000000000004"/>
    <x v="1"/>
    <s v="Referred"/>
    <x v="2"/>
    <s v="Insurance"/>
    <n v="280847.49"/>
    <s v="Adult"/>
    <s v="Long Wait"/>
  </r>
  <r>
    <x v="500"/>
    <s v="Aisha Malhotra"/>
    <n v="10"/>
    <x v="0"/>
    <x v="0"/>
    <x v="3"/>
    <x v="278"/>
    <d v="2024-12-31T00:00:00"/>
    <x v="2"/>
    <s v="Iv Therapy"/>
    <s v="Dr. Adeyemi"/>
    <x v="2"/>
    <s v="Avon Hmo"/>
    <n v="190814.45"/>
    <n v="60165.2"/>
    <n v="0"/>
    <n v="2"/>
    <n v="15"/>
    <n v="3.9"/>
    <x v="1"/>
    <s v="Recovered"/>
    <x v="0"/>
    <s v="Card"/>
    <n v="250979.65000000002"/>
    <s v="Child"/>
    <s v="Excellent"/>
  </r>
  <r>
    <x v="501"/>
    <s v="Rohan Reddy"/>
    <n v="25"/>
    <x v="0"/>
    <x v="5"/>
    <x v="2"/>
    <x v="189"/>
    <d v="2025-07-22T00:00:00"/>
    <x v="7"/>
    <s v="Iv Therapy"/>
    <s v="Dr. Musa"/>
    <x v="2"/>
    <s v="Mediplus"/>
    <n v="160696.20000000001"/>
    <n v="0"/>
    <n v="15776.34"/>
    <n v="1"/>
    <n v="147"/>
    <n v="2"/>
    <x v="0"/>
    <s v="Referred"/>
    <x v="0"/>
    <s v="Card"/>
    <n v="176472.54"/>
    <s v="Yound Adult"/>
    <s v="Long Wait"/>
  </r>
  <r>
    <x v="502"/>
    <s v="Diya Malhotra"/>
    <n v="29"/>
    <x v="0"/>
    <x v="0"/>
    <x v="1"/>
    <x v="381"/>
    <d v="2025-04-25T00:00:00"/>
    <x v="2"/>
    <s v="Counseling"/>
    <s v="Dr. Chukwu"/>
    <x v="1"/>
    <s v="Axa Mansard"/>
    <n v="322473.77"/>
    <n v="25076.95"/>
    <n v="31062.57"/>
    <n v="1"/>
    <n v="98"/>
    <n v="1.4"/>
    <x v="0"/>
    <s v="Referred"/>
    <x v="2"/>
    <s v="Bank Transfer"/>
    <n v="378613.29000000004"/>
    <s v="Yound Adult"/>
    <s v="Long Wait"/>
  </r>
  <r>
    <x v="503"/>
    <s v="Ananya Das"/>
    <n v="51"/>
    <x v="1"/>
    <x v="2"/>
    <x v="4"/>
    <x v="382"/>
    <d v="2025-08-06T00:00:00"/>
    <x v="2"/>
    <s v="Physiotherapy"/>
    <s v="Dr. Balogun"/>
    <x v="1"/>
    <s v="Axa Mansard"/>
    <n v="162696.81"/>
    <n v="55148.11"/>
    <n v="11175.12"/>
    <n v="4"/>
    <n v="179"/>
    <n v="3.9"/>
    <x v="0"/>
    <s v="Referred"/>
    <x v="1"/>
    <s v="Card"/>
    <n v="229020.03999999998"/>
    <s v="Adult"/>
    <s v="Long Wait"/>
  </r>
  <r>
    <x v="504"/>
    <s v="Riya Kapoor"/>
    <n v="42"/>
    <x v="1"/>
    <x v="3"/>
    <x v="4"/>
    <x v="382"/>
    <d v="2025-08-04T00:00:00"/>
    <x v="1"/>
    <s v="Surgery"/>
    <s v="Dr. Adeyemi"/>
    <x v="0"/>
    <s v="Hygeia Hmo"/>
    <n v="204982.93"/>
    <n v="60507.07"/>
    <n v="12699.63"/>
    <n v="2"/>
    <n v="37"/>
    <n v="5"/>
    <x v="1"/>
    <s v="Recovered"/>
    <x v="1"/>
    <s v="Card"/>
    <n v="278189.63"/>
    <s v="Adult"/>
    <s v="Acceptable"/>
  </r>
  <r>
    <x v="505"/>
    <s v="Zara Rao"/>
    <n v="62"/>
    <x v="1"/>
    <x v="5"/>
    <x v="0"/>
    <x v="41"/>
    <d v="2024-06-09T00:00:00"/>
    <x v="2"/>
    <s v="Iv Therapy"/>
    <s v="Dr. Chukwu"/>
    <x v="0"/>
    <s v="Hygeia Hmo"/>
    <n v="457921.04"/>
    <n v="19955.12"/>
    <n v="65440.87"/>
    <n v="2"/>
    <n v="8"/>
    <n v="4.7"/>
    <x v="1"/>
    <s v="Improved"/>
    <x v="2"/>
    <s v="Cash"/>
    <n v="543317.03"/>
    <s v="Senior"/>
    <s v="Excellent"/>
  </r>
  <r>
    <x v="506"/>
    <s v="Ananya Shah"/>
    <n v="47"/>
    <x v="0"/>
    <x v="9"/>
    <x v="7"/>
    <x v="383"/>
    <d v="2025-11-10T00:00:00"/>
    <x v="6"/>
    <s v="Dialysis"/>
    <s v="Dr. Chukwu"/>
    <x v="2"/>
    <s v="Avon Hmo"/>
    <n v="492767.97"/>
    <n v="55627.73"/>
    <n v="25383.05"/>
    <n v="6"/>
    <n v="97"/>
    <n v="3.6"/>
    <x v="1"/>
    <s v="Improved"/>
    <x v="2"/>
    <s v="Bank Transfer"/>
    <n v="573778.75"/>
    <s v="Adult"/>
    <s v="Long Wait"/>
  </r>
  <r>
    <x v="507"/>
    <s v="Rohan Verma"/>
    <n v="22"/>
    <x v="1"/>
    <x v="5"/>
    <x v="1"/>
    <x v="250"/>
    <d v="2024-06-01T00:00:00"/>
    <x v="5"/>
    <s v="Wound Care"/>
    <s v="Dr. Balogun"/>
    <x v="1"/>
    <s v="Self Pay"/>
    <n v="141493.47"/>
    <n v="0"/>
    <n v="46424.800000000003"/>
    <n v="1"/>
    <n v="76"/>
    <n v="1.5"/>
    <x v="0"/>
    <s v="Recovered"/>
    <x v="2"/>
    <s v="Cash"/>
    <n v="187918.27000000002"/>
    <s v="Yound Adult"/>
    <s v="Long Wait"/>
  </r>
  <r>
    <x v="508"/>
    <s v="Rohan Gupta"/>
    <n v="58"/>
    <x v="0"/>
    <x v="10"/>
    <x v="0"/>
    <x v="384"/>
    <d v="2025-05-31T00:00:00"/>
    <x v="5"/>
    <s v="Counseling"/>
    <s v="Dr. Adebayo"/>
    <x v="1"/>
    <s v="Hygeia Hmo"/>
    <n v="251784.83"/>
    <n v="21898.3"/>
    <n v="62743.26"/>
    <n v="4"/>
    <n v="146"/>
    <n v="4.0999999999999996"/>
    <x v="1"/>
    <s v="Referred"/>
    <x v="0"/>
    <s v="Bank Transfer"/>
    <n v="336426.39"/>
    <s v="Adult"/>
    <s v="Long Wait"/>
  </r>
  <r>
    <x v="509"/>
    <s v="Maya Mehta"/>
    <n v="49"/>
    <x v="1"/>
    <x v="0"/>
    <x v="1"/>
    <x v="385"/>
    <d v="2026-05-10T00:00:00"/>
    <x v="3"/>
    <s v="Wound Care"/>
    <s v="Dr. Adeyemi"/>
    <x v="0"/>
    <s v="Nhia"/>
    <n v="387367.29"/>
    <n v="15084.27"/>
    <n v="107938.18"/>
    <n v="1"/>
    <n v="55"/>
    <n v="5"/>
    <x v="1"/>
    <s v="Recovered"/>
    <x v="0"/>
    <s v="Bank Transfer"/>
    <n v="510389.74"/>
    <s v="Adult"/>
    <s v="Acceptable"/>
  </r>
  <r>
    <x v="510"/>
    <s v="Meera Malhotra"/>
    <n v="47"/>
    <x v="1"/>
    <x v="1"/>
    <x v="4"/>
    <x v="386"/>
    <d v="2026-01-21T00:00:00"/>
    <x v="5"/>
    <s v="Dialysis"/>
    <s v="Dr. Okafor"/>
    <x v="1"/>
    <s v="Nhia"/>
    <n v="0"/>
    <n v="16348.96"/>
    <n v="12236.36"/>
    <n v="1"/>
    <n v="105"/>
    <n v="5"/>
    <x v="1"/>
    <s v="Deceased"/>
    <x v="1"/>
    <s v="Card"/>
    <n v="28585.32"/>
    <s v="Adult"/>
    <s v="Long Wait"/>
  </r>
  <r>
    <x v="511"/>
    <s v="Rohan Joshi"/>
    <n v="0"/>
    <x v="0"/>
    <x v="4"/>
    <x v="4"/>
    <x v="387"/>
    <d v="2024-02-12T00:00:00"/>
    <x v="10"/>
    <s v="Wound Care"/>
    <s v="Dr. Okafor"/>
    <x v="1"/>
    <s v="Axa Mansard"/>
    <n v="505889.75"/>
    <n v="37382"/>
    <n v="21705.03"/>
    <n v="4"/>
    <n v="106"/>
    <n v="3.9"/>
    <x v="1"/>
    <s v="Improved"/>
    <x v="2"/>
    <s v="Card"/>
    <n v="564976.78"/>
    <s v="Child"/>
    <s v="Long Wait"/>
  </r>
  <r>
    <x v="512"/>
    <s v="Aditya Verma"/>
    <n v="54"/>
    <x v="1"/>
    <x v="6"/>
    <x v="1"/>
    <x v="388"/>
    <d v="2024-12-18T00:00:00"/>
    <x v="6"/>
    <s v="Counseling"/>
    <s v="Dr. Ibrahim"/>
    <x v="0"/>
    <s v="Mediplus"/>
    <n v="334789.53999999998"/>
    <n v="38108.51"/>
    <n v="29018.240000000002"/>
    <n v="4"/>
    <n v="157"/>
    <n v="1.9"/>
    <x v="1"/>
    <s v="Improved"/>
    <x v="0"/>
    <s v="Mobile Money"/>
    <n v="401916.29"/>
    <s v="Adult"/>
    <s v="Long Wait"/>
  </r>
  <r>
    <x v="513"/>
    <s v="Meera Kapoor"/>
    <n v="21"/>
    <x v="1"/>
    <x v="7"/>
    <x v="4"/>
    <x v="269"/>
    <d v="2026-03-13T00:00:00"/>
    <x v="6"/>
    <s v="Observation"/>
    <s v="Dr. Okafor"/>
    <x v="0"/>
    <s v="Axa Mansard"/>
    <n v="371207.85"/>
    <n v="53569.71"/>
    <n v="59619.16"/>
    <n v="1"/>
    <n v="175"/>
    <n v="2.6"/>
    <x v="0"/>
    <s v="Recovered"/>
    <x v="1"/>
    <s v="Insurance"/>
    <n v="484396.72"/>
    <s v="Yound Adult"/>
    <s v="Long Wait"/>
  </r>
  <r>
    <x v="514"/>
    <s v="Aarav Sharma"/>
    <n v="40"/>
    <x v="0"/>
    <x v="7"/>
    <x v="8"/>
    <x v="389"/>
    <d v="2025-07-05T00:00:00"/>
    <x v="6"/>
    <s v="Iv Therapy"/>
    <s v="Dr. Balogun"/>
    <x v="0"/>
    <s v="Axa Mansard"/>
    <n v="338563.49"/>
    <n v="27119.39"/>
    <n v="33451.71"/>
    <n v="4"/>
    <n v="135"/>
    <n v="4.8"/>
    <x v="0"/>
    <s v="Improved"/>
    <x v="1"/>
    <s v="Insurance"/>
    <n v="399134.59"/>
    <s v="Adult"/>
    <s v="Long Wait"/>
  </r>
  <r>
    <x v="515"/>
    <s v="Zara Kapoor"/>
    <n v="41"/>
    <x v="0"/>
    <x v="3"/>
    <x v="4"/>
    <x v="390"/>
    <d v="2024-05-23T00:00:00"/>
    <x v="1"/>
    <s v="Observation"/>
    <s v="Dr. Chukwu"/>
    <x v="1"/>
    <s v="Self Pay"/>
    <n v="71818.31"/>
    <n v="0"/>
    <n v="51013.79"/>
    <n v="1"/>
    <n v="140"/>
    <n v="4"/>
    <x v="1"/>
    <s v="Recovered"/>
    <x v="0"/>
    <s v="Card"/>
    <n v="122832.1"/>
    <s v="Adult"/>
    <s v="Long Wait"/>
  </r>
  <r>
    <x v="516"/>
    <s v="Aditya Sharma"/>
    <n v="47"/>
    <x v="1"/>
    <x v="1"/>
    <x v="5"/>
    <x v="270"/>
    <d v="2026-07-30T00:00:00"/>
    <x v="7"/>
    <s v="Wound Care"/>
    <s v="Dr. Okafor"/>
    <x v="0"/>
    <s v="Self Pay"/>
    <n v="141381.92000000001"/>
    <n v="16172.75"/>
    <n v="65875.92"/>
    <n v="1"/>
    <n v="183"/>
    <n v="3.3"/>
    <x v="0"/>
    <s v="Recovered"/>
    <x v="1"/>
    <s v="Mobile Money"/>
    <n v="223430.59000000003"/>
    <s v="Adult"/>
    <s v="Long Wait"/>
  </r>
  <r>
    <x v="517"/>
    <s v="Kavya Kapoor"/>
    <n v="54"/>
    <x v="0"/>
    <x v="5"/>
    <x v="6"/>
    <x v="173"/>
    <d v="2025-11-03T00:00:00"/>
    <x v="2"/>
    <s v="Dialysis"/>
    <s v="Dr. Okafor"/>
    <x v="1"/>
    <s v="Axa Mansard"/>
    <n v="30029.02"/>
    <n v="35578.83"/>
    <n v="61556.58"/>
    <n v="2"/>
    <n v="146"/>
    <n v="1.2"/>
    <x v="1"/>
    <s v="Improved"/>
    <x v="2"/>
    <s v="Mobile Money"/>
    <n v="127164.43000000001"/>
    <s v="Adult"/>
    <s v="Long Wait"/>
  </r>
  <r>
    <x v="518"/>
    <s v="Isha Kapoor"/>
    <n v="23"/>
    <x v="1"/>
    <x v="10"/>
    <x v="4"/>
    <x v="391"/>
    <d v="2026-01-01T00:00:00"/>
    <x v="4"/>
    <s v="Dialysis"/>
    <s v="Dr. Okafor"/>
    <x v="0"/>
    <s v="Axa Mansard"/>
    <n v="233984.17"/>
    <n v="42018.61"/>
    <n v="89901.31"/>
    <n v="1"/>
    <n v="57"/>
    <n v="3.1"/>
    <x v="0"/>
    <s v="Improved"/>
    <x v="2"/>
    <s v="Cash"/>
    <n v="365904.09"/>
    <s v="Yound Adult"/>
    <s v="Acceptable"/>
  </r>
  <r>
    <x v="519"/>
    <s v="Aarav Verma"/>
    <n v="49"/>
    <x v="0"/>
    <x v="5"/>
    <x v="0"/>
    <x v="392"/>
    <d v="2026-05-18T00:00:00"/>
    <x v="6"/>
    <s v="Surgery"/>
    <s v="Dr. Yusuf"/>
    <x v="0"/>
    <s v="Hygeia Hmo"/>
    <n v="397471.21"/>
    <n v="37218.199999999997"/>
    <n v="10286.5"/>
    <n v="7"/>
    <n v="0"/>
    <n v="1.7"/>
    <x v="0"/>
    <s v="Deceased"/>
    <x v="2"/>
    <s v="Cash"/>
    <n v="444975.91000000003"/>
    <s v="Adult"/>
    <s v="Excellent"/>
  </r>
  <r>
    <x v="520"/>
    <s v="Meera Singh"/>
    <n v="69"/>
    <x v="1"/>
    <x v="11"/>
    <x v="0"/>
    <x v="393"/>
    <d v="2024-04-01T00:00:00"/>
    <x v="2"/>
    <s v="Dialysis"/>
    <s v="Dr. Okafor"/>
    <x v="0"/>
    <s v="Self Pay"/>
    <n v="478910.7"/>
    <n v="51077.63"/>
    <n v="79885.16"/>
    <n v="5"/>
    <n v="51"/>
    <n v="5"/>
    <x v="1"/>
    <s v="Deceased"/>
    <x v="1"/>
    <s v="Mobile Money"/>
    <n v="609873.49"/>
    <s v="Senior"/>
    <s v="Acceptable"/>
  </r>
  <r>
    <x v="521"/>
    <s v="Vivaan Malhotra"/>
    <n v="52"/>
    <x v="0"/>
    <x v="0"/>
    <x v="8"/>
    <x v="394"/>
    <d v="2026-02-25T00:00:00"/>
    <x v="9"/>
    <s v="Dialysis"/>
    <s v="Dr. Bello"/>
    <x v="2"/>
    <s v="Self Pay"/>
    <n v="235042.21"/>
    <n v="39684.29"/>
    <n v="54695.56"/>
    <n v="5"/>
    <n v="191"/>
    <n v="5"/>
    <x v="1"/>
    <s v="Recovered"/>
    <x v="0"/>
    <s v="Card"/>
    <n v="329422.06"/>
    <s v="Adult"/>
    <s v="Long Wait"/>
  </r>
  <r>
    <x v="522"/>
    <s v="Ananya Patel"/>
    <n v="61"/>
    <x v="1"/>
    <x v="0"/>
    <x v="8"/>
    <x v="395"/>
    <d v="2026-06-02T00:00:00"/>
    <x v="9"/>
    <s v="Iv Therapy"/>
    <s v="Dr. Bello"/>
    <x v="1"/>
    <s v="Mediplus"/>
    <n v="291968.76"/>
    <n v="18470.759999999998"/>
    <n v="67696.94"/>
    <n v="4"/>
    <n v="0"/>
    <n v="5"/>
    <x v="0"/>
    <s v="Deceased"/>
    <x v="0"/>
    <s v="Cash"/>
    <n v="378136.46"/>
    <s v="Senior"/>
    <s v="Excellent"/>
  </r>
  <r>
    <x v="523"/>
    <s v="Kabir Verma"/>
    <n v="49"/>
    <x v="1"/>
    <x v="10"/>
    <x v="2"/>
    <x v="207"/>
    <d v="2024-02-10T00:00:00"/>
    <x v="0"/>
    <s v="Iv Therapy"/>
    <s v="Dr. Okafor"/>
    <x v="1"/>
    <s v="Self Pay"/>
    <n v="101678.45"/>
    <n v="43834.720000000001"/>
    <n v="43982.239999999998"/>
    <n v="1"/>
    <n v="0"/>
    <n v="4.2"/>
    <x v="0"/>
    <s v="Improved"/>
    <x v="2"/>
    <s v="Bank Transfer"/>
    <n v="189495.40999999997"/>
    <s v="Adult"/>
    <s v="Excellent"/>
  </r>
  <r>
    <x v="524"/>
    <s v="Rahul Sharma"/>
    <n v="79"/>
    <x v="1"/>
    <x v="1"/>
    <x v="4"/>
    <x v="396"/>
    <d v="2025-11-07T00:00:00"/>
    <x v="1"/>
    <s v="Physiotherapy"/>
    <s v="Dr. Okafor"/>
    <x v="0"/>
    <s v="Mediplus"/>
    <n v="107275.95"/>
    <n v="56921.2"/>
    <n v="0"/>
    <n v="5"/>
    <n v="5"/>
    <n v="4"/>
    <x v="0"/>
    <s v="Improved"/>
    <x v="1"/>
    <s v="Insurance"/>
    <n v="164197.15"/>
    <s v="Senior"/>
    <s v="Excellent"/>
  </r>
  <r>
    <x v="525"/>
    <s v="Aisha Nair"/>
    <n v="8"/>
    <x v="0"/>
    <x v="2"/>
    <x v="8"/>
    <x v="363"/>
    <d v="2026-05-16T00:00:00"/>
    <x v="11"/>
    <s v="Antibiotics"/>
    <s v="Dr. Adeyemi"/>
    <x v="1"/>
    <s v="Axa Mansard"/>
    <n v="277819.84999999998"/>
    <n v="24648.31"/>
    <n v="56382.16"/>
    <n v="1"/>
    <n v="146"/>
    <n v="4"/>
    <x v="1"/>
    <s v="Improved"/>
    <x v="2"/>
    <s v="Mobile Money"/>
    <n v="358850.31999999995"/>
    <s v="Child"/>
    <s v="Long Wait"/>
  </r>
  <r>
    <x v="526"/>
    <s v="Aditya Patel"/>
    <n v="33"/>
    <x v="0"/>
    <x v="3"/>
    <x v="7"/>
    <x v="397"/>
    <d v="2024-04-19T00:00:00"/>
    <x v="9"/>
    <s v="Iv Therapy"/>
    <s v="Dr. Musa"/>
    <x v="2"/>
    <s v="Nhia"/>
    <n v="268167.55"/>
    <n v="38708.54"/>
    <n v="18065.099999999999"/>
    <n v="1"/>
    <n v="58"/>
    <n v="5"/>
    <x v="1"/>
    <s v="Improved"/>
    <x v="1"/>
    <s v="Bank Transfer"/>
    <n v="324941.18999999994"/>
    <s v="Yound Adult"/>
    <s v="Acceptable"/>
  </r>
  <r>
    <x v="527"/>
    <s v="Maya Gupta"/>
    <n v="88"/>
    <x v="0"/>
    <x v="7"/>
    <x v="7"/>
    <x v="38"/>
    <d v="2025-10-11T00:00:00"/>
    <x v="9"/>
    <s v="Iv Therapy"/>
    <s v="Dr. Okafor"/>
    <x v="0"/>
    <s v="Mediplus"/>
    <n v="385217.94"/>
    <n v="58607.33"/>
    <n v="3363.94"/>
    <n v="4"/>
    <n v="152"/>
    <n v="3.6"/>
    <x v="1"/>
    <s v="Improved"/>
    <x v="0"/>
    <s v="Insurance"/>
    <n v="447189.21"/>
    <s v="Senior"/>
    <s v="Long Wait"/>
  </r>
  <r>
    <x v="528"/>
    <s v="Sneha Patel"/>
    <n v="46"/>
    <x v="0"/>
    <x v="3"/>
    <x v="0"/>
    <x v="398"/>
    <d v="2024-08-26T00:00:00"/>
    <x v="5"/>
    <s v="Surgery"/>
    <s v="Dr. Ibrahim"/>
    <x v="1"/>
    <s v="Self Pay"/>
    <n v="352329.61"/>
    <n v="42520.79"/>
    <n v="18645.79"/>
    <n v="2"/>
    <n v="150"/>
    <n v="2.9"/>
    <x v="1"/>
    <s v="Improved"/>
    <x v="2"/>
    <s v="Bank Transfer"/>
    <n v="413496.18999999994"/>
    <s v="Adult"/>
    <s v="Long Wait"/>
  </r>
  <r>
    <x v="529"/>
    <s v="Aisha Patel"/>
    <n v="36"/>
    <x v="0"/>
    <x v="8"/>
    <x v="7"/>
    <x v="399"/>
    <d v="2025-03-07T00:00:00"/>
    <x v="11"/>
    <s v="Iv Therapy"/>
    <s v="Dr. Balogun"/>
    <x v="1"/>
    <s v="Self Pay"/>
    <n v="189358.72"/>
    <n v="49156.07"/>
    <n v="13794.19"/>
    <n v="3"/>
    <n v="240"/>
    <n v="1.3"/>
    <x v="0"/>
    <s v="Referred"/>
    <x v="2"/>
    <s v="Insurance"/>
    <n v="252308.98"/>
    <s v="Adult"/>
    <s v="Long Wait"/>
  </r>
  <r>
    <x v="530"/>
    <s v="Isha Sharma"/>
    <n v="51"/>
    <x v="0"/>
    <x v="9"/>
    <x v="1"/>
    <x v="299"/>
    <d v="2025-10-11T00:00:00"/>
    <x v="2"/>
    <s v="Physiotherapy"/>
    <s v="Dr. Adeyemi"/>
    <x v="1"/>
    <s v="Avon Hmo"/>
    <n v="301803.98"/>
    <n v="27488.11"/>
    <n v="43278.28"/>
    <n v="2"/>
    <n v="125"/>
    <n v="3.4"/>
    <x v="0"/>
    <s v="Referred"/>
    <x v="2"/>
    <s v="Bank Transfer"/>
    <n v="372570.37"/>
    <s v="Adult"/>
    <s v="Long Wait"/>
  </r>
  <r>
    <x v="531"/>
    <s v="Maya Nair"/>
    <n v="61"/>
    <x v="0"/>
    <x v="0"/>
    <x v="0"/>
    <x v="270"/>
    <d v="2026-08-06T00:00:00"/>
    <x v="8"/>
    <s v="Counseling"/>
    <s v="Dr. Adeyemi"/>
    <x v="0"/>
    <s v="Reliance Hmo"/>
    <n v="342195.41"/>
    <n v="5846.08"/>
    <n v="42618.35"/>
    <n v="8"/>
    <n v="72"/>
    <n v="2.4"/>
    <x v="0"/>
    <s v="Recovered"/>
    <x v="2"/>
    <s v="Bank Transfer"/>
    <n v="390659.83999999997"/>
    <s v="Senior"/>
    <s v="Long Wait"/>
  </r>
  <r>
    <x v="532"/>
    <s v="Kavya Mehta"/>
    <n v="30"/>
    <x v="0"/>
    <x v="4"/>
    <x v="3"/>
    <x v="400"/>
    <d v="2025-09-04T00:00:00"/>
    <x v="9"/>
    <s v="Dialysis"/>
    <s v="Dr. Bello"/>
    <x v="0"/>
    <s v="Hygeia Hmo"/>
    <n v="339345.61"/>
    <n v="0"/>
    <n v="88563.53"/>
    <n v="5"/>
    <n v="96"/>
    <n v="2.9"/>
    <x v="0"/>
    <s v="Recovered"/>
    <x v="2"/>
    <s v="Mobile Money"/>
    <n v="427909.14"/>
    <s v="Yound Adult"/>
    <s v="Long Wait"/>
  </r>
  <r>
    <x v="533"/>
    <s v="Maya Rao"/>
    <n v="60"/>
    <x v="0"/>
    <x v="5"/>
    <x v="0"/>
    <x v="401"/>
    <d v="2026-08-10T00:00:00"/>
    <x v="2"/>
    <s v="Antibiotics"/>
    <s v="Dr. Eze"/>
    <x v="0"/>
    <s v="Hygeia Hmo"/>
    <n v="138176.26"/>
    <n v="11266.06"/>
    <n v="38353.9"/>
    <n v="2"/>
    <n v="6"/>
    <n v="5"/>
    <x v="0"/>
    <s v="Deceased"/>
    <x v="2"/>
    <s v="Mobile Money"/>
    <n v="187796.22"/>
    <s v="Senior"/>
    <s v="Excellent"/>
  </r>
  <r>
    <x v="534"/>
    <s v="Riya Das"/>
    <n v="61"/>
    <x v="0"/>
    <x v="4"/>
    <x v="5"/>
    <x v="402"/>
    <d v="2024-10-09T00:00:00"/>
    <x v="3"/>
    <s v="Iv Therapy"/>
    <s v="Dr. Eze"/>
    <x v="0"/>
    <s v="Leadway Health"/>
    <n v="249325.81"/>
    <n v="5386.65"/>
    <n v="44821.36"/>
    <n v="2"/>
    <n v="153"/>
    <n v="4"/>
    <x v="1"/>
    <s v="Recovered"/>
    <x v="0"/>
    <s v="Card"/>
    <n v="299533.82"/>
    <s v="Senior"/>
    <s v="Long Wait"/>
  </r>
  <r>
    <x v="535"/>
    <s v="Arjun Kapoor"/>
    <n v="65"/>
    <x v="0"/>
    <x v="0"/>
    <x v="1"/>
    <x v="403"/>
    <d v="2026-07-08T00:00:00"/>
    <x v="2"/>
    <s v="Antibiotics"/>
    <s v="Dr. Ibrahim"/>
    <x v="2"/>
    <s v="Self Pay"/>
    <n v="348648.08"/>
    <n v="18508.580000000002"/>
    <n v="12604.73"/>
    <n v="7"/>
    <n v="48"/>
    <n v="4"/>
    <x v="0"/>
    <s v="Recovered"/>
    <x v="0"/>
    <s v="Card"/>
    <n v="379761.39"/>
    <s v="Senior"/>
    <s v="Acceptable"/>
  </r>
  <r>
    <x v="536"/>
    <s v="Sneha Mehta"/>
    <n v="0"/>
    <x v="0"/>
    <x v="8"/>
    <x v="2"/>
    <x v="404"/>
    <d v="2024-09-30T00:00:00"/>
    <x v="5"/>
    <s v="Antibiotics"/>
    <s v="Dr. Adeyemi"/>
    <x v="1"/>
    <s v="Axa Mansard"/>
    <n v="218864.15"/>
    <n v="33952.230000000003"/>
    <n v="36673.67"/>
    <n v="4"/>
    <n v="191"/>
    <n v="4.2"/>
    <x v="1"/>
    <s v="Deceased"/>
    <x v="2"/>
    <s v="Bank Transfer"/>
    <n v="289490.05"/>
    <s v="Child"/>
    <s v="Long Wait"/>
  </r>
  <r>
    <x v="537"/>
    <s v="Rohan Nair"/>
    <n v="38"/>
    <x v="0"/>
    <x v="2"/>
    <x v="3"/>
    <x v="286"/>
    <d v="2025-12-31T00:00:00"/>
    <x v="5"/>
    <s v="Antibiotics"/>
    <s v="Dr. Adeyemi"/>
    <x v="1"/>
    <s v="Axa Mansard"/>
    <n v="351246.85"/>
    <n v="70876.66"/>
    <n v="84350.8"/>
    <n v="7"/>
    <n v="13"/>
    <n v="3.4"/>
    <x v="1"/>
    <s v="Deceased"/>
    <x v="1"/>
    <s v="Cash"/>
    <n v="506474.31"/>
    <s v="Adult"/>
    <s v="Excellent"/>
  </r>
  <r>
    <x v="538"/>
    <s v="Kavya Reddy"/>
    <n v="53"/>
    <x v="1"/>
    <x v="9"/>
    <x v="0"/>
    <x v="122"/>
    <d v="2024-06-06T00:00:00"/>
    <x v="5"/>
    <s v="Iv Therapy"/>
    <s v="Dr. Bello"/>
    <x v="0"/>
    <s v="Hygeia Hmo"/>
    <n v="316089.5"/>
    <n v="9027.68"/>
    <n v="47035.16"/>
    <n v="2"/>
    <n v="0"/>
    <n v="5"/>
    <x v="0"/>
    <s v="Deceased"/>
    <x v="1"/>
    <s v="Card"/>
    <n v="372152.33999999997"/>
    <s v="Adult"/>
    <s v="Excellent"/>
  </r>
  <r>
    <x v="539"/>
    <s v="Meera Kapoor"/>
    <n v="80"/>
    <x v="1"/>
    <x v="0"/>
    <x v="1"/>
    <x v="405"/>
    <d v="2026-06-23T00:00:00"/>
    <x v="9"/>
    <s v="Observation"/>
    <s v="Dr. Okafor"/>
    <x v="1"/>
    <s v="Leadway Health"/>
    <n v="95773.88"/>
    <n v="49294.9"/>
    <n v="55687.58"/>
    <n v="2"/>
    <n v="189"/>
    <n v="2.8"/>
    <x v="0"/>
    <s v="Deceased"/>
    <x v="0"/>
    <s v="Card"/>
    <n v="200756.36"/>
    <s v="Senior"/>
    <s v="Long Wait"/>
  </r>
  <r>
    <x v="540"/>
    <s v="Rahul Gupta"/>
    <n v="38"/>
    <x v="0"/>
    <x v="3"/>
    <x v="0"/>
    <x v="178"/>
    <d v="2025-01-26T00:00:00"/>
    <x v="7"/>
    <s v="Medication"/>
    <s v="Dr. Okafor"/>
    <x v="0"/>
    <s v="Reliance Hmo"/>
    <n v="414463.41"/>
    <n v="45933.120000000003"/>
    <n v="93489"/>
    <n v="3"/>
    <n v="0"/>
    <n v="3.7"/>
    <x v="1"/>
    <s v="Deceased"/>
    <x v="0"/>
    <s v="Card"/>
    <n v="553885.53"/>
    <s v="Adult"/>
    <s v="Excellent"/>
  </r>
  <r>
    <x v="541"/>
    <s v="Riya Nair"/>
    <n v="36"/>
    <x v="1"/>
    <x v="0"/>
    <x v="6"/>
    <x v="406"/>
    <d v="2024-05-20T00:00:00"/>
    <x v="0"/>
    <s v="Iv Therapy"/>
    <s v="Dr. Adeyemi"/>
    <x v="1"/>
    <s v="Leadway Health"/>
    <n v="88256.82"/>
    <n v="36152.089999999997"/>
    <n v="20931.599999999999"/>
    <n v="14"/>
    <n v="206"/>
    <n v="3.3"/>
    <x v="0"/>
    <s v="Deceased"/>
    <x v="1"/>
    <s v="Cash"/>
    <n v="145340.51"/>
    <s v="Adult"/>
    <s v="Long Wait"/>
  </r>
  <r>
    <x v="542"/>
    <s v="Maya Verma"/>
    <n v="32"/>
    <x v="1"/>
    <x v="3"/>
    <x v="3"/>
    <x v="132"/>
    <d v="2026-05-03T00:00:00"/>
    <x v="0"/>
    <s v="Surgery"/>
    <s v="Dr. Okafor"/>
    <x v="2"/>
    <s v="Avon Hmo"/>
    <n v="320578.44"/>
    <n v="26056.33"/>
    <n v="25750"/>
    <n v="2"/>
    <n v="219"/>
    <n v="2.6"/>
    <x v="0"/>
    <s v="Deceased"/>
    <x v="2"/>
    <s v="Insurance"/>
    <n v="372384.77"/>
    <s v="Yound Adult"/>
    <s v="Long Wait"/>
  </r>
  <r>
    <x v="543"/>
    <s v="Arjun Verma"/>
    <n v="57"/>
    <x v="0"/>
    <x v="5"/>
    <x v="0"/>
    <x v="407"/>
    <d v="2024-10-15T00:00:00"/>
    <x v="0"/>
    <s v="Observation"/>
    <s v="Dr. Balogun"/>
    <x v="1"/>
    <s v="Mediplus"/>
    <n v="0"/>
    <n v="42006.51"/>
    <n v="13346.77"/>
    <n v="3"/>
    <n v="156"/>
    <n v="2.4"/>
    <x v="0"/>
    <s v="Deceased"/>
    <x v="0"/>
    <s v="Insurance"/>
    <n v="55353.279999999999"/>
    <s v="Adult"/>
    <s v="Long Wait"/>
  </r>
  <r>
    <x v="544"/>
    <s v="Maya Nair"/>
    <n v="20"/>
    <x v="0"/>
    <x v="2"/>
    <x v="4"/>
    <x v="385"/>
    <d v="2026-05-10T00:00:00"/>
    <x v="4"/>
    <s v="Iv Therapy"/>
    <s v="Dr. Balogun"/>
    <x v="2"/>
    <s v="Mediplus"/>
    <n v="313151.65000000002"/>
    <n v="10096.58"/>
    <n v="16498.099999999999"/>
    <n v="1"/>
    <n v="0"/>
    <n v="3.1"/>
    <x v="1"/>
    <s v="Referred"/>
    <x v="1"/>
    <s v="Bank Transfer"/>
    <n v="339746.33"/>
    <s v="Yound Adult"/>
    <s v="Excellent"/>
  </r>
  <r>
    <x v="545"/>
    <s v="Aditya Shah"/>
    <n v="48"/>
    <x v="0"/>
    <x v="2"/>
    <x v="0"/>
    <x v="408"/>
    <d v="2026-03-26T00:00:00"/>
    <x v="11"/>
    <s v="Antibiotics"/>
    <s v="Dr. Chukwu"/>
    <x v="2"/>
    <s v="Mediplus"/>
    <n v="353182.87"/>
    <n v="43172.45"/>
    <n v="39273.83"/>
    <n v="2"/>
    <n v="80"/>
    <n v="4.4000000000000004"/>
    <x v="1"/>
    <s v="Improved"/>
    <x v="2"/>
    <s v="Card"/>
    <n v="435629.15"/>
    <s v="Adult"/>
    <s v="Long Wait"/>
  </r>
  <r>
    <x v="546"/>
    <s v="Ishaan Rao"/>
    <n v="40"/>
    <x v="0"/>
    <x v="10"/>
    <x v="8"/>
    <x v="409"/>
    <d v="2025-06-23T00:00:00"/>
    <x v="3"/>
    <s v="Physiotherapy"/>
    <s v="Dr. Eze"/>
    <x v="0"/>
    <s v="Leadway Health"/>
    <n v="416970.86"/>
    <n v="17897.04"/>
    <n v="73658.080000000002"/>
    <n v="4"/>
    <n v="92"/>
    <n v="2.9"/>
    <x v="1"/>
    <s v="Improved"/>
    <x v="2"/>
    <s v="Card"/>
    <n v="508525.98"/>
    <s v="Adult"/>
    <s v="Long Wait"/>
  </r>
  <r>
    <x v="547"/>
    <s v="Arjun Reddy"/>
    <n v="52"/>
    <x v="0"/>
    <x v="0"/>
    <x v="0"/>
    <x v="410"/>
    <d v="2024-06-21T00:00:00"/>
    <x v="2"/>
    <s v="Physiotherapy"/>
    <s v="Dr. Bello"/>
    <x v="1"/>
    <s v="Leadway Health"/>
    <n v="269976.19"/>
    <n v="32031.96"/>
    <n v="43863.21"/>
    <n v="4"/>
    <n v="274"/>
    <n v="5"/>
    <x v="1"/>
    <s v="Recovered"/>
    <x v="1"/>
    <s v="Mobile Money"/>
    <n v="345871.36000000004"/>
    <s v="Adult"/>
    <s v="Long Wait"/>
  </r>
  <r>
    <x v="548"/>
    <s v="Meera Rao"/>
    <n v="45"/>
    <x v="0"/>
    <x v="1"/>
    <x v="0"/>
    <x v="110"/>
    <d v="2024-03-14T00:00:00"/>
    <x v="2"/>
    <s v="Physiotherapy"/>
    <s v="Dr. Ibrahim"/>
    <x v="2"/>
    <s v="Avon Hmo"/>
    <n v="361002.01"/>
    <n v="42949.87"/>
    <n v="45786.14"/>
    <n v="5"/>
    <n v="72"/>
    <n v="3.6"/>
    <x v="1"/>
    <s v="Recovered"/>
    <x v="2"/>
    <s v="Bank Transfer"/>
    <n v="449738.02"/>
    <s v="Adult"/>
    <s v="Long Wait"/>
  </r>
  <r>
    <x v="549"/>
    <s v="Zara Joshi"/>
    <n v="47"/>
    <x v="0"/>
    <x v="6"/>
    <x v="2"/>
    <x v="199"/>
    <d v="2024-06-06T00:00:00"/>
    <x v="3"/>
    <s v="Iv Therapy"/>
    <s v="Dr. Musa"/>
    <x v="1"/>
    <s v="Hygeia Hmo"/>
    <n v="151613.35"/>
    <n v="69816.75"/>
    <n v="45580.32"/>
    <n v="1"/>
    <n v="5"/>
    <n v="3.6"/>
    <x v="1"/>
    <s v="Recovered"/>
    <x v="0"/>
    <s v="Insurance"/>
    <n v="267010.42"/>
    <s v="Adult"/>
    <s v="Excellent"/>
  </r>
  <r>
    <x v="550"/>
    <s v="Isha Joshi"/>
    <n v="53"/>
    <x v="0"/>
    <x v="8"/>
    <x v="6"/>
    <x v="411"/>
    <d v="2024-08-10T00:00:00"/>
    <x v="3"/>
    <s v="Dialysis"/>
    <s v="Dr. Eze"/>
    <x v="1"/>
    <s v="Nhia"/>
    <n v="260732.63"/>
    <n v="53945.99"/>
    <n v="21273.55"/>
    <n v="1"/>
    <n v="97"/>
    <n v="1.9"/>
    <x v="1"/>
    <s v="Recovered"/>
    <x v="0"/>
    <s v="Insurance"/>
    <n v="335952.17"/>
    <s v="Adult"/>
    <s v="Long Wait"/>
  </r>
  <r>
    <x v="551"/>
    <s v="Ananya Kapoor"/>
    <n v="54"/>
    <x v="0"/>
    <x v="0"/>
    <x v="0"/>
    <x v="412"/>
    <d v="2025-02-11T00:00:00"/>
    <x v="3"/>
    <s v="Antibiotics"/>
    <s v="Dr. Eze"/>
    <x v="1"/>
    <s v="Axa Mansard"/>
    <n v="289412.7"/>
    <n v="30040.48"/>
    <n v="57443.19"/>
    <n v="5"/>
    <n v="215"/>
    <n v="3.3"/>
    <x v="1"/>
    <s v="Improved"/>
    <x v="1"/>
    <s v="Bank Transfer"/>
    <n v="376896.37"/>
    <s v="Adult"/>
    <s v="Long Wait"/>
  </r>
  <r>
    <x v="552"/>
    <s v="Riya Malhotra"/>
    <n v="57"/>
    <x v="1"/>
    <x v="11"/>
    <x v="2"/>
    <x v="124"/>
    <d v="2025-02-12T00:00:00"/>
    <x v="1"/>
    <s v="Wound Care"/>
    <s v="Dr. Okafor"/>
    <x v="1"/>
    <s v="Axa Mansard"/>
    <n v="314072.25"/>
    <n v="39605.050000000003"/>
    <n v="15167.14"/>
    <n v="1"/>
    <n v="113"/>
    <n v="2.2000000000000002"/>
    <x v="1"/>
    <s v="Improved"/>
    <x v="2"/>
    <s v="Bank Transfer"/>
    <n v="368844.44"/>
    <s v="Adult"/>
    <s v="Long Wait"/>
  </r>
  <r>
    <x v="553"/>
    <s v="Ananya Das"/>
    <n v="65"/>
    <x v="1"/>
    <x v="8"/>
    <x v="4"/>
    <x v="413"/>
    <d v="2025-12-25T00:00:00"/>
    <x v="2"/>
    <s v="Wound Care"/>
    <s v="Dr. Okafor"/>
    <x v="1"/>
    <s v="Axa Mansard"/>
    <n v="331538.27"/>
    <n v="30379.57"/>
    <n v="15755.8"/>
    <n v="2"/>
    <n v="143"/>
    <n v="3.7"/>
    <x v="1"/>
    <s v="Recovered"/>
    <x v="0"/>
    <s v="Card"/>
    <n v="377673.64"/>
    <s v="Senior"/>
    <s v="Long Wait"/>
  </r>
  <r>
    <x v="554"/>
    <s v="Rohan Kapoor"/>
    <n v="60"/>
    <x v="0"/>
    <x v="9"/>
    <x v="8"/>
    <x v="23"/>
    <d v="2026-05-19T00:00:00"/>
    <x v="10"/>
    <s v="Chemotherapy"/>
    <s v="Dr. Okafor"/>
    <x v="1"/>
    <s v="Self Pay"/>
    <n v="216607.4"/>
    <n v="60061.279999999999"/>
    <n v="12141.88"/>
    <n v="1"/>
    <n v="0"/>
    <n v="4.0999999999999996"/>
    <x v="1"/>
    <s v="Recovered"/>
    <x v="2"/>
    <s v="Mobile Money"/>
    <n v="288810.56"/>
    <s v="Senior"/>
    <s v="Excellent"/>
  </r>
  <r>
    <x v="555"/>
    <s v="Rohan Gupta"/>
    <n v="39"/>
    <x v="1"/>
    <x v="9"/>
    <x v="4"/>
    <x v="414"/>
    <d v="2025-08-29T00:00:00"/>
    <x v="2"/>
    <s v="Observation"/>
    <s v="Dr. Okafor"/>
    <x v="2"/>
    <s v="Mediplus"/>
    <n v="182815.35999999999"/>
    <n v="20003.04"/>
    <n v="41560.769999999997"/>
    <n v="1"/>
    <n v="114"/>
    <n v="3.5"/>
    <x v="1"/>
    <s v="Deceased"/>
    <x v="2"/>
    <s v="Mobile Money"/>
    <n v="244379.16999999998"/>
    <s v="Adult"/>
    <s v="Long Wait"/>
  </r>
  <r>
    <x v="556"/>
    <s v="Priya Nair"/>
    <n v="53"/>
    <x v="1"/>
    <x v="1"/>
    <x v="4"/>
    <x v="415"/>
    <d v="2024-11-20T00:00:00"/>
    <x v="6"/>
    <s v="Iv Therapy"/>
    <s v="Dr. Ibrahim"/>
    <x v="0"/>
    <s v="Avon Hmo"/>
    <n v="0"/>
    <n v="0"/>
    <n v="67175.41"/>
    <n v="1"/>
    <n v="133"/>
    <n v="3.6"/>
    <x v="1"/>
    <s v="Deceased"/>
    <x v="2"/>
    <s v="Card"/>
    <n v="67175.41"/>
    <s v="Adult"/>
    <s v="Long Wait"/>
  </r>
  <r>
    <x v="557"/>
    <s v="Aisha Kapoor"/>
    <n v="27"/>
    <x v="1"/>
    <x v="2"/>
    <x v="4"/>
    <x v="356"/>
    <d v="2025-12-05T00:00:00"/>
    <x v="2"/>
    <s v="Physiotherapy"/>
    <s v="Dr. Adebayo"/>
    <x v="0"/>
    <s v="Reliance Hmo"/>
    <n v="183215.46"/>
    <n v="0"/>
    <n v="22829.14"/>
    <n v="1"/>
    <n v="143"/>
    <n v="5"/>
    <x v="1"/>
    <s v="Deceased"/>
    <x v="0"/>
    <s v="Insurance"/>
    <n v="206044.59999999998"/>
    <s v="Yound Adult"/>
    <s v="Long Wait"/>
  </r>
  <r>
    <x v="558"/>
    <s v="Maya Mehta"/>
    <n v="59"/>
    <x v="0"/>
    <x v="11"/>
    <x v="5"/>
    <x v="416"/>
    <d v="2025-06-11T00:00:00"/>
    <x v="1"/>
    <s v="Iv Therapy"/>
    <s v="Dr. Okafor"/>
    <x v="1"/>
    <s v="Axa Mansard"/>
    <n v="0"/>
    <n v="46486.28"/>
    <n v="20881.55"/>
    <n v="2"/>
    <n v="118"/>
    <n v="2.6"/>
    <x v="1"/>
    <s v="Referred"/>
    <x v="0"/>
    <s v="Bank Transfer"/>
    <n v="67367.83"/>
    <s v="Adult"/>
    <s v="Long Wait"/>
  </r>
  <r>
    <x v="559"/>
    <s v="Kabir Verma"/>
    <n v="23"/>
    <x v="0"/>
    <x v="10"/>
    <x v="5"/>
    <x v="1"/>
    <d v="2025-12-26T00:00:00"/>
    <x v="2"/>
    <s v="Physiotherapy"/>
    <s v="Dr. Balogun"/>
    <x v="1"/>
    <s v="Nhia"/>
    <n v="307864.88"/>
    <n v="23012.31"/>
    <n v="40250.839999999997"/>
    <n v="7"/>
    <n v="81"/>
    <n v="2.6"/>
    <x v="0"/>
    <s v="Improved"/>
    <x v="0"/>
    <s v="Bank Transfer"/>
    <n v="371128.03"/>
    <s v="Yound Adult"/>
    <s v="Long Wait"/>
  </r>
  <r>
    <x v="560"/>
    <s v="Rahul Malhotra"/>
    <n v="41"/>
    <x v="0"/>
    <x v="0"/>
    <x v="1"/>
    <x v="400"/>
    <d v="2025-09-02T00:00:00"/>
    <x v="11"/>
    <s v="Iv Therapy"/>
    <s v="Dr. Adeyemi"/>
    <x v="2"/>
    <s v="Self Pay"/>
    <n v="253773.63"/>
    <n v="32112.63"/>
    <n v="68939.839999999997"/>
    <n v="3"/>
    <n v="164"/>
    <n v="2.2999999999999998"/>
    <x v="0"/>
    <s v="Improved"/>
    <x v="0"/>
    <s v="Insurance"/>
    <n v="354826.1"/>
    <s v="Adult"/>
    <s v="Long Wait"/>
  </r>
  <r>
    <x v="561"/>
    <s v="Aisha Malhotra"/>
    <n v="16"/>
    <x v="0"/>
    <x v="0"/>
    <x v="6"/>
    <x v="232"/>
    <d v="2024-10-07T00:00:00"/>
    <x v="11"/>
    <s v="Physiotherapy"/>
    <s v="Dr. Eze"/>
    <x v="0"/>
    <s v="Hygeia Hmo"/>
    <n v="302299.82"/>
    <n v="45493.47"/>
    <n v="0"/>
    <n v="5"/>
    <n v="101"/>
    <n v="3.1"/>
    <x v="0"/>
    <s v="Deceased"/>
    <x v="0"/>
    <s v="Bank Transfer"/>
    <n v="347793.29000000004"/>
    <s v="Child"/>
    <s v="Long Wait"/>
  </r>
  <r>
    <x v="562"/>
    <s v="Kabir Kumar"/>
    <n v="72"/>
    <x v="0"/>
    <x v="4"/>
    <x v="3"/>
    <x v="417"/>
    <d v="2026-04-01T00:00:00"/>
    <x v="3"/>
    <s v="Dialysis"/>
    <s v="Dr. Okafor"/>
    <x v="0"/>
    <s v="Hygeia Hmo"/>
    <n v="128484.92"/>
    <n v="9840.58"/>
    <n v="47270.85"/>
    <n v="1"/>
    <n v="146"/>
    <n v="3.5"/>
    <x v="0"/>
    <s v="Referred"/>
    <x v="2"/>
    <s v="Insurance"/>
    <n v="185596.35"/>
    <s v="Senior"/>
    <s v="Long Wait"/>
  </r>
  <r>
    <x v="563"/>
    <s v="Meera Das"/>
    <n v="54"/>
    <x v="0"/>
    <x v="0"/>
    <x v="1"/>
    <x v="418"/>
    <d v="2025-07-29T00:00:00"/>
    <x v="3"/>
    <s v="Antibiotics"/>
    <s v="Dr. Adeyemi"/>
    <x v="1"/>
    <s v="Axa Mansard"/>
    <n v="0"/>
    <n v="16763.330000000002"/>
    <n v="28144.74"/>
    <n v="7"/>
    <n v="130"/>
    <n v="0.3"/>
    <x v="0"/>
    <s v="Referred"/>
    <x v="1"/>
    <s v="Insurance"/>
    <n v="44908.070000000007"/>
    <s v="Adult"/>
    <s v="Long Wait"/>
  </r>
  <r>
    <x v="564"/>
    <s v="Priya Verma"/>
    <n v="54"/>
    <x v="1"/>
    <x v="0"/>
    <x v="4"/>
    <x v="164"/>
    <d v="2024-12-09T00:00:00"/>
    <x v="9"/>
    <s v="Antibiotics"/>
    <s v="Dr. Eze"/>
    <x v="1"/>
    <s v="Self Pay"/>
    <n v="240842.75"/>
    <n v="59539.19"/>
    <n v="115309.62"/>
    <n v="18"/>
    <n v="160"/>
    <n v="4.9000000000000004"/>
    <x v="0"/>
    <s v="Referred"/>
    <x v="1"/>
    <s v="Insurance"/>
    <n v="415691.56"/>
    <s v="Adult"/>
    <s v="Long Wait"/>
  </r>
  <r>
    <x v="565"/>
    <s v="Kavya Kumar"/>
    <n v="39"/>
    <x v="0"/>
    <x v="10"/>
    <x v="0"/>
    <x v="231"/>
    <d v="2024-07-04T00:00:00"/>
    <x v="9"/>
    <s v="Chemotherapy"/>
    <s v="Dr. Okafor"/>
    <x v="1"/>
    <s v="Self Pay"/>
    <n v="153388.64000000001"/>
    <n v="9347.2000000000007"/>
    <n v="24389.58"/>
    <n v="3"/>
    <n v="0"/>
    <n v="3.6"/>
    <x v="1"/>
    <s v="Referred"/>
    <x v="2"/>
    <s v="Mobile Money"/>
    <n v="187125.42000000004"/>
    <s v="Adult"/>
    <s v="Excellent"/>
  </r>
  <r>
    <x v="566"/>
    <s v="Meera Joshi"/>
    <n v="47"/>
    <x v="0"/>
    <x v="8"/>
    <x v="2"/>
    <x v="419"/>
    <d v="2024-07-04T00:00:00"/>
    <x v="4"/>
    <s v="Counseling"/>
    <s v="Dr. Okafor"/>
    <x v="1"/>
    <s v="Mediplus"/>
    <n v="214913.71"/>
    <n v="33673.379999999997"/>
    <n v="29336.05"/>
    <n v="1"/>
    <n v="325"/>
    <n v="5"/>
    <x v="1"/>
    <s v="Recovered"/>
    <x v="2"/>
    <s v="Bank Transfer"/>
    <n v="277923.14"/>
    <s v="Adult"/>
    <s v="Long Wait"/>
  </r>
  <r>
    <x v="567"/>
    <s v="Meera Shah"/>
    <n v="48"/>
    <x v="0"/>
    <x v="0"/>
    <x v="4"/>
    <x v="386"/>
    <d v="2026-01-21T00:00:00"/>
    <x v="2"/>
    <s v="Physiotherapy"/>
    <s v="Dr. Yusuf"/>
    <x v="0"/>
    <s v="Self Pay"/>
    <n v="134879.14000000001"/>
    <n v="4638.01"/>
    <n v="4797.84"/>
    <n v="1"/>
    <n v="127"/>
    <n v="2.8"/>
    <x v="1"/>
    <s v="Recovered"/>
    <x v="2"/>
    <s v="Cash"/>
    <n v="144314.99000000002"/>
    <s v="Adult"/>
    <s v="Long Wait"/>
  </r>
  <r>
    <x v="568"/>
    <s v="Meera Das"/>
    <n v="64"/>
    <x v="1"/>
    <x v="0"/>
    <x v="0"/>
    <x v="2"/>
    <d v="2025-09-16T00:00:00"/>
    <x v="2"/>
    <s v="Surgery"/>
    <s v="Dr. Yusuf"/>
    <x v="0"/>
    <s v="Axa Mansard"/>
    <n v="412348.01"/>
    <n v="8690.33"/>
    <n v="59260.97"/>
    <n v="6"/>
    <n v="142"/>
    <n v="3.1"/>
    <x v="1"/>
    <s v="Improved"/>
    <x v="0"/>
    <s v="Card"/>
    <n v="480299.31000000006"/>
    <s v="Senior"/>
    <s v="Long Wait"/>
  </r>
  <r>
    <x v="569"/>
    <s v="Vivaan Rao"/>
    <n v="78"/>
    <x v="1"/>
    <x v="6"/>
    <x v="7"/>
    <x v="420"/>
    <d v="2025-08-28T00:00:00"/>
    <x v="1"/>
    <s v="Counseling"/>
    <s v="Dr. Okafor"/>
    <x v="1"/>
    <s v="Avon Hmo"/>
    <n v="251849.42"/>
    <n v="45899.19"/>
    <n v="20337.72"/>
    <n v="1"/>
    <n v="3"/>
    <n v="3"/>
    <x v="0"/>
    <s v="Improved"/>
    <x v="0"/>
    <s v="Card"/>
    <n v="318086.32999999996"/>
    <s v="Senior"/>
    <s v="Excellent"/>
  </r>
  <r>
    <x v="570"/>
    <s v="Vivaan Reddy"/>
    <n v="19"/>
    <x v="1"/>
    <x v="11"/>
    <x v="6"/>
    <x v="29"/>
    <d v="2026-02-26T00:00:00"/>
    <x v="4"/>
    <s v="Antibiotics"/>
    <s v="Dr. Balogun"/>
    <x v="1"/>
    <s v="Mediplus"/>
    <n v="218621.73"/>
    <n v="0"/>
    <n v="11398.58"/>
    <n v="2"/>
    <n v="145"/>
    <n v="4.5"/>
    <x v="0"/>
    <s v="Recovered"/>
    <x v="1"/>
    <s v="Card"/>
    <n v="230020.31"/>
    <s v="Yound Adult"/>
    <s v="Long Wait"/>
  </r>
  <r>
    <x v="571"/>
    <s v="Priya Sharma"/>
    <n v="20"/>
    <x v="1"/>
    <x v="11"/>
    <x v="3"/>
    <x v="421"/>
    <d v="2026-01-16T00:00:00"/>
    <x v="0"/>
    <s v="Antibiotics"/>
    <s v="Dr. Chukwu"/>
    <x v="1"/>
    <s v="Self Pay"/>
    <n v="76163.5"/>
    <n v="20668.29"/>
    <n v="64335.55"/>
    <n v="2"/>
    <n v="164"/>
    <n v="3.1"/>
    <x v="0"/>
    <s v="Recovered"/>
    <x v="1"/>
    <s v="Card"/>
    <n v="161167.34000000003"/>
    <s v="Yound Adult"/>
    <s v="Long Wait"/>
  </r>
  <r>
    <x v="572"/>
    <s v="Vivaan Nair"/>
    <n v="47"/>
    <x v="1"/>
    <x v="10"/>
    <x v="8"/>
    <x v="422"/>
    <d v="2024-09-07T00:00:00"/>
    <x v="4"/>
    <s v="Observation"/>
    <s v="Dr. Eze"/>
    <x v="1"/>
    <s v="Avon Hmo"/>
    <n v="368772.02"/>
    <n v="20609.16"/>
    <n v="85533.42"/>
    <n v="1"/>
    <n v="191"/>
    <n v="4"/>
    <x v="0"/>
    <s v="Referred"/>
    <x v="2"/>
    <s v="Card"/>
    <n v="474914.6"/>
    <s v="Adult"/>
    <s v="Long Wait"/>
  </r>
  <r>
    <x v="573"/>
    <s v="Sneha Mehta"/>
    <n v="43"/>
    <x v="1"/>
    <x v="11"/>
    <x v="3"/>
    <x v="423"/>
    <d v="2025-11-24T00:00:00"/>
    <x v="1"/>
    <s v="Medication"/>
    <s v="Dr. Balogun"/>
    <x v="0"/>
    <s v="Leadway Health"/>
    <n v="392198.65"/>
    <n v="54567.08"/>
    <n v="2997.88"/>
    <n v="4"/>
    <n v="139"/>
    <n v="3.4"/>
    <x v="1"/>
    <s v="Improved"/>
    <x v="0"/>
    <s v="Card"/>
    <n v="449763.61000000004"/>
    <s v="Adult"/>
    <s v="Long Wait"/>
  </r>
  <r>
    <x v="574"/>
    <s v="Rohan Shah"/>
    <n v="26"/>
    <x v="1"/>
    <x v="10"/>
    <x v="8"/>
    <x v="424"/>
    <d v="2024-06-11T00:00:00"/>
    <x v="2"/>
    <s v="Counseling"/>
    <s v="Dr. Balogun"/>
    <x v="1"/>
    <s v="Avon Hmo"/>
    <n v="464739.19"/>
    <n v="56001.55"/>
    <n v="22806.87"/>
    <n v="3"/>
    <n v="0"/>
    <n v="3.2"/>
    <x v="1"/>
    <s v="Improved"/>
    <x v="1"/>
    <s v="Card"/>
    <n v="543547.61"/>
    <s v="Yound Adult"/>
    <s v="Excellent"/>
  </r>
  <r>
    <x v="575"/>
    <s v="Zara Gupta"/>
    <n v="48"/>
    <x v="1"/>
    <x v="9"/>
    <x v="8"/>
    <x v="367"/>
    <d v="2024-04-27T00:00:00"/>
    <x v="3"/>
    <s v="Iv Therapy"/>
    <s v="Dr. Balogun"/>
    <x v="1"/>
    <s v="Self Pay"/>
    <n v="395438.6"/>
    <n v="49747.99"/>
    <n v="74087.070000000007"/>
    <n v="4"/>
    <n v="119"/>
    <n v="1.9"/>
    <x v="1"/>
    <s v="Improved"/>
    <x v="0"/>
    <s v="Mobile Money"/>
    <n v="519273.66"/>
    <s v="Adult"/>
    <s v="Long Wait"/>
  </r>
  <r>
    <x v="576"/>
    <s v="Kabir Shah"/>
    <n v="66"/>
    <x v="0"/>
    <x v="9"/>
    <x v="7"/>
    <x v="425"/>
    <d v="2025-10-12T00:00:00"/>
    <x v="2"/>
    <s v="Observation"/>
    <s v="Dr. Balogun"/>
    <x v="1"/>
    <s v="Mediplus"/>
    <n v="212786.79"/>
    <n v="42577.26"/>
    <n v="35437.550000000003"/>
    <n v="2"/>
    <n v="17"/>
    <n v="3.5"/>
    <x v="1"/>
    <s v="Improved"/>
    <x v="2"/>
    <s v="Mobile Money"/>
    <n v="290801.60000000003"/>
    <s v="Senior"/>
    <s v="Excellent"/>
  </r>
  <r>
    <x v="577"/>
    <s v="Zara Nair"/>
    <n v="28"/>
    <x v="0"/>
    <x v="0"/>
    <x v="8"/>
    <x v="426"/>
    <d v="2024-06-28T00:00:00"/>
    <x v="2"/>
    <s v="Counseling"/>
    <s v="Dr. Balogun"/>
    <x v="0"/>
    <s v="Self Pay"/>
    <n v="187000.43"/>
    <n v="6513.42"/>
    <n v="78577.350000000006"/>
    <n v="3"/>
    <n v="72"/>
    <n v="5"/>
    <x v="0"/>
    <s v="Deceased"/>
    <x v="0"/>
    <s v="Mobile Money"/>
    <n v="272091.2"/>
    <s v="Yound Adult"/>
    <s v="Long Wait"/>
  </r>
  <r>
    <x v="578"/>
    <s v="Rahul Singh"/>
    <n v="41"/>
    <x v="1"/>
    <x v="4"/>
    <x v="0"/>
    <x v="427"/>
    <d v="2025-08-14T00:00:00"/>
    <x v="2"/>
    <s v="Surgery"/>
    <s v="Dr. Musa"/>
    <x v="0"/>
    <s v="Self Pay"/>
    <n v="78817.179999999993"/>
    <n v="0"/>
    <n v="838.89"/>
    <n v="9"/>
    <n v="0"/>
    <n v="5"/>
    <x v="0"/>
    <s v="Deceased"/>
    <x v="0"/>
    <s v="Mobile Money"/>
    <n v="79656.069999999992"/>
    <s v="Adult"/>
    <s v="Excellent"/>
  </r>
  <r>
    <x v="579"/>
    <s v="Arjun Malhotra"/>
    <n v="51"/>
    <x v="1"/>
    <x v="6"/>
    <x v="8"/>
    <x v="262"/>
    <d v="2024-03-10T00:00:00"/>
    <x v="1"/>
    <s v="Dialysis"/>
    <s v="Dr. Ibrahim"/>
    <x v="0"/>
    <s v="Self Pay"/>
    <n v="0"/>
    <n v="50.84"/>
    <n v="71612.39"/>
    <n v="3"/>
    <n v="116"/>
    <n v="3.5"/>
    <x v="0"/>
    <s v="Deceased"/>
    <x v="0"/>
    <s v="Mobile Money"/>
    <n v="71663.23"/>
    <s v="Adult"/>
    <s v="Long Wait"/>
  </r>
  <r>
    <x v="580"/>
    <s v="Riya Patel"/>
    <n v="78"/>
    <x v="0"/>
    <x v="0"/>
    <x v="0"/>
    <x v="428"/>
    <d v="2025-04-22T00:00:00"/>
    <x v="1"/>
    <s v="Medication"/>
    <s v="Dr. Okafor"/>
    <x v="1"/>
    <s v="Axa Mansard"/>
    <n v="189054.06"/>
    <n v="31734.25"/>
    <n v="50777.91"/>
    <n v="4"/>
    <n v="274"/>
    <n v="1"/>
    <x v="0"/>
    <s v="Deceased"/>
    <x v="2"/>
    <s v="Card"/>
    <n v="271566.21999999997"/>
    <s v="Senior"/>
    <s v="Long Wait"/>
  </r>
  <r>
    <x v="581"/>
    <s v="Arjun Singh"/>
    <n v="40"/>
    <x v="1"/>
    <x v="2"/>
    <x v="2"/>
    <x v="429"/>
    <d v="2025-03-30T00:00:00"/>
    <x v="2"/>
    <s v="Medication"/>
    <s v="Dr. Ibrahim"/>
    <x v="1"/>
    <s v="Axa Mansard"/>
    <n v="299348.03999999998"/>
    <n v="13565.69"/>
    <n v="43531.05"/>
    <n v="5"/>
    <n v="148"/>
    <n v="5"/>
    <x v="0"/>
    <s v="Deceased"/>
    <x v="2"/>
    <s v="Card"/>
    <n v="356444.77999999997"/>
    <s v="Adult"/>
    <s v="Long Wait"/>
  </r>
  <r>
    <x v="582"/>
    <s v="Aditya Verma"/>
    <n v="24"/>
    <x v="1"/>
    <x v="10"/>
    <x v="3"/>
    <x v="430"/>
    <d v="2026-01-14T00:00:00"/>
    <x v="9"/>
    <s v="Physiotherapy"/>
    <s v="Dr. Ibrahim"/>
    <x v="1"/>
    <s v="Mediplus"/>
    <n v="160673.64000000001"/>
    <n v="18664.650000000001"/>
    <n v="0"/>
    <n v="5"/>
    <n v="70"/>
    <n v="4.7"/>
    <x v="0"/>
    <s v="Recovered"/>
    <x v="2"/>
    <s v="Bank Transfer"/>
    <n v="179338.29"/>
    <s v="Yound Adult"/>
    <s v="Long Wait"/>
  </r>
  <r>
    <x v="583"/>
    <s v="Diya Sharma"/>
    <n v="66"/>
    <x v="1"/>
    <x v="3"/>
    <x v="4"/>
    <x v="45"/>
    <d v="2024-10-30T00:00:00"/>
    <x v="1"/>
    <s v="Surgery"/>
    <s v="Dr. Eze"/>
    <x v="0"/>
    <s v="Avon Hmo"/>
    <n v="288288.46999999997"/>
    <n v="11644.17"/>
    <n v="40754.11"/>
    <n v="1"/>
    <n v="214"/>
    <n v="4.7"/>
    <x v="0"/>
    <s v="Recovered"/>
    <x v="0"/>
    <s v="Bank Transfer"/>
    <n v="340686.74999999994"/>
    <s v="Senior"/>
    <s v="Long Wait"/>
  </r>
  <r>
    <x v="584"/>
    <s v="Ananya Joshi"/>
    <n v="37"/>
    <x v="1"/>
    <x v="5"/>
    <x v="1"/>
    <x v="431"/>
    <d v="2026-08-28T00:00:00"/>
    <x v="1"/>
    <s v="Medication"/>
    <s v="Dr. Eze"/>
    <x v="0"/>
    <s v="Self Pay"/>
    <n v="230725.27"/>
    <n v="17205.91"/>
    <n v="0"/>
    <n v="3"/>
    <n v="248"/>
    <n v="3.9"/>
    <x v="1"/>
    <s v="Referred"/>
    <x v="0"/>
    <s v="Insurance"/>
    <n v="247931.18"/>
    <s v="Adult"/>
    <s v="Long Wait"/>
  </r>
  <r>
    <x v="585"/>
    <s v="Sneha Mehta"/>
    <n v="41"/>
    <x v="1"/>
    <x v="10"/>
    <x v="0"/>
    <x v="125"/>
    <d v="2024-01-17T00:00:00"/>
    <x v="1"/>
    <s v="Surgery"/>
    <s v="Dr. Okafor"/>
    <x v="0"/>
    <s v="Self Pay"/>
    <n v="117083.65"/>
    <n v="25351.89"/>
    <n v="0"/>
    <n v="4"/>
    <n v="265"/>
    <n v="2.1"/>
    <x v="1"/>
    <s v="Referred"/>
    <x v="0"/>
    <s v="Bank Transfer"/>
    <n v="142435.53999999998"/>
    <s v="Adult"/>
    <s v="Long Wait"/>
  </r>
  <r>
    <x v="586"/>
    <s v="Ananya Nair"/>
    <n v="33"/>
    <x v="1"/>
    <x v="9"/>
    <x v="1"/>
    <x v="315"/>
    <d v="2026-06-11T00:00:00"/>
    <x v="2"/>
    <s v="Medication"/>
    <s v="Dr. Okafor"/>
    <x v="1"/>
    <s v="Nhia"/>
    <n v="400330.6"/>
    <n v="30362.720000000001"/>
    <n v="7915.93"/>
    <n v="1"/>
    <n v="189"/>
    <n v="4.7"/>
    <x v="1"/>
    <s v="Recovered"/>
    <x v="1"/>
    <s v="Mobile Money"/>
    <n v="438609.24999999994"/>
    <s v="Yound Adult"/>
    <s v="Long Wait"/>
  </r>
  <r>
    <x v="587"/>
    <s v="Ananya Reddy"/>
    <n v="58"/>
    <x v="1"/>
    <x v="9"/>
    <x v="5"/>
    <x v="432"/>
    <d v="2025-04-19T00:00:00"/>
    <x v="6"/>
    <s v="Antibiotics"/>
    <s v="Dr. Okafor"/>
    <x v="1"/>
    <s v="Self Pay"/>
    <n v="555210.67000000004"/>
    <n v="84627.37"/>
    <n v="24398.54"/>
    <n v="4"/>
    <n v="216"/>
    <n v="4.2"/>
    <x v="0"/>
    <s v="Improved"/>
    <x v="0"/>
    <s v="Mobile Money"/>
    <n v="664236.58000000007"/>
    <s v="Adult"/>
    <s v="Long Wait"/>
  </r>
  <r>
    <x v="588"/>
    <s v="Vivaan Nair"/>
    <n v="5"/>
    <x v="1"/>
    <x v="4"/>
    <x v="8"/>
    <x v="242"/>
    <d v="2026-04-01T00:00:00"/>
    <x v="6"/>
    <s v="Observation"/>
    <s v="Dr. Ibrahim"/>
    <x v="2"/>
    <s v="Reliance Hmo"/>
    <n v="196145.99"/>
    <n v="9679.41"/>
    <n v="69841.759999999995"/>
    <n v="4"/>
    <n v="175"/>
    <n v="1"/>
    <x v="1"/>
    <s v="Deceased"/>
    <x v="1"/>
    <s v="Mobile Money"/>
    <n v="275667.15999999997"/>
    <s v="Child"/>
    <s v="Long Wait"/>
  </r>
  <r>
    <x v="589"/>
    <s v="Vivaan Mehta"/>
    <n v="67"/>
    <x v="0"/>
    <x v="8"/>
    <x v="7"/>
    <x v="433"/>
    <d v="2026-07-31T00:00:00"/>
    <x v="4"/>
    <s v="Medication"/>
    <s v="Dr. Ibrahim"/>
    <x v="0"/>
    <s v="Reliance Hmo"/>
    <n v="193864.95"/>
    <n v="48226.59"/>
    <n v="55534.96"/>
    <n v="3"/>
    <n v="120"/>
    <n v="3.3"/>
    <x v="1"/>
    <s v="Deceased"/>
    <x v="1"/>
    <s v="Card"/>
    <n v="297626.5"/>
    <s v="Senior"/>
    <s v="Long Wait"/>
  </r>
  <r>
    <x v="590"/>
    <s v="Ishaan Nair"/>
    <n v="18"/>
    <x v="0"/>
    <x v="7"/>
    <x v="7"/>
    <x v="263"/>
    <d v="2025-05-03T00:00:00"/>
    <x v="6"/>
    <s v="Wound Care"/>
    <s v="Dr. Chukwu"/>
    <x v="2"/>
    <s v="Self Pay"/>
    <n v="319309.34999999998"/>
    <n v="30486.46"/>
    <n v="40844.629999999997"/>
    <n v="1"/>
    <n v="63"/>
    <n v="5"/>
    <x v="1"/>
    <s v="Deceased"/>
    <x v="2"/>
    <s v="Card"/>
    <n v="390640.44"/>
    <s v="Yound Adult"/>
    <s v="Long Wait"/>
  </r>
  <r>
    <x v="591"/>
    <s v="Aisha Gupta"/>
    <n v="35"/>
    <x v="1"/>
    <x v="11"/>
    <x v="1"/>
    <x v="434"/>
    <d v="2026-02-17T00:00:00"/>
    <x v="3"/>
    <s v="Antibiotics"/>
    <s v="Dr. Adebayo"/>
    <x v="1"/>
    <s v="Axa Mansard"/>
    <n v="32250.94"/>
    <n v="48591.29"/>
    <n v="38853.699999999997"/>
    <n v="6"/>
    <n v="97"/>
    <n v="5"/>
    <x v="1"/>
    <s v="Recovered"/>
    <x v="2"/>
    <s v="Card"/>
    <n v="119695.93"/>
    <s v="Yound Adult"/>
    <s v="Long Wait"/>
  </r>
  <r>
    <x v="592"/>
    <s v="Ishaan Nair"/>
    <n v="43"/>
    <x v="0"/>
    <x v="7"/>
    <x v="4"/>
    <x v="435"/>
    <d v="2024-07-09T00:00:00"/>
    <x v="11"/>
    <s v="Observation"/>
    <s v="Dr. Eze"/>
    <x v="0"/>
    <s v="Avon Hmo"/>
    <n v="365202.25"/>
    <n v="38360.959999999999"/>
    <n v="89342.16"/>
    <n v="3"/>
    <n v="20"/>
    <n v="3.9"/>
    <x v="1"/>
    <s v="Referred"/>
    <x v="2"/>
    <s v="Insurance"/>
    <n v="492905.37"/>
    <s v="Adult"/>
    <s v="Excellent"/>
  </r>
  <r>
    <x v="593"/>
    <s v="Diya Mehta"/>
    <n v="19"/>
    <x v="1"/>
    <x v="9"/>
    <x v="0"/>
    <x v="436"/>
    <d v="2024-06-27T00:00:00"/>
    <x v="11"/>
    <s v="Dialysis"/>
    <s v="Dr. Okafor"/>
    <x v="0"/>
    <s v="Self Pay"/>
    <n v="353881.3"/>
    <n v="88116.83"/>
    <n v="44489.82"/>
    <n v="3"/>
    <n v="132"/>
    <n v="3.8"/>
    <x v="1"/>
    <s v="Recovered"/>
    <x v="1"/>
    <s v="Insurance"/>
    <n v="486487.95"/>
    <s v="Yound Adult"/>
    <s v="Long Wait"/>
  </r>
  <r>
    <x v="594"/>
    <s v="Ananya Sharma"/>
    <n v="2"/>
    <x v="1"/>
    <x v="0"/>
    <x v="8"/>
    <x v="437"/>
    <d v="2025-04-06T00:00:00"/>
    <x v="2"/>
    <s v="Iv Therapy"/>
    <s v="Dr. Balogun"/>
    <x v="1"/>
    <s v="Self Pay"/>
    <n v="121191.71"/>
    <n v="0"/>
    <n v="96123.06"/>
    <n v="1"/>
    <n v="86"/>
    <n v="3.3"/>
    <x v="1"/>
    <s v="Recovered"/>
    <x v="0"/>
    <s v="Bank Transfer"/>
    <n v="217314.77000000002"/>
    <s v="Child"/>
    <s v="Long Wait"/>
  </r>
  <r>
    <x v="595"/>
    <s v="Ananya Patel"/>
    <n v="18"/>
    <x v="0"/>
    <x v="0"/>
    <x v="0"/>
    <x v="438"/>
    <d v="2026-05-07T00:00:00"/>
    <x v="2"/>
    <s v="Iv Therapy"/>
    <s v="Dr. Balogun"/>
    <x v="2"/>
    <s v="Axa Mansard"/>
    <n v="112639.03"/>
    <n v="31701.81"/>
    <n v="75863.070000000007"/>
    <n v="5"/>
    <n v="132"/>
    <n v="4"/>
    <x v="1"/>
    <s v="Deceased"/>
    <x v="1"/>
    <s v="Bank Transfer"/>
    <n v="220203.91"/>
    <s v="Yound Adult"/>
    <s v="Long Wait"/>
  </r>
  <r>
    <x v="596"/>
    <s v="Aisha Gupta"/>
    <n v="51"/>
    <x v="0"/>
    <x v="2"/>
    <x v="4"/>
    <x v="400"/>
    <d v="2025-09-02T00:00:00"/>
    <x v="2"/>
    <s v="Surgery"/>
    <s v="Dr. Adeyemi"/>
    <x v="1"/>
    <s v="Reliance Hmo"/>
    <n v="248231.41"/>
    <n v="4250.6899999999996"/>
    <n v="46382.38"/>
    <n v="3"/>
    <n v="14"/>
    <n v="3.8"/>
    <x v="0"/>
    <s v="Deceased"/>
    <x v="1"/>
    <s v="Card"/>
    <n v="298864.48"/>
    <s v="Adult"/>
    <s v="Excellent"/>
  </r>
  <r>
    <x v="597"/>
    <s v="Neha Kumar"/>
    <n v="92"/>
    <x v="0"/>
    <x v="3"/>
    <x v="4"/>
    <x v="439"/>
    <d v="2026-06-22T00:00:00"/>
    <x v="2"/>
    <s v="Surgery"/>
    <s v="Dr. Bello"/>
    <x v="1"/>
    <s v="Hygeia Hmo"/>
    <n v="214414.79"/>
    <n v="0"/>
    <n v="40974.589999999997"/>
    <n v="2"/>
    <n v="133"/>
    <n v="5"/>
    <x v="0"/>
    <s v="Recovered"/>
    <x v="1"/>
    <s v="Card"/>
    <n v="255389.38"/>
    <s v="Senior"/>
    <s v="Long Wait"/>
  </r>
  <r>
    <x v="598"/>
    <s v="Ishaan Singh"/>
    <n v="8"/>
    <x v="1"/>
    <x v="0"/>
    <x v="6"/>
    <x v="198"/>
    <d v="2026-04-18T00:00:00"/>
    <x v="7"/>
    <s v="Surgery"/>
    <s v="Dr. Adeyemi"/>
    <x v="1"/>
    <s v="Self Pay"/>
    <n v="334357.18"/>
    <n v="0"/>
    <n v="31915.34"/>
    <n v="2"/>
    <n v="75"/>
    <n v="3.6"/>
    <x v="0"/>
    <s v="Improved"/>
    <x v="0"/>
    <s v="Card"/>
    <n v="366272.52"/>
    <s v="Child"/>
    <s v="Long Wait"/>
  </r>
  <r>
    <x v="599"/>
    <s v="Vivaan Rao"/>
    <n v="27"/>
    <x v="1"/>
    <x v="11"/>
    <x v="8"/>
    <x v="243"/>
    <d v="2025-12-26T00:00:00"/>
    <x v="2"/>
    <s v="Physiotherapy"/>
    <s v="Dr. Adeyemi"/>
    <x v="1"/>
    <s v="Self Pay"/>
    <n v="181677.9"/>
    <n v="29643.24"/>
    <n v="49487.94"/>
    <n v="5"/>
    <n v="102"/>
    <n v="4.3"/>
    <x v="0"/>
    <s v="Improved"/>
    <x v="0"/>
    <s v="Cash"/>
    <n v="260809.08"/>
    <s v="Yound Adult"/>
    <s v="Long Wait"/>
  </r>
  <r>
    <x v="600"/>
    <s v="Sneha Das"/>
    <n v="51"/>
    <x v="0"/>
    <x v="11"/>
    <x v="2"/>
    <x v="440"/>
    <d v="2025-06-05T00:00:00"/>
    <x v="9"/>
    <s v="Medication"/>
    <s v="Dr. Adeyemi"/>
    <x v="1"/>
    <s v="Leadway Health"/>
    <n v="283501.96999999997"/>
    <n v="0"/>
    <n v="46506.83"/>
    <n v="5"/>
    <n v="130"/>
    <n v="4.5999999999999996"/>
    <x v="1"/>
    <s v="Improved"/>
    <x v="2"/>
    <s v="Cash"/>
    <n v="330008.8"/>
    <s v="Adult"/>
    <s v="Long Wait"/>
  </r>
  <r>
    <x v="601"/>
    <s v="Maya Mehta"/>
    <n v="28"/>
    <x v="0"/>
    <x v="0"/>
    <x v="2"/>
    <x v="378"/>
    <d v="2024-07-15T00:00:00"/>
    <x v="0"/>
    <s v="Dialysis"/>
    <s v="Dr. Chukwu"/>
    <x v="1"/>
    <s v="Hygeia Hmo"/>
    <n v="139625.91"/>
    <n v="43410.35"/>
    <n v="76016.429999999993"/>
    <n v="1"/>
    <n v="64"/>
    <n v="4.9000000000000004"/>
    <x v="1"/>
    <s v="Improved"/>
    <x v="2"/>
    <s v="Bank Transfer"/>
    <n v="259052.69"/>
    <s v="Yound Adult"/>
    <s v="Long Wait"/>
  </r>
  <r>
    <x v="602"/>
    <s v="Rohan Gupta"/>
    <n v="40"/>
    <x v="1"/>
    <x v="0"/>
    <x v="8"/>
    <x v="282"/>
    <d v="2026-07-02T00:00:00"/>
    <x v="4"/>
    <s v="Medication"/>
    <s v="Dr. Musa"/>
    <x v="1"/>
    <s v="Self Pay"/>
    <n v="190406.21"/>
    <n v="48665.279999999999"/>
    <n v="54767.33"/>
    <n v="3"/>
    <n v="265"/>
    <n v="2.6"/>
    <x v="1"/>
    <s v="Recovered"/>
    <x v="1"/>
    <s v="Bank Transfer"/>
    <n v="293838.82"/>
    <s v="Adult"/>
    <s v="Long Wait"/>
  </r>
  <r>
    <x v="603"/>
    <s v="Ananya Kapoor"/>
    <n v="33"/>
    <x v="0"/>
    <x v="10"/>
    <x v="2"/>
    <x v="441"/>
    <d v="2024-04-15T00:00:00"/>
    <x v="7"/>
    <s v="Counseling"/>
    <s v="Dr. Adeyemi"/>
    <x v="0"/>
    <s v="Avon Hmo"/>
    <n v="191910.5"/>
    <n v="39187.760000000002"/>
    <n v="76212.929999999993"/>
    <n v="3"/>
    <n v="0"/>
    <n v="3.2"/>
    <x v="0"/>
    <s v="Improved"/>
    <x v="2"/>
    <s v="Insurance"/>
    <n v="307311.19"/>
    <s v="Yound Adult"/>
    <s v="Excellent"/>
  </r>
  <r>
    <x v="604"/>
    <s v="Isha Das"/>
    <n v="22"/>
    <x v="1"/>
    <x v="8"/>
    <x v="7"/>
    <x v="442"/>
    <d v="2025-08-04T00:00:00"/>
    <x v="8"/>
    <s v="Physiotherapy"/>
    <s v="Dr. Adeyemi"/>
    <x v="1"/>
    <s v="Axa Mansard"/>
    <n v="462363.75"/>
    <n v="14114.75"/>
    <n v="43761.22"/>
    <n v="3"/>
    <n v="136"/>
    <n v="2.9"/>
    <x v="0"/>
    <s v="Deceased"/>
    <x v="2"/>
    <s v="Bank Transfer"/>
    <n v="520239.72"/>
    <s v="Yound Adult"/>
    <s v="Long Wait"/>
  </r>
  <r>
    <x v="605"/>
    <s v="Arjun Verma"/>
    <n v="46"/>
    <x v="1"/>
    <x v="0"/>
    <x v="4"/>
    <x v="25"/>
    <d v="2025-02-23T00:00:00"/>
    <x v="3"/>
    <s v="Physiotherapy"/>
    <s v="Dr. Bello"/>
    <x v="1"/>
    <s v="Axa Mansard"/>
    <n v="327905.03000000003"/>
    <n v="89542.84"/>
    <n v="69817.08"/>
    <n v="2"/>
    <n v="181"/>
    <n v="3"/>
    <x v="0"/>
    <s v="Deceased"/>
    <x v="2"/>
    <s v="Card"/>
    <n v="487264.95"/>
    <s v="Adult"/>
    <s v="Long Wait"/>
  </r>
  <r>
    <x v="606"/>
    <s v="Maya Kumar"/>
    <n v="44"/>
    <x v="1"/>
    <x v="5"/>
    <x v="1"/>
    <x v="443"/>
    <d v="2026-05-28T00:00:00"/>
    <x v="3"/>
    <s v="Physiotherapy"/>
    <s v="Dr. Eze"/>
    <x v="0"/>
    <s v="Nhia"/>
    <n v="235003.79"/>
    <n v="3037.18"/>
    <n v="39741.160000000003"/>
    <n v="1"/>
    <n v="124"/>
    <n v="4.2"/>
    <x v="1"/>
    <s v="Improved"/>
    <x v="2"/>
    <s v="Card"/>
    <n v="277782.13"/>
    <s v="Adult"/>
    <s v="Long Wait"/>
  </r>
  <r>
    <x v="607"/>
    <s v="Neha Joshi"/>
    <n v="49"/>
    <x v="0"/>
    <x v="7"/>
    <x v="0"/>
    <x v="444"/>
    <d v="2025-11-10T00:00:00"/>
    <x v="2"/>
    <s v="Iv Therapy"/>
    <s v="Dr. Musa"/>
    <x v="1"/>
    <s v="Reliance Hmo"/>
    <n v="149018.79"/>
    <n v="17152.48"/>
    <n v="9031.4599999999991"/>
    <n v="4"/>
    <n v="228"/>
    <n v="3.7"/>
    <x v="0"/>
    <s v="Recovered"/>
    <x v="0"/>
    <s v="Insurance"/>
    <n v="175202.73"/>
    <s v="Adult"/>
    <s v="Long Wait"/>
  </r>
  <r>
    <x v="608"/>
    <s v="Kabir Sharma"/>
    <n v="22"/>
    <x v="1"/>
    <x v="3"/>
    <x v="3"/>
    <x v="445"/>
    <d v="2026-07-12T00:00:00"/>
    <x v="10"/>
    <s v="Medication"/>
    <s v="Dr. Bello"/>
    <x v="0"/>
    <s v="Self Pay"/>
    <n v="630992.11"/>
    <n v="3166.8"/>
    <n v="32134.560000000001"/>
    <n v="2"/>
    <n v="126"/>
    <n v="4.5"/>
    <x v="1"/>
    <s v="Recovered"/>
    <x v="0"/>
    <s v="Cash"/>
    <n v="666293.47000000009"/>
    <s v="Yound Adult"/>
    <s v="Long Wait"/>
  </r>
  <r>
    <x v="609"/>
    <s v="Ananya Reddy"/>
    <n v="82"/>
    <x v="1"/>
    <x v="3"/>
    <x v="1"/>
    <x v="446"/>
    <d v="2024-12-02T00:00:00"/>
    <x v="10"/>
    <s v="Observation"/>
    <s v="Dr. Okafor"/>
    <x v="0"/>
    <s v="Self Pay"/>
    <n v="290862.07"/>
    <n v="3599.23"/>
    <n v="37291.65"/>
    <n v="6"/>
    <n v="118"/>
    <n v="5"/>
    <x v="1"/>
    <s v="Recovered"/>
    <x v="1"/>
    <s v="Cash"/>
    <n v="331752.95"/>
    <s v="Senior"/>
    <s v="Long Wait"/>
  </r>
  <r>
    <x v="610"/>
    <s v="Aditya Malhotra"/>
    <n v="69"/>
    <x v="0"/>
    <x v="9"/>
    <x v="2"/>
    <x v="447"/>
    <d v="2024-12-12T00:00:00"/>
    <x v="9"/>
    <s v="Iv Therapy"/>
    <s v="Dr. Musa"/>
    <x v="1"/>
    <s v="Axa Mansard"/>
    <n v="245188.01"/>
    <n v="50945.760000000002"/>
    <n v="41940.160000000003"/>
    <n v="1"/>
    <n v="31"/>
    <n v="4.7"/>
    <x v="0"/>
    <s v="Improved"/>
    <x v="0"/>
    <s v="Cash"/>
    <n v="338073.93000000005"/>
    <s v="Senior"/>
    <s v="Acceptable"/>
  </r>
  <r>
    <x v="611"/>
    <s v="Meera Das"/>
    <n v="64"/>
    <x v="1"/>
    <x v="7"/>
    <x v="4"/>
    <x v="448"/>
    <d v="2024-08-24T00:00:00"/>
    <x v="4"/>
    <s v="Physiotherapy"/>
    <s v="Dr. Musa"/>
    <x v="2"/>
    <s v="Avon Hmo"/>
    <n v="218137.35"/>
    <n v="15004.45"/>
    <n v="0"/>
    <n v="4"/>
    <n v="156"/>
    <n v="4.3"/>
    <x v="1"/>
    <s v="Improved"/>
    <x v="2"/>
    <s v="Cash"/>
    <n v="233141.80000000002"/>
    <s v="Senior"/>
    <s v="Long Wait"/>
  </r>
  <r>
    <x v="612"/>
    <s v="Sneha Singh"/>
    <n v="31"/>
    <x v="1"/>
    <x v="6"/>
    <x v="0"/>
    <x v="449"/>
    <d v="2024-08-16T00:00:00"/>
    <x v="10"/>
    <s v="Chemotherapy"/>
    <s v="Dr. Musa"/>
    <x v="2"/>
    <s v="Hygeia Hmo"/>
    <n v="154653.76999999999"/>
    <n v="0"/>
    <n v="20469.53"/>
    <n v="1"/>
    <n v="9"/>
    <n v="3.2"/>
    <x v="1"/>
    <s v="Recovered"/>
    <x v="0"/>
    <s v="Cash"/>
    <n v="175123.3"/>
    <s v="Yound Adult"/>
    <s v="Excellent"/>
  </r>
  <r>
    <x v="613"/>
    <s v="Kavya Verma"/>
    <n v="7"/>
    <x v="0"/>
    <x v="8"/>
    <x v="7"/>
    <x v="155"/>
    <d v="2025-09-26T00:00:00"/>
    <x v="2"/>
    <s v="Chemotherapy"/>
    <s v="Dr. Ibrahim"/>
    <x v="2"/>
    <s v="Axa Mansard"/>
    <n v="503162.63"/>
    <n v="61313.52"/>
    <n v="21629.42"/>
    <n v="1"/>
    <n v="115"/>
    <n v="4.2"/>
    <x v="1"/>
    <s v="Recovered"/>
    <x v="0"/>
    <s v="Cash"/>
    <n v="586105.57000000007"/>
    <s v="Child"/>
    <s v="Long Wait"/>
  </r>
  <r>
    <x v="614"/>
    <s v="Kabir Joshi"/>
    <n v="24"/>
    <x v="1"/>
    <x v="6"/>
    <x v="0"/>
    <x v="287"/>
    <d v="2026-01-02T00:00:00"/>
    <x v="7"/>
    <s v="Medication"/>
    <s v="Dr. Adeyemi"/>
    <x v="1"/>
    <s v="Hygeia Hmo"/>
    <n v="372894.95"/>
    <n v="16302.37"/>
    <n v="4924.13"/>
    <n v="7"/>
    <n v="149"/>
    <n v="5"/>
    <x v="1"/>
    <s v="Recovered"/>
    <x v="0"/>
    <s v="Mobile Money"/>
    <n v="394121.45"/>
    <s v="Yound Adult"/>
    <s v="Long Wait"/>
  </r>
  <r>
    <x v="615"/>
    <s v="Ananya Malhotra"/>
    <n v="16"/>
    <x v="1"/>
    <x v="8"/>
    <x v="3"/>
    <x v="450"/>
    <d v="2024-09-07T00:00:00"/>
    <x v="5"/>
    <s v="Surgery"/>
    <s v="Dr. Adeyemi"/>
    <x v="0"/>
    <s v="Axa Mansard"/>
    <n v="317848.76"/>
    <n v="19754.97"/>
    <n v="68500.759999999995"/>
    <n v="19"/>
    <n v="0"/>
    <n v="2.1"/>
    <x v="1"/>
    <s v="Deceased"/>
    <x v="0"/>
    <s v="Bank Transfer"/>
    <n v="406104.49"/>
    <s v="Child"/>
    <s v="Excellent"/>
  </r>
  <r>
    <x v="616"/>
    <s v="Aditya Kapoor"/>
    <n v="16"/>
    <x v="0"/>
    <x v="0"/>
    <x v="8"/>
    <x v="277"/>
    <d v="2024-04-29T00:00:00"/>
    <x v="3"/>
    <s v="Iv Therapy"/>
    <s v="Dr. Adeyemi"/>
    <x v="1"/>
    <s v="Mediplus"/>
    <n v="410872.71"/>
    <n v="14871.09"/>
    <n v="72312.55"/>
    <n v="4"/>
    <n v="213"/>
    <n v="4.3"/>
    <x v="0"/>
    <s v="Recovered"/>
    <x v="1"/>
    <s v="Card"/>
    <n v="498056.35000000003"/>
    <s v="Child"/>
    <s v="Long Wait"/>
  </r>
  <r>
    <x v="617"/>
    <s v="Isha Joshi"/>
    <n v="22"/>
    <x v="0"/>
    <x v="0"/>
    <x v="3"/>
    <x v="451"/>
    <d v="2025-11-12T00:00:00"/>
    <x v="1"/>
    <s v="Medication"/>
    <s v="Dr. Adeyemi"/>
    <x v="1"/>
    <s v="Avon Hmo"/>
    <n v="405184.23"/>
    <n v="25771.93"/>
    <n v="47387.21"/>
    <n v="1"/>
    <n v="151"/>
    <n v="4.5999999999999996"/>
    <x v="0"/>
    <s v="Recovered"/>
    <x v="2"/>
    <s v="Card"/>
    <n v="478343.37"/>
    <s v="Yound Adult"/>
    <s v="Long Wait"/>
  </r>
  <r>
    <x v="618"/>
    <s v="Maya Shah"/>
    <n v="38"/>
    <x v="0"/>
    <x v="1"/>
    <x v="8"/>
    <x v="452"/>
    <d v="2026-04-08T00:00:00"/>
    <x v="1"/>
    <s v="Observation"/>
    <s v="Dr. Musa"/>
    <x v="1"/>
    <s v="Leadway Health"/>
    <n v="176226.42"/>
    <n v="51447.47"/>
    <n v="61607.09"/>
    <n v="3"/>
    <n v="75"/>
    <n v="2.7"/>
    <x v="0"/>
    <s v="Improved"/>
    <x v="2"/>
    <s v="Card"/>
    <n v="289280.98"/>
    <s v="Adult"/>
    <s v="Long Wait"/>
  </r>
  <r>
    <x v="619"/>
    <s v="Neha Das"/>
    <n v="24"/>
    <x v="0"/>
    <x v="7"/>
    <x v="4"/>
    <x v="453"/>
    <d v="2024-04-22T00:00:00"/>
    <x v="11"/>
    <s v="Antibiotics"/>
    <s v="Dr. Musa"/>
    <x v="1"/>
    <s v="Leadway Health"/>
    <n v="113744.1"/>
    <n v="5531.48"/>
    <n v="36827.699999999997"/>
    <n v="2"/>
    <n v="187"/>
    <n v="2.7"/>
    <x v="0"/>
    <s v="Improved"/>
    <x v="2"/>
    <s v="Cash"/>
    <n v="156103.28"/>
    <s v="Yound Adult"/>
    <s v="Long Wait"/>
  </r>
  <r>
    <x v="620"/>
    <s v="Priya Das"/>
    <n v="28"/>
    <x v="1"/>
    <x v="0"/>
    <x v="5"/>
    <x v="454"/>
    <d v="2026-04-07T00:00:00"/>
    <x v="3"/>
    <s v="Medication"/>
    <s v="Dr. Okafor"/>
    <x v="2"/>
    <s v="Leadway Health"/>
    <n v="183556.73"/>
    <n v="0"/>
    <n v="38383.85"/>
    <n v="3"/>
    <n v="80"/>
    <n v="4.4000000000000004"/>
    <x v="0"/>
    <s v="Improved"/>
    <x v="1"/>
    <s v="Cash"/>
    <n v="221940.58000000002"/>
    <s v="Yound Adult"/>
    <s v="Long Wait"/>
  </r>
  <r>
    <x v="621"/>
    <s v="Kavya Das"/>
    <n v="16"/>
    <x v="1"/>
    <x v="3"/>
    <x v="1"/>
    <x v="65"/>
    <d v="2026-03-16T00:00:00"/>
    <x v="0"/>
    <s v="Iv Therapy"/>
    <s v="Dr. Balogun"/>
    <x v="0"/>
    <s v="Reliance Hmo"/>
    <n v="371787.75"/>
    <n v="35257.58"/>
    <n v="50951.81"/>
    <n v="3"/>
    <n v="94"/>
    <n v="3"/>
    <x v="1"/>
    <s v="Improved"/>
    <x v="1"/>
    <s v="Bank Transfer"/>
    <n v="457997.14"/>
    <s v="Child"/>
    <s v="Long Wait"/>
  </r>
  <r>
    <x v="622"/>
    <s v="Kavya Mehta"/>
    <n v="53"/>
    <x v="0"/>
    <x v="5"/>
    <x v="4"/>
    <x v="455"/>
    <d v="2024-08-24T00:00:00"/>
    <x v="7"/>
    <s v="Medication"/>
    <s v="Dr. Balogun"/>
    <x v="2"/>
    <s v="Self Pay"/>
    <n v="0"/>
    <n v="16530.98"/>
    <n v="37351.589999999997"/>
    <n v="3"/>
    <n v="114"/>
    <n v="5"/>
    <x v="0"/>
    <s v="Referred"/>
    <x v="1"/>
    <s v="Mobile Money"/>
    <n v="53882.569999999992"/>
    <s v="Adult"/>
    <s v="Long Wait"/>
  </r>
  <r>
    <x v="623"/>
    <s v="Aditya Kumar"/>
    <n v="32"/>
    <x v="0"/>
    <x v="0"/>
    <x v="4"/>
    <x v="148"/>
    <d v="2024-06-22T00:00:00"/>
    <x v="6"/>
    <s v="Wound Care"/>
    <s v="Dr. Eze"/>
    <x v="0"/>
    <s v="Hygeia Hmo"/>
    <n v="148245.22"/>
    <n v="9961.81"/>
    <n v="34584.410000000003"/>
    <n v="1"/>
    <n v="152"/>
    <n v="2.2999999999999998"/>
    <x v="0"/>
    <s v="Recovered"/>
    <x v="0"/>
    <s v="Card"/>
    <n v="192791.44"/>
    <s v="Yound Adult"/>
    <s v="Long Wait"/>
  </r>
  <r>
    <x v="624"/>
    <s v="Rahul Verma"/>
    <n v="5"/>
    <x v="1"/>
    <x v="8"/>
    <x v="0"/>
    <x v="272"/>
    <d v="2026-05-26T00:00:00"/>
    <x v="9"/>
    <s v="Chemotherapy"/>
    <s v="Dr. Yusuf"/>
    <x v="1"/>
    <s v="Hygeia Hmo"/>
    <n v="141412.68"/>
    <n v="21762.77"/>
    <n v="95245.79"/>
    <n v="4"/>
    <n v="74"/>
    <n v="0.8"/>
    <x v="0"/>
    <s v="Improved"/>
    <x v="2"/>
    <s v="Card"/>
    <n v="258421.24"/>
    <s v="Child"/>
    <s v="Long Wait"/>
  </r>
  <r>
    <x v="625"/>
    <s v="Rahul Sharma"/>
    <n v="43"/>
    <x v="0"/>
    <x v="1"/>
    <x v="0"/>
    <x v="456"/>
    <d v="2024-01-28T00:00:00"/>
    <x v="11"/>
    <s v="Observation"/>
    <s v="Dr. Ibrahim"/>
    <x v="1"/>
    <s v="Self Pay"/>
    <n v="305927.92"/>
    <n v="39386.400000000001"/>
    <n v="50027.1"/>
    <n v="1"/>
    <n v="182"/>
    <n v="3"/>
    <x v="0"/>
    <s v="Deceased"/>
    <x v="0"/>
    <s v="Cash"/>
    <n v="395341.42"/>
    <s v="Adult"/>
    <s v="Long Wait"/>
  </r>
  <r>
    <x v="626"/>
    <s v="Priya Mehta"/>
    <n v="7"/>
    <x v="0"/>
    <x v="0"/>
    <x v="6"/>
    <x v="457"/>
    <d v="2025-08-09T00:00:00"/>
    <x v="11"/>
    <s v="Wound Care"/>
    <s v="Dr. Balogun"/>
    <x v="1"/>
    <s v="Self Pay"/>
    <n v="93307.3"/>
    <n v="0"/>
    <n v="36754.639999999999"/>
    <n v="5"/>
    <n v="91"/>
    <n v="3.8"/>
    <x v="1"/>
    <s v="Recovered"/>
    <x v="0"/>
    <s v="Insurance"/>
    <n v="130061.94"/>
    <s v="Child"/>
    <s v="Long Wait"/>
  </r>
  <r>
    <x v="627"/>
    <s v="Rahul Kapoor"/>
    <n v="22"/>
    <x v="1"/>
    <x v="3"/>
    <x v="6"/>
    <x v="361"/>
    <d v="2025-12-13T00:00:00"/>
    <x v="11"/>
    <s v="Iv Therapy"/>
    <s v="Dr. Adebayo"/>
    <x v="0"/>
    <s v="Hygeia Hmo"/>
    <n v="193366.28"/>
    <n v="0"/>
    <n v="85896.87"/>
    <n v="3"/>
    <n v="72"/>
    <n v="3.1"/>
    <x v="1"/>
    <s v="Recovered"/>
    <x v="0"/>
    <s v="Card"/>
    <n v="279263.15000000002"/>
    <s v="Yound Adult"/>
    <s v="Long Wait"/>
  </r>
  <r>
    <x v="628"/>
    <s v="Riya Verma"/>
    <n v="15"/>
    <x v="0"/>
    <x v="11"/>
    <x v="8"/>
    <x v="273"/>
    <d v="2024-08-26T00:00:00"/>
    <x v="1"/>
    <s v="Dialysis"/>
    <s v="Dr. Musa"/>
    <x v="1"/>
    <s v="Mediplus"/>
    <n v="62417.8"/>
    <n v="2594.4899999999998"/>
    <n v="42963.86"/>
    <n v="9"/>
    <n v="127"/>
    <n v="4.7"/>
    <x v="0"/>
    <s v="Recovered"/>
    <x v="2"/>
    <s v="Bank Transfer"/>
    <n v="107976.15"/>
    <s v="Child"/>
    <s v="Long Wait"/>
  </r>
  <r>
    <x v="629"/>
    <s v="Ishaan Joshi"/>
    <n v="0"/>
    <x v="0"/>
    <x v="10"/>
    <x v="4"/>
    <x v="250"/>
    <d v="2024-06-19T00:00:00"/>
    <x v="0"/>
    <s v="Wound Care"/>
    <s v="Dr. Eze"/>
    <x v="1"/>
    <s v="Axa Mansard"/>
    <n v="305222.98"/>
    <n v="16071.74"/>
    <n v="27407.55"/>
    <n v="19"/>
    <n v="48"/>
    <n v="2.5"/>
    <x v="1"/>
    <s v="Recovered"/>
    <x v="2"/>
    <s v="Bank Transfer"/>
    <n v="348702.26999999996"/>
    <s v="Child"/>
    <s v="Acceptable"/>
  </r>
  <r>
    <x v="630"/>
    <s v="Aditya Reddy"/>
    <n v="61"/>
    <x v="1"/>
    <x v="8"/>
    <x v="4"/>
    <x v="458"/>
    <d v="2025-08-16T00:00:00"/>
    <x v="9"/>
    <s v="Wound Care"/>
    <s v="Dr. Okafor"/>
    <x v="0"/>
    <s v="Axa Mansard"/>
    <n v="223247.44"/>
    <n v="63775.39"/>
    <n v="0"/>
    <n v="10"/>
    <n v="0"/>
    <n v="0.9"/>
    <x v="1"/>
    <s v="Improved"/>
    <x v="2"/>
    <s v="Card"/>
    <n v="287022.83"/>
    <s v="Senior"/>
    <s v="Excellent"/>
  </r>
  <r>
    <x v="631"/>
    <s v="Vivaan Rao"/>
    <n v="26"/>
    <x v="1"/>
    <x v="10"/>
    <x v="8"/>
    <x v="86"/>
    <d v="2026-06-14T00:00:00"/>
    <x v="3"/>
    <s v="Medication"/>
    <s v="Dr. Chukwu"/>
    <x v="2"/>
    <s v="Hygeia Hmo"/>
    <n v="342664.35"/>
    <n v="12264.22"/>
    <n v="64337.86"/>
    <n v="2"/>
    <n v="66"/>
    <n v="1.1000000000000001"/>
    <x v="1"/>
    <s v="Referred"/>
    <x v="0"/>
    <s v="Cash"/>
    <n v="419266.42999999993"/>
    <s v="Yound Adult"/>
    <s v="Long Wait"/>
  </r>
  <r>
    <x v="632"/>
    <s v="Riya Das"/>
    <n v="17"/>
    <x v="1"/>
    <x v="7"/>
    <x v="0"/>
    <x v="459"/>
    <d v="2024-11-17T00:00:00"/>
    <x v="3"/>
    <s v="Wound Care"/>
    <s v="Dr. Adebayo"/>
    <x v="0"/>
    <s v="Leadway Health"/>
    <n v="224746.38"/>
    <n v="239.81"/>
    <n v="72779.25"/>
    <n v="2"/>
    <n v="88"/>
    <n v="3.5"/>
    <x v="1"/>
    <s v="Deceased"/>
    <x v="0"/>
    <s v="Bank Transfer"/>
    <n v="297765.44"/>
    <s v="Child"/>
    <s v="Long Wait"/>
  </r>
  <r>
    <x v="633"/>
    <s v="Maya Patel"/>
    <n v="64"/>
    <x v="0"/>
    <x v="10"/>
    <x v="6"/>
    <x v="460"/>
    <d v="2024-12-16T00:00:00"/>
    <x v="11"/>
    <s v="Wound Care"/>
    <s v="Dr. Chukwu"/>
    <x v="0"/>
    <s v="Self Pay"/>
    <n v="217186.17"/>
    <n v="10719.99"/>
    <n v="0"/>
    <n v="4"/>
    <n v="43"/>
    <n v="2.9"/>
    <x v="1"/>
    <s v="Improved"/>
    <x v="1"/>
    <s v="Bank Transfer"/>
    <n v="227906.16"/>
    <s v="Senior"/>
    <s v="Acceptable"/>
  </r>
  <r>
    <x v="634"/>
    <s v="Vivaan Reddy"/>
    <n v="29"/>
    <x v="1"/>
    <x v="5"/>
    <x v="4"/>
    <x v="461"/>
    <d v="2024-11-12T00:00:00"/>
    <x v="1"/>
    <s v="Chemotherapy"/>
    <s v="Dr. Adeyemi"/>
    <x v="1"/>
    <s v="Reliance Hmo"/>
    <n v="131347.6"/>
    <n v="8734.67"/>
    <n v="28769.79"/>
    <n v="3"/>
    <n v="151"/>
    <n v="3.4"/>
    <x v="1"/>
    <s v="Recovered"/>
    <x v="0"/>
    <s v="Bank Transfer"/>
    <n v="168852.06000000003"/>
    <s v="Yound Adult"/>
    <s v="Long Wait"/>
  </r>
  <r>
    <x v="635"/>
    <s v="Kabir Rao"/>
    <n v="81"/>
    <x v="1"/>
    <x v="0"/>
    <x v="0"/>
    <x v="112"/>
    <d v="2025-07-05T00:00:00"/>
    <x v="1"/>
    <s v="Chemotherapy"/>
    <s v="Dr. Adeyemi"/>
    <x v="0"/>
    <s v="Axa Mansard"/>
    <n v="264795.13"/>
    <n v="0"/>
    <n v="31744.53"/>
    <n v="1"/>
    <n v="103"/>
    <n v="5"/>
    <x v="1"/>
    <s v="Recovered"/>
    <x v="1"/>
    <s v="Card"/>
    <n v="296539.66000000003"/>
    <s v="Senior"/>
    <s v="Long Wait"/>
  </r>
  <r>
    <x v="636"/>
    <s v="Rahul Mehta"/>
    <n v="64"/>
    <x v="1"/>
    <x v="2"/>
    <x v="3"/>
    <x v="462"/>
    <d v="2025-08-08T00:00:00"/>
    <x v="6"/>
    <s v="Chemotherapy"/>
    <s v="Dr. Adeyemi"/>
    <x v="1"/>
    <s v="Avon Hmo"/>
    <n v="415928.1"/>
    <n v="14283.64"/>
    <n v="36674.589999999997"/>
    <n v="1"/>
    <n v="17"/>
    <n v="3.4"/>
    <x v="1"/>
    <s v="Deceased"/>
    <x v="0"/>
    <s v="Bank Transfer"/>
    <n v="466886.32999999996"/>
    <s v="Senior"/>
    <s v="Excellent"/>
  </r>
  <r>
    <x v="637"/>
    <s v="Aditya Singh"/>
    <n v="35"/>
    <x v="0"/>
    <x v="2"/>
    <x v="0"/>
    <x v="463"/>
    <d v="2025-10-06T00:00:00"/>
    <x v="1"/>
    <s v="Physiotherapy"/>
    <s v="Dr. Okafor"/>
    <x v="1"/>
    <s v="Reliance Hmo"/>
    <n v="237465.29"/>
    <n v="67886.12"/>
    <n v="56452.03"/>
    <n v="3"/>
    <n v="66"/>
    <n v="3"/>
    <x v="1"/>
    <s v="Improved"/>
    <x v="2"/>
    <s v="Bank Transfer"/>
    <n v="361803.44000000006"/>
    <s v="Yound Adult"/>
    <s v="Long Wait"/>
  </r>
  <r>
    <x v="638"/>
    <s v="Riya Das"/>
    <n v="79"/>
    <x v="0"/>
    <x v="5"/>
    <x v="7"/>
    <x v="464"/>
    <d v="2026-01-04T00:00:00"/>
    <x v="4"/>
    <s v="Iv Therapy"/>
    <s v="Dr. Adeyemi"/>
    <x v="0"/>
    <s v="Avon Hmo"/>
    <n v="194337.9"/>
    <n v="29505.14"/>
    <n v="30530.59"/>
    <n v="2"/>
    <n v="177"/>
    <n v="5"/>
    <x v="0"/>
    <s v="Improved"/>
    <x v="2"/>
    <s v="Mobile Money"/>
    <n v="254373.62999999998"/>
    <s v="Senior"/>
    <s v="Long Wait"/>
  </r>
  <r>
    <x v="639"/>
    <s v="Ishaan Rao"/>
    <n v="34"/>
    <x v="0"/>
    <x v="6"/>
    <x v="0"/>
    <x v="465"/>
    <d v="2025-05-31T00:00:00"/>
    <x v="9"/>
    <s v="Medication"/>
    <s v="Dr. Musa"/>
    <x v="1"/>
    <s v="Hygeia Hmo"/>
    <n v="162456.51"/>
    <n v="55540.57"/>
    <n v="33637.199999999997"/>
    <n v="1"/>
    <n v="251"/>
    <n v="4.3"/>
    <x v="1"/>
    <s v="Recovered"/>
    <x v="0"/>
    <s v="Bank Transfer"/>
    <n v="251634.28000000003"/>
    <s v="Yound Adult"/>
    <s v="Long Wait"/>
  </r>
  <r>
    <x v="640"/>
    <s v="Rahul Sharma"/>
    <n v="12"/>
    <x v="0"/>
    <x v="0"/>
    <x v="7"/>
    <x v="113"/>
    <d v="2025-12-05T00:00:00"/>
    <x v="2"/>
    <s v="Wound Care"/>
    <s v="Dr. Adeyemi"/>
    <x v="0"/>
    <s v="Mediplus"/>
    <n v="152293.6"/>
    <n v="51044.52"/>
    <n v="13463.4"/>
    <n v="3"/>
    <n v="0"/>
    <n v="3.4"/>
    <x v="0"/>
    <s v="Improved"/>
    <x v="1"/>
    <s v="Bank Transfer"/>
    <n v="216801.52"/>
    <s v="Child"/>
    <s v="Excellent"/>
  </r>
  <r>
    <x v="641"/>
    <s v="Rahul Joshi"/>
    <n v="45"/>
    <x v="0"/>
    <x v="2"/>
    <x v="8"/>
    <x v="466"/>
    <d v="2024-05-04T00:00:00"/>
    <x v="7"/>
    <s v="Medication"/>
    <s v="Dr. Okafor"/>
    <x v="0"/>
    <s v="Mediplus"/>
    <n v="321992.61"/>
    <n v="45940.15"/>
    <n v="52763.09"/>
    <n v="2"/>
    <n v="184"/>
    <n v="1.7"/>
    <x v="1"/>
    <s v="Improved"/>
    <x v="2"/>
    <s v="Card"/>
    <n v="420695.85"/>
    <s v="Adult"/>
    <s v="Long Wait"/>
  </r>
  <r>
    <x v="642"/>
    <s v="Priya Kapoor"/>
    <n v="56"/>
    <x v="1"/>
    <x v="4"/>
    <x v="7"/>
    <x v="136"/>
    <d v="2025-05-09T00:00:00"/>
    <x v="10"/>
    <s v="Observation"/>
    <s v="Dr. Bello"/>
    <x v="2"/>
    <s v="Self Pay"/>
    <n v="46461.279999999999"/>
    <n v="0"/>
    <n v="22621.74"/>
    <n v="4"/>
    <n v="45"/>
    <n v="4.7"/>
    <x v="1"/>
    <s v="Referred"/>
    <x v="2"/>
    <s v="Insurance"/>
    <n v="69083.02"/>
    <s v="Adult"/>
    <s v="Acceptable"/>
  </r>
  <r>
    <x v="643"/>
    <s v="Priya Mehta"/>
    <n v="24"/>
    <x v="0"/>
    <x v="0"/>
    <x v="6"/>
    <x v="362"/>
    <d v="2025-12-30T00:00:00"/>
    <x v="10"/>
    <s v="Observation"/>
    <s v="Dr. Balogun"/>
    <x v="1"/>
    <s v="Self Pay"/>
    <n v="134371.28"/>
    <n v="57965.81"/>
    <n v="45391.3"/>
    <n v="2"/>
    <n v="81"/>
    <n v="3.6"/>
    <x v="1"/>
    <s v="Referred"/>
    <x v="2"/>
    <s v="Card"/>
    <n v="237728.39"/>
    <s v="Yound Adult"/>
    <s v="Long Wait"/>
  </r>
  <r>
    <x v="644"/>
    <s v="Kavya Patel"/>
    <n v="26"/>
    <x v="0"/>
    <x v="6"/>
    <x v="6"/>
    <x v="197"/>
    <d v="2024-08-17T00:00:00"/>
    <x v="10"/>
    <s v="Observation"/>
    <s v="Dr. Chukwu"/>
    <x v="0"/>
    <s v="Self Pay"/>
    <n v="404171.16"/>
    <n v="35262.410000000003"/>
    <n v="40187.42"/>
    <n v="7"/>
    <n v="282"/>
    <n v="2.2999999999999998"/>
    <x v="1"/>
    <s v="Recovered"/>
    <x v="1"/>
    <s v="Card"/>
    <n v="479620.98999999993"/>
    <s v="Yound Adult"/>
    <s v="Long Wait"/>
  </r>
  <r>
    <x v="645"/>
    <s v="Ishaan Shah"/>
    <n v="15"/>
    <x v="1"/>
    <x v="2"/>
    <x v="5"/>
    <x v="467"/>
    <d v="2026-06-11T00:00:00"/>
    <x v="6"/>
    <s v="Antibiotics"/>
    <s v="Dr. Adebayo"/>
    <x v="0"/>
    <s v="Mediplus"/>
    <n v="353344.68"/>
    <n v="72229.72"/>
    <n v="95097.68"/>
    <n v="2"/>
    <n v="186"/>
    <n v="3.4"/>
    <x v="0"/>
    <s v="Recovered"/>
    <x v="0"/>
    <s v="Card"/>
    <n v="520672.08"/>
    <s v="Child"/>
    <s v="Long Wait"/>
  </r>
  <r>
    <x v="646"/>
    <s v="Zara Reddy"/>
    <n v="6"/>
    <x v="1"/>
    <x v="0"/>
    <x v="8"/>
    <x v="230"/>
    <d v="2026-02-28T00:00:00"/>
    <x v="6"/>
    <s v="Physiotherapy"/>
    <s v="Dr. Balogun"/>
    <x v="2"/>
    <s v="Mediplus"/>
    <n v="505022.29"/>
    <n v="41724.449999999997"/>
    <n v="30241.29"/>
    <n v="2"/>
    <n v="194"/>
    <n v="2.4"/>
    <x v="0"/>
    <s v="Referred"/>
    <x v="0"/>
    <s v="Bank Transfer"/>
    <n v="576988.03"/>
    <s v="Child"/>
    <s v="Long Wait"/>
  </r>
  <r>
    <x v="647"/>
    <s v="Aditya Mehta"/>
    <n v="39"/>
    <x v="1"/>
    <x v="0"/>
    <x v="8"/>
    <x v="312"/>
    <d v="2024-04-01T00:00:00"/>
    <x v="1"/>
    <s v="Antibiotics"/>
    <s v="Dr. Adebayo"/>
    <x v="1"/>
    <s v="Nhia"/>
    <n v="309414.8"/>
    <n v="28410.66"/>
    <n v="1472.16"/>
    <n v="4"/>
    <n v="100"/>
    <n v="5"/>
    <x v="0"/>
    <s v="Deceased"/>
    <x v="0"/>
    <s v="Mobile Money"/>
    <n v="339297.61999999994"/>
    <s v="Adult"/>
    <s v="Long Wait"/>
  </r>
  <r>
    <x v="648"/>
    <s v="Isha Singh"/>
    <n v="60"/>
    <x v="1"/>
    <x v="5"/>
    <x v="2"/>
    <x v="460"/>
    <d v="2024-12-15T00:00:00"/>
    <x v="5"/>
    <s v="Iv Therapy"/>
    <s v="Dr. Adebayo"/>
    <x v="0"/>
    <s v="Hygeia Hmo"/>
    <n v="73625.87"/>
    <n v="29343.48"/>
    <n v="26264.69"/>
    <n v="3"/>
    <n v="151"/>
    <n v="3.7"/>
    <x v="0"/>
    <s v="Deceased"/>
    <x v="2"/>
    <s v="Mobile Money"/>
    <n v="129234.04"/>
    <s v="Senior"/>
    <s v="Long Wait"/>
  </r>
  <r>
    <x v="649"/>
    <s v="Ishaan Reddy"/>
    <n v="84"/>
    <x v="0"/>
    <x v="3"/>
    <x v="2"/>
    <x v="468"/>
    <d v="2025-11-18T00:00:00"/>
    <x v="7"/>
    <s v="Antibiotics"/>
    <s v="Dr. Musa"/>
    <x v="2"/>
    <s v="Mediplus"/>
    <n v="363227.92"/>
    <n v="71088.539999999994"/>
    <n v="56733.84"/>
    <n v="3"/>
    <n v="182"/>
    <n v="2.8"/>
    <x v="0"/>
    <s v="Improved"/>
    <x v="0"/>
    <s v="Bank Transfer"/>
    <n v="491050.29999999993"/>
    <s v="Senior"/>
    <s v="Long Wait"/>
  </r>
  <r>
    <x v="650"/>
    <s v="Sneha Das"/>
    <n v="67"/>
    <x v="1"/>
    <x v="0"/>
    <x v="2"/>
    <x v="469"/>
    <d v="2025-10-05T00:00:00"/>
    <x v="2"/>
    <s v="Observation"/>
    <s v="Dr. Chukwu"/>
    <x v="1"/>
    <s v="Self Pay"/>
    <n v="0"/>
    <n v="40235.96"/>
    <n v="36699.85"/>
    <n v="4"/>
    <n v="103"/>
    <n v="4.3"/>
    <x v="0"/>
    <s v="Recovered"/>
    <x v="1"/>
    <s v="Bank Transfer"/>
    <n v="76935.81"/>
    <s v="Senior"/>
    <s v="Long Wait"/>
  </r>
  <r>
    <x v="651"/>
    <s v="Arjun Kumar"/>
    <n v="40"/>
    <x v="1"/>
    <x v="6"/>
    <x v="1"/>
    <x v="470"/>
    <d v="2024-12-22T00:00:00"/>
    <x v="4"/>
    <s v="Iv Therapy"/>
    <s v="Dr. Adeyemi"/>
    <x v="1"/>
    <s v="Self Pay"/>
    <n v="190057.48"/>
    <n v="54257.91"/>
    <n v="57562.8"/>
    <n v="2"/>
    <n v="111"/>
    <n v="2"/>
    <x v="1"/>
    <s v="Improved"/>
    <x v="2"/>
    <s v="Cash"/>
    <n v="301878.19"/>
    <s v="Adult"/>
    <s v="Long Wait"/>
  </r>
  <r>
    <x v="652"/>
    <s v="Aisha Joshi"/>
    <n v="0"/>
    <x v="1"/>
    <x v="4"/>
    <x v="0"/>
    <x v="334"/>
    <d v="2024-03-26T00:00:00"/>
    <x v="7"/>
    <s v="Medication"/>
    <s v="Dr. Balogun"/>
    <x v="2"/>
    <s v="Axa Mansard"/>
    <n v="196426.11"/>
    <n v="21849.69"/>
    <n v="56710.99"/>
    <n v="2"/>
    <n v="83"/>
    <n v="3.3"/>
    <x v="1"/>
    <s v="Deceased"/>
    <x v="1"/>
    <s v="Card"/>
    <n v="274986.78999999998"/>
    <s v="Child"/>
    <s v="Long Wait"/>
  </r>
  <r>
    <x v="653"/>
    <s v="Riya Nair"/>
    <n v="22"/>
    <x v="1"/>
    <x v="4"/>
    <x v="2"/>
    <x v="471"/>
    <d v="2025-09-12T00:00:00"/>
    <x v="1"/>
    <s v="Dialysis"/>
    <s v="Dr. Bello"/>
    <x v="0"/>
    <s v="Axa Mansard"/>
    <n v="286731.15000000002"/>
    <n v="72897.69"/>
    <n v="42074.239999999998"/>
    <n v="1"/>
    <n v="119"/>
    <n v="4.9000000000000004"/>
    <x v="1"/>
    <s v="Referred"/>
    <x v="1"/>
    <s v="Insurance"/>
    <n v="401703.08"/>
    <s v="Yound Adult"/>
    <s v="Long Wait"/>
  </r>
  <r>
    <x v="654"/>
    <s v="Ananya Das"/>
    <n v="51"/>
    <x v="0"/>
    <x v="1"/>
    <x v="6"/>
    <x v="141"/>
    <d v="2024-07-11T00:00:00"/>
    <x v="2"/>
    <s v="Medication"/>
    <s v="Dr. Okafor"/>
    <x v="0"/>
    <s v="Avon Hmo"/>
    <n v="116331.39"/>
    <n v="51620.61"/>
    <n v="49542.09"/>
    <n v="1"/>
    <n v="117"/>
    <n v="2.7"/>
    <x v="1"/>
    <s v="Referred"/>
    <x v="2"/>
    <s v="Mobile Money"/>
    <n v="217494.09"/>
    <s v="Adult"/>
    <s v="Long Wait"/>
  </r>
  <r>
    <x v="655"/>
    <s v="Neha Sharma"/>
    <n v="88"/>
    <x v="1"/>
    <x v="5"/>
    <x v="4"/>
    <x v="311"/>
    <d v="2025-12-05T00:00:00"/>
    <x v="3"/>
    <s v="Surgery"/>
    <s v="Dr. Okafor"/>
    <x v="1"/>
    <s v="Mediplus"/>
    <n v="78892.36"/>
    <n v="21506.02"/>
    <n v="51948.22"/>
    <n v="5"/>
    <n v="153"/>
    <n v="3"/>
    <x v="1"/>
    <s v="Recovered"/>
    <x v="2"/>
    <s v="Card"/>
    <n v="152346.6"/>
    <s v="Senior"/>
    <s v="Long Wait"/>
  </r>
  <r>
    <x v="656"/>
    <s v="Kavya Mehta"/>
    <n v="72"/>
    <x v="0"/>
    <x v="4"/>
    <x v="8"/>
    <x v="472"/>
    <d v="2026-07-26T00:00:00"/>
    <x v="0"/>
    <s v="Surgery"/>
    <s v="Dr. Musa"/>
    <x v="2"/>
    <s v="Mediplus"/>
    <n v="326470.86"/>
    <n v="0"/>
    <n v="26772.94"/>
    <n v="1"/>
    <n v="212"/>
    <n v="5"/>
    <x v="0"/>
    <s v="Recovered"/>
    <x v="0"/>
    <s v="Card"/>
    <n v="353243.8"/>
    <s v="Senior"/>
    <s v="Long Wait"/>
  </r>
  <r>
    <x v="657"/>
    <s v="Meera Shah"/>
    <n v="39"/>
    <x v="0"/>
    <x v="0"/>
    <x v="1"/>
    <x v="473"/>
    <d v="2025-12-14T00:00:00"/>
    <x v="1"/>
    <s v="Antibiotics"/>
    <s v="Dr. Musa"/>
    <x v="2"/>
    <s v="Self Pay"/>
    <n v="231618.24"/>
    <n v="26726.85"/>
    <n v="78847.19"/>
    <n v="6"/>
    <n v="29"/>
    <n v="2.7"/>
    <x v="1"/>
    <s v="Recovered"/>
    <x v="0"/>
    <s v="Bank Transfer"/>
    <n v="337192.28"/>
    <s v="Adult"/>
    <s v="Excellent"/>
  </r>
  <r>
    <x v="658"/>
    <s v="Aarav Shah"/>
    <n v="42"/>
    <x v="1"/>
    <x v="0"/>
    <x v="0"/>
    <x v="315"/>
    <d v="2026-06-16T00:00:00"/>
    <x v="2"/>
    <s v="Counseling"/>
    <s v="Dr. Musa"/>
    <x v="2"/>
    <s v="Mediplus"/>
    <n v="412985.43"/>
    <n v="13212.19"/>
    <n v="43356.65"/>
    <n v="6"/>
    <n v="25"/>
    <n v="3.7"/>
    <x v="0"/>
    <s v="Referred"/>
    <x v="0"/>
    <s v="Mobile Money"/>
    <n v="469554.27"/>
    <s v="Adult"/>
    <s v="Excellent"/>
  </r>
  <r>
    <x v="659"/>
    <s v="Vivaan Mehta"/>
    <n v="32"/>
    <x v="1"/>
    <x v="11"/>
    <x v="5"/>
    <x v="474"/>
    <d v="2024-06-12T00:00:00"/>
    <x v="6"/>
    <s v="Dialysis"/>
    <s v="Dr. Musa"/>
    <x v="2"/>
    <s v="Mediplus"/>
    <n v="18924.46"/>
    <n v="47348.08"/>
    <n v="66497.679999999993"/>
    <n v="1"/>
    <n v="0"/>
    <n v="5"/>
    <x v="0"/>
    <s v="Referred"/>
    <x v="0"/>
    <s v="Mobile Money"/>
    <n v="132770.22"/>
    <s v="Yound Adult"/>
    <s v="Excellent"/>
  </r>
  <r>
    <x v="660"/>
    <s v="Diya Joshi"/>
    <n v="44"/>
    <x v="1"/>
    <x v="1"/>
    <x v="7"/>
    <x v="379"/>
    <d v="2024-11-10T00:00:00"/>
    <x v="6"/>
    <s v="Iv Therapy"/>
    <s v="Dr. Ibrahim"/>
    <x v="1"/>
    <s v="Mediplus"/>
    <n v="130244"/>
    <n v="100608.26"/>
    <n v="5430.95"/>
    <n v="18"/>
    <n v="96"/>
    <n v="3.9"/>
    <x v="0"/>
    <s v="Recovered"/>
    <x v="0"/>
    <s v="Bank Transfer"/>
    <n v="236283.21000000002"/>
    <s v="Adult"/>
    <s v="Long Wait"/>
  </r>
  <r>
    <x v="661"/>
    <s v="Rahul Rao"/>
    <n v="50"/>
    <x v="0"/>
    <x v="8"/>
    <x v="0"/>
    <x v="475"/>
    <d v="2024-12-23T00:00:00"/>
    <x v="6"/>
    <s v="Surgery"/>
    <s v="Dr. Okafor"/>
    <x v="1"/>
    <s v="Nhia"/>
    <n v="150191.25"/>
    <n v="6220.39"/>
    <n v="34745.35"/>
    <n v="8"/>
    <n v="19"/>
    <n v="3.8"/>
    <x v="0"/>
    <s v="Deceased"/>
    <x v="1"/>
    <s v="Bank Transfer"/>
    <n v="191156.99000000002"/>
    <s v="Adult"/>
    <s v="Excellent"/>
  </r>
  <r>
    <x v="662"/>
    <s v="Maya Verma"/>
    <n v="10"/>
    <x v="1"/>
    <x v="3"/>
    <x v="8"/>
    <x v="476"/>
    <d v="2026-03-18T00:00:00"/>
    <x v="9"/>
    <s v="Surgery"/>
    <s v="Dr. Ibrahim"/>
    <x v="0"/>
    <s v="Nhia"/>
    <n v="395720.41"/>
    <n v="17558.189999999999"/>
    <n v="6955.9"/>
    <n v="0"/>
    <n v="82"/>
    <n v="3.8"/>
    <x v="1"/>
    <s v="Deceased"/>
    <x v="1"/>
    <s v="Mobile Money"/>
    <n v="420234.5"/>
    <s v="Child"/>
    <s v="Long Wait"/>
  </r>
  <r>
    <x v="663"/>
    <s v="Rohan Mehta"/>
    <n v="50"/>
    <x v="0"/>
    <x v="4"/>
    <x v="7"/>
    <x v="250"/>
    <d v="2024-06-01T00:00:00"/>
    <x v="9"/>
    <s v="Dialysis"/>
    <s v="Dr. Musa"/>
    <x v="0"/>
    <s v="Avon Hmo"/>
    <n v="73397.94"/>
    <n v="72775.72"/>
    <n v="60718.82"/>
    <n v="1"/>
    <n v="65"/>
    <n v="2.7"/>
    <x v="0"/>
    <s v="Deceased"/>
    <x v="1"/>
    <s v="Mobile Money"/>
    <n v="206892.48"/>
    <s v="Adult"/>
    <s v="Long Wait"/>
  </r>
  <r>
    <x v="664"/>
    <s v="Vivaan Kapoor"/>
    <n v="56"/>
    <x v="0"/>
    <x v="4"/>
    <x v="7"/>
    <x v="477"/>
    <d v="2024-12-03T00:00:00"/>
    <x v="8"/>
    <s v="Iv Therapy"/>
    <s v="Dr. Eze"/>
    <x v="2"/>
    <s v="Mediplus"/>
    <n v="216430.82"/>
    <n v="24571.03"/>
    <n v="46751.11"/>
    <n v="2"/>
    <n v="49"/>
    <n v="3.3"/>
    <x v="0"/>
    <s v="Deceased"/>
    <x v="1"/>
    <s v="Card"/>
    <n v="287752.96000000002"/>
    <s v="Adult"/>
    <s v="Acceptable"/>
  </r>
  <r>
    <x v="665"/>
    <s v="Rohan Verma"/>
    <n v="64"/>
    <x v="1"/>
    <x v="0"/>
    <x v="2"/>
    <x v="478"/>
    <d v="2025-01-21T00:00:00"/>
    <x v="0"/>
    <s v="Observation"/>
    <s v="Dr. Bello"/>
    <x v="2"/>
    <s v="Axa Mansard"/>
    <n v="261831.69"/>
    <n v="10663.6"/>
    <n v="101962.05"/>
    <n v="1"/>
    <n v="101"/>
    <n v="2.4"/>
    <x v="1"/>
    <s v="Deceased"/>
    <x v="2"/>
    <s v="Bank Transfer"/>
    <n v="374457.33999999997"/>
    <s v="Senior"/>
    <s v="Long Wait"/>
  </r>
  <r>
    <x v="666"/>
    <s v="Vivaan Das"/>
    <n v="51"/>
    <x v="1"/>
    <x v="4"/>
    <x v="2"/>
    <x v="453"/>
    <d v="2024-04-25T00:00:00"/>
    <x v="6"/>
    <s v="Surgery"/>
    <s v="Dr. Musa"/>
    <x v="1"/>
    <s v="Avon Hmo"/>
    <n v="275241.2"/>
    <n v="19356.11"/>
    <n v="58514.87"/>
    <n v="5"/>
    <n v="75"/>
    <n v="4.4000000000000004"/>
    <x v="0"/>
    <s v="Referred"/>
    <x v="0"/>
    <s v="Cash"/>
    <n v="353112.18"/>
    <s v="Adult"/>
    <s v="Long Wait"/>
  </r>
  <r>
    <x v="667"/>
    <s v="Isha Mehta"/>
    <n v="37"/>
    <x v="0"/>
    <x v="8"/>
    <x v="6"/>
    <x v="285"/>
    <d v="2024-03-07T00:00:00"/>
    <x v="5"/>
    <s v="Chemotherapy"/>
    <s v="Dr. Bello"/>
    <x v="2"/>
    <s v="Reliance Hmo"/>
    <n v="239020.32"/>
    <n v="28687.37"/>
    <n v="40653.64"/>
    <n v="1"/>
    <n v="98"/>
    <n v="5"/>
    <x v="0"/>
    <s v="Improved"/>
    <x v="0"/>
    <s v="Bank Transfer"/>
    <n v="308361.33"/>
    <s v="Adult"/>
    <s v="Long Wait"/>
  </r>
  <r>
    <x v="668"/>
    <s v="Riya Sharma"/>
    <n v="30"/>
    <x v="0"/>
    <x v="8"/>
    <x v="7"/>
    <x v="479"/>
    <d v="2025-10-21T00:00:00"/>
    <x v="7"/>
    <s v="Chemotherapy"/>
    <s v="Dr. Ibrahim"/>
    <x v="1"/>
    <s v="Hygeia Hmo"/>
    <n v="180642.43"/>
    <n v="44483.67"/>
    <n v="87360.81"/>
    <n v="2"/>
    <n v="47"/>
    <n v="1.9"/>
    <x v="0"/>
    <s v="Recovered"/>
    <x v="1"/>
    <s v="Mobile Money"/>
    <n v="312486.90999999997"/>
    <s v="Yound Adult"/>
    <s v="Acceptable"/>
  </r>
  <r>
    <x v="669"/>
    <s v="Kavya Sharma"/>
    <n v="21"/>
    <x v="0"/>
    <x v="8"/>
    <x v="7"/>
    <x v="480"/>
    <d v="2024-08-16T00:00:00"/>
    <x v="8"/>
    <s v="Chemotherapy"/>
    <s v="Dr. Yusuf"/>
    <x v="2"/>
    <s v="Self Pay"/>
    <n v="222858.4"/>
    <n v="0"/>
    <n v="0"/>
    <n v="4"/>
    <n v="122"/>
    <n v="1.9"/>
    <x v="0"/>
    <s v="Recovered"/>
    <x v="1"/>
    <s v="Mobile Money"/>
    <n v="222858.4"/>
    <s v="Yound Adult"/>
    <s v="Long Wait"/>
  </r>
  <r>
    <x v="670"/>
    <s v="Ishaan Rao"/>
    <n v="21"/>
    <x v="0"/>
    <x v="9"/>
    <x v="4"/>
    <x v="481"/>
    <d v="2025-02-23T00:00:00"/>
    <x v="1"/>
    <s v="Counseling"/>
    <s v="Dr. Okafor"/>
    <x v="1"/>
    <s v="Hygeia Hmo"/>
    <n v="23325.63"/>
    <n v="32680.2"/>
    <n v="35434.61"/>
    <n v="4"/>
    <n v="141"/>
    <n v="3.6"/>
    <x v="0"/>
    <s v="Deceased"/>
    <x v="1"/>
    <s v="Insurance"/>
    <n v="91440.44"/>
    <s v="Yound Adult"/>
    <s v="Long Wait"/>
  </r>
  <r>
    <x v="671"/>
    <s v="Meera Kapoor"/>
    <n v="7"/>
    <x v="1"/>
    <x v="6"/>
    <x v="7"/>
    <x v="176"/>
    <d v="2024-08-26T00:00:00"/>
    <x v="2"/>
    <s v="Iv Therapy"/>
    <s v="Dr. Okafor"/>
    <x v="0"/>
    <s v="Hygeia Hmo"/>
    <n v="484381.17"/>
    <n v="25893.95"/>
    <n v="65927.61"/>
    <n v="3"/>
    <n v="32"/>
    <n v="4.0999999999999996"/>
    <x v="0"/>
    <s v="Improved"/>
    <x v="1"/>
    <s v="Insurance"/>
    <n v="576202.73"/>
    <s v="Child"/>
    <s v="Acceptable"/>
  </r>
  <r>
    <x v="672"/>
    <s v="Aarav Gupta"/>
    <n v="52"/>
    <x v="0"/>
    <x v="5"/>
    <x v="4"/>
    <x v="347"/>
    <d v="2025-05-19T00:00:00"/>
    <x v="11"/>
    <s v="Surgery"/>
    <s v="Dr. Musa"/>
    <x v="1"/>
    <s v="Axa Mansard"/>
    <n v="170163.63"/>
    <n v="30729.759999999998"/>
    <n v="65939.22"/>
    <n v="1"/>
    <n v="2"/>
    <n v="2.8"/>
    <x v="0"/>
    <s v="Recovered"/>
    <x v="1"/>
    <s v="Cash"/>
    <n v="266832.61"/>
    <s v="Adult"/>
    <s v="Excellent"/>
  </r>
  <r>
    <x v="673"/>
    <s v="Rohan Gupta"/>
    <n v="89"/>
    <x v="0"/>
    <x v="6"/>
    <x v="3"/>
    <x v="482"/>
    <d v="2025-01-15T00:00:00"/>
    <x v="10"/>
    <s v="Surgery"/>
    <s v="Dr. Eze"/>
    <x v="1"/>
    <s v="Reliance Hmo"/>
    <n v="200668.47"/>
    <n v="44778.400000000001"/>
    <n v="41790.86"/>
    <n v="4"/>
    <n v="240"/>
    <n v="1.4"/>
    <x v="0"/>
    <s v="Recovered"/>
    <x v="1"/>
    <s v="Card"/>
    <n v="287237.73"/>
    <s v="Senior"/>
    <s v="Long Wait"/>
  </r>
  <r>
    <x v="674"/>
    <s v="Maya Verma"/>
    <n v="7"/>
    <x v="1"/>
    <x v="6"/>
    <x v="6"/>
    <x v="483"/>
    <d v="2024-05-06T00:00:00"/>
    <x v="2"/>
    <s v="Surgery"/>
    <s v="Dr. Adeyemi"/>
    <x v="1"/>
    <s v="Reliance Hmo"/>
    <n v="0"/>
    <n v="37436.550000000003"/>
    <n v="49184.93"/>
    <n v="3"/>
    <n v="73"/>
    <n v="3.6"/>
    <x v="0"/>
    <s v="Recovered"/>
    <x v="2"/>
    <s v="Cash"/>
    <n v="86621.48000000001"/>
    <s v="Child"/>
    <s v="Long Wait"/>
  </r>
  <r>
    <x v="675"/>
    <s v="Diya Kapoor"/>
    <n v="37"/>
    <x v="1"/>
    <x v="2"/>
    <x v="1"/>
    <x v="484"/>
    <d v="2025-02-17T00:00:00"/>
    <x v="2"/>
    <s v="Surgery"/>
    <s v="Dr. Chukwu"/>
    <x v="1"/>
    <s v="Hygeia Hmo"/>
    <n v="291417.40999999997"/>
    <n v="13765.88"/>
    <n v="53856.98"/>
    <n v="27"/>
    <n v="77"/>
    <n v="3.2"/>
    <x v="0"/>
    <s v="Recovered"/>
    <x v="2"/>
    <s v="Insurance"/>
    <n v="359040.26999999996"/>
    <s v="Adult"/>
    <s v="Long Wait"/>
  </r>
  <r>
    <x v="676"/>
    <s v="Vivaan Gupta"/>
    <n v="68"/>
    <x v="0"/>
    <x v="1"/>
    <x v="0"/>
    <x v="485"/>
    <d v="2026-06-22T00:00:00"/>
    <x v="1"/>
    <s v="Iv Therapy"/>
    <s v="Dr. Okafor"/>
    <x v="1"/>
    <s v="Axa Mansard"/>
    <n v="239144.53"/>
    <n v="0"/>
    <n v="34169.72"/>
    <n v="11"/>
    <n v="297"/>
    <n v="3.4"/>
    <x v="0"/>
    <s v="Recovered"/>
    <x v="2"/>
    <s v="Mobile Money"/>
    <n v="273314.25"/>
    <s v="Senior"/>
    <s v="Long Wait"/>
  </r>
  <r>
    <x v="677"/>
    <s v="Priya Malhotra"/>
    <n v="74"/>
    <x v="0"/>
    <x v="10"/>
    <x v="0"/>
    <x v="486"/>
    <d v="2024-06-22T00:00:00"/>
    <x v="8"/>
    <s v="Antibiotics"/>
    <s v="Dr. Adeyemi"/>
    <x v="1"/>
    <s v="Nhia"/>
    <n v="250654.95"/>
    <n v="8954.4599999999991"/>
    <n v="0"/>
    <n v="6"/>
    <n v="146"/>
    <n v="2.6"/>
    <x v="1"/>
    <s v="Referred"/>
    <x v="2"/>
    <s v="Bank Transfer"/>
    <n v="259609.41"/>
    <s v="Senior"/>
    <s v="Long Wait"/>
  </r>
  <r>
    <x v="678"/>
    <s v="Kabir Rao"/>
    <n v="15"/>
    <x v="0"/>
    <x v="10"/>
    <x v="3"/>
    <x v="487"/>
    <d v="2025-07-12T00:00:00"/>
    <x v="7"/>
    <s v="Wound Care"/>
    <s v="Dr. Eze"/>
    <x v="0"/>
    <s v="Nhia"/>
    <n v="182866.74"/>
    <n v="30842.98"/>
    <n v="53057.81"/>
    <n v="3"/>
    <n v="11"/>
    <n v="5"/>
    <x v="1"/>
    <s v="Referred"/>
    <x v="2"/>
    <s v="Bank Transfer"/>
    <n v="266767.53000000003"/>
    <s v="Child"/>
    <s v="Excellent"/>
  </r>
  <r>
    <x v="679"/>
    <s v="Riya Sharma"/>
    <n v="6"/>
    <x v="0"/>
    <x v="9"/>
    <x v="3"/>
    <x v="488"/>
    <d v="2025-09-07T00:00:00"/>
    <x v="8"/>
    <s v="Wound Care"/>
    <s v="Dr. Adeyemi"/>
    <x v="0"/>
    <s v="Axa Mansard"/>
    <n v="204736.72"/>
    <n v="30859.38"/>
    <n v="49817.68"/>
    <n v="2"/>
    <n v="197"/>
    <n v="3.4"/>
    <x v="1"/>
    <s v="Improved"/>
    <x v="2"/>
    <s v="Card"/>
    <n v="285413.78000000003"/>
    <s v="Child"/>
    <s v="Long Wait"/>
  </r>
  <r>
    <x v="680"/>
    <s v="Riya Patel"/>
    <n v="70"/>
    <x v="0"/>
    <x v="0"/>
    <x v="0"/>
    <x v="165"/>
    <d v="2025-07-07T00:00:00"/>
    <x v="10"/>
    <s v="Medication"/>
    <s v="Dr. Chukwu"/>
    <x v="1"/>
    <s v="Self Pay"/>
    <n v="391924.23"/>
    <n v="21629.93"/>
    <n v="0"/>
    <n v="2"/>
    <n v="52"/>
    <n v="2.9"/>
    <x v="0"/>
    <s v="Recovered"/>
    <x v="2"/>
    <s v="Cash"/>
    <n v="413554.16"/>
    <s v="Senior"/>
    <s v="Acceptable"/>
  </r>
  <r>
    <x v="681"/>
    <s v="Aarav Joshi"/>
    <n v="27"/>
    <x v="0"/>
    <x v="3"/>
    <x v="5"/>
    <x v="489"/>
    <d v="2025-04-11T00:00:00"/>
    <x v="10"/>
    <s v="Medication"/>
    <s v="Dr. Yusuf"/>
    <x v="2"/>
    <s v="Axa Mansard"/>
    <n v="128515.19"/>
    <n v="20336.46"/>
    <n v="25933.77"/>
    <n v="1"/>
    <n v="110"/>
    <n v="4.2"/>
    <x v="0"/>
    <s v="Recovered"/>
    <x v="1"/>
    <s v="Card"/>
    <n v="174785.41999999998"/>
    <s v="Yound Adult"/>
    <s v="Long Wait"/>
  </r>
  <r>
    <x v="682"/>
    <s v="Sneha Verma"/>
    <n v="70"/>
    <x v="0"/>
    <x v="3"/>
    <x v="6"/>
    <x v="490"/>
    <d v="2025-04-01T00:00:00"/>
    <x v="1"/>
    <s v="Iv Therapy"/>
    <s v="Dr. Adeyemi"/>
    <x v="0"/>
    <s v="Self Pay"/>
    <n v="82791.28"/>
    <n v="0"/>
    <n v="56423.34"/>
    <n v="1"/>
    <n v="33"/>
    <n v="2.7"/>
    <x v="0"/>
    <s v="Recovered"/>
    <x v="2"/>
    <s v="Card"/>
    <n v="139214.62"/>
    <s v="Senior"/>
    <s v="Acceptable"/>
  </r>
  <r>
    <x v="683"/>
    <s v="Kabir Malhotra"/>
    <n v="73"/>
    <x v="0"/>
    <x v="0"/>
    <x v="4"/>
    <x v="491"/>
    <d v="2025-09-08T00:00:00"/>
    <x v="8"/>
    <s v="Iv Therapy"/>
    <s v="Dr. Adeyemi"/>
    <x v="0"/>
    <s v="Mediplus"/>
    <n v="314121.08"/>
    <n v="0"/>
    <n v="636.69000000000005"/>
    <n v="1"/>
    <n v="220"/>
    <n v="2.7"/>
    <x v="0"/>
    <s v="Deceased"/>
    <x v="1"/>
    <s v="Card"/>
    <n v="314757.77"/>
    <s v="Senior"/>
    <s v="Long Wait"/>
  </r>
  <r>
    <x v="684"/>
    <s v="Kavya Mehta"/>
    <n v="0"/>
    <x v="0"/>
    <x v="1"/>
    <x v="0"/>
    <x v="492"/>
    <d v="2025-08-21T00:00:00"/>
    <x v="1"/>
    <s v="Iv Therapy"/>
    <s v="Dr. Adeyemi"/>
    <x v="1"/>
    <s v="Leadway Health"/>
    <n v="170891.05"/>
    <n v="24307.01"/>
    <n v="66464.789999999994"/>
    <n v="1"/>
    <n v="0"/>
    <n v="1.7"/>
    <x v="1"/>
    <s v="Referred"/>
    <x v="0"/>
    <s v="Cash"/>
    <n v="261662.84999999998"/>
    <s v="Child"/>
    <s v="Excellent"/>
  </r>
  <r>
    <x v="685"/>
    <s v="Priya Verma"/>
    <n v="65"/>
    <x v="0"/>
    <x v="0"/>
    <x v="1"/>
    <x v="333"/>
    <d v="2025-01-16T00:00:00"/>
    <x v="1"/>
    <s v="Iv Therapy"/>
    <s v="Dr. Balogun"/>
    <x v="0"/>
    <s v="Leadway Health"/>
    <n v="38.67"/>
    <n v="57037.85"/>
    <n v="46126.26"/>
    <n v="4"/>
    <n v="176"/>
    <n v="3.6"/>
    <x v="0"/>
    <s v="Improved"/>
    <x v="2"/>
    <s v="Card"/>
    <n v="103202.78"/>
    <s v="Senior"/>
    <s v="Long Wait"/>
  </r>
  <r>
    <x v="686"/>
    <s v="Kabir Nair"/>
    <n v="39"/>
    <x v="1"/>
    <x v="9"/>
    <x v="4"/>
    <x v="483"/>
    <d v="2024-05-04T00:00:00"/>
    <x v="3"/>
    <s v="Medication"/>
    <s v="Dr. Ibrahim"/>
    <x v="1"/>
    <s v="Leadway Health"/>
    <n v="368420.13"/>
    <n v="7656.35"/>
    <n v="33361.050000000003"/>
    <n v="1"/>
    <n v="81"/>
    <n v="0"/>
    <x v="0"/>
    <s v="Improved"/>
    <x v="2"/>
    <s v="Card"/>
    <n v="409437.52999999997"/>
    <s v="Adult"/>
    <s v="Long Wait"/>
  </r>
  <r>
    <x v="687"/>
    <s v="Aisha Rao"/>
    <n v="23"/>
    <x v="0"/>
    <x v="0"/>
    <x v="0"/>
    <x v="493"/>
    <d v="2024-05-26T00:00:00"/>
    <x v="1"/>
    <s v="Chemotherapy"/>
    <s v="Dr. Adebayo"/>
    <x v="1"/>
    <s v="Leadway Health"/>
    <n v="290802.96000000002"/>
    <n v="27832.47"/>
    <n v="82728.570000000007"/>
    <n v="10"/>
    <n v="125"/>
    <n v="3.4"/>
    <x v="1"/>
    <s v="Recovered"/>
    <x v="1"/>
    <s v="Insurance"/>
    <n v="401364.00000000006"/>
    <s v="Yound Adult"/>
    <s v="Long Wait"/>
  </r>
  <r>
    <x v="688"/>
    <s v="Rohan Das"/>
    <n v="60"/>
    <x v="0"/>
    <x v="6"/>
    <x v="4"/>
    <x v="494"/>
    <d v="2025-05-05T00:00:00"/>
    <x v="3"/>
    <s v="Counseling"/>
    <s v="Dr. Adebayo"/>
    <x v="1"/>
    <s v="Self Pay"/>
    <n v="0"/>
    <n v="46147.26"/>
    <n v="12028.66"/>
    <n v="1"/>
    <n v="188"/>
    <n v="3.9"/>
    <x v="1"/>
    <s v="Improved"/>
    <x v="0"/>
    <s v="Bank Transfer"/>
    <n v="58175.92"/>
    <s v="Senior"/>
    <s v="Long Wait"/>
  </r>
  <r>
    <x v="689"/>
    <s v="Aarav Kumar"/>
    <n v="44"/>
    <x v="0"/>
    <x v="0"/>
    <x v="4"/>
    <x v="410"/>
    <d v="2024-06-21T00:00:00"/>
    <x v="10"/>
    <s v="Observation"/>
    <s v="Dr. Balogun"/>
    <x v="2"/>
    <s v="Self Pay"/>
    <n v="0"/>
    <n v="8481.77"/>
    <n v="65171.68"/>
    <n v="4"/>
    <n v="107"/>
    <n v="5"/>
    <x v="1"/>
    <s v="Improved"/>
    <x v="1"/>
    <s v="Bank Transfer"/>
    <n v="73653.45"/>
    <s v="Adult"/>
    <s v="Long Wait"/>
  </r>
  <r>
    <x v="690"/>
    <s v="Isha Nair"/>
    <n v="21"/>
    <x v="0"/>
    <x v="8"/>
    <x v="1"/>
    <x v="3"/>
    <d v="2026-06-10T00:00:00"/>
    <x v="10"/>
    <s v="Observation"/>
    <s v="Dr. Balogun"/>
    <x v="2"/>
    <s v="Nhia"/>
    <n v="108551.02"/>
    <n v="32572.93"/>
    <n v="0"/>
    <n v="4"/>
    <n v="220"/>
    <n v="4.3"/>
    <x v="0"/>
    <s v="Deceased"/>
    <x v="2"/>
    <s v="Bank Transfer"/>
    <n v="141123.95000000001"/>
    <s v="Yound Adult"/>
    <s v="Long Wait"/>
  </r>
  <r>
    <x v="691"/>
    <s v="Kavya Shah"/>
    <n v="8"/>
    <x v="1"/>
    <x v="10"/>
    <x v="2"/>
    <x v="348"/>
    <d v="2024-06-05T00:00:00"/>
    <x v="2"/>
    <s v="Iv Therapy"/>
    <s v="Dr. Chukwu"/>
    <x v="2"/>
    <s v="Nhia"/>
    <n v="394239.12"/>
    <n v="85787.47"/>
    <n v="5373.65"/>
    <n v="7"/>
    <n v="152"/>
    <n v="3.7"/>
    <x v="0"/>
    <s v="Improved"/>
    <x v="2"/>
    <s v="Bank Transfer"/>
    <n v="485400.24"/>
    <s v="Child"/>
    <s v="Long Wait"/>
  </r>
  <r>
    <x v="692"/>
    <s v="Diya Nair"/>
    <n v="53"/>
    <x v="1"/>
    <x v="10"/>
    <x v="0"/>
    <x v="495"/>
    <d v="2025-11-30T00:00:00"/>
    <x v="7"/>
    <s v="Surgery"/>
    <s v="Dr. Chukwu"/>
    <x v="2"/>
    <s v="Axa Mansard"/>
    <n v="336704.45"/>
    <n v="14971.84"/>
    <n v="79977.5"/>
    <n v="1"/>
    <n v="0"/>
    <n v="1.8"/>
    <x v="0"/>
    <s v="Improved"/>
    <x v="2"/>
    <s v="Insurance"/>
    <n v="431653.79000000004"/>
    <s v="Adult"/>
    <s v="Excellent"/>
  </r>
  <r>
    <x v="693"/>
    <s v="Ishaan Malhotra"/>
    <n v="43"/>
    <x v="0"/>
    <x v="10"/>
    <x v="2"/>
    <x v="382"/>
    <d v="2025-08-05T00:00:00"/>
    <x v="6"/>
    <s v="Surgery"/>
    <s v="Dr. Yusuf"/>
    <x v="0"/>
    <s v="Leadway Health"/>
    <n v="119679.71"/>
    <n v="50239.86"/>
    <n v="60926.83"/>
    <n v="3"/>
    <n v="159"/>
    <n v="3.5"/>
    <x v="0"/>
    <s v="Recovered"/>
    <x v="2"/>
    <s v="Card"/>
    <n v="230846.40000000002"/>
    <s v="Adult"/>
    <s v="Long Wait"/>
  </r>
  <r>
    <x v="694"/>
    <s v="Aisha Singh"/>
    <n v="33"/>
    <x v="0"/>
    <x v="3"/>
    <x v="5"/>
    <x v="496"/>
    <d v="2024-07-17T00:00:00"/>
    <x v="1"/>
    <s v="Wound Care"/>
    <s v="Dr. Adebayo"/>
    <x v="0"/>
    <s v="Leadway Health"/>
    <n v="507534.62"/>
    <n v="9686.36"/>
    <n v="108158.92"/>
    <n v="4"/>
    <n v="97"/>
    <n v="1.9"/>
    <x v="0"/>
    <s v="Recovered"/>
    <x v="1"/>
    <s v="Mobile Money"/>
    <n v="625379.9"/>
    <s v="Yound Adult"/>
    <s v="Long Wait"/>
  </r>
  <r>
    <x v="695"/>
    <s v="Aarav Patel"/>
    <n v="45"/>
    <x v="1"/>
    <x v="4"/>
    <x v="7"/>
    <x v="71"/>
    <d v="2026-01-12T00:00:00"/>
    <x v="9"/>
    <s v="Physiotherapy"/>
    <s v="Dr. Eze"/>
    <x v="0"/>
    <s v="Leadway Health"/>
    <n v="339157.37"/>
    <n v="60596.4"/>
    <n v="55138.67"/>
    <n v="8"/>
    <n v="50"/>
    <n v="5"/>
    <x v="1"/>
    <s v="Improved"/>
    <x v="1"/>
    <s v="Mobile Money"/>
    <n v="454892.44"/>
    <s v="Adult"/>
    <s v="Acceptable"/>
  </r>
  <r>
    <x v="696"/>
    <s v="Meera Mehta"/>
    <n v="58"/>
    <x v="1"/>
    <x v="4"/>
    <x v="8"/>
    <x v="82"/>
    <d v="2025-07-20T00:00:00"/>
    <x v="2"/>
    <s v="Observation"/>
    <s v="Dr. Eze"/>
    <x v="1"/>
    <s v="Self Pay"/>
    <n v="0"/>
    <n v="41174.54"/>
    <n v="25842.43"/>
    <n v="3"/>
    <n v="218"/>
    <n v="4.5"/>
    <x v="1"/>
    <s v="Improved"/>
    <x v="2"/>
    <s v="Mobile Money"/>
    <n v="67016.97"/>
    <s v="Adult"/>
    <s v="Long Wait"/>
  </r>
  <r>
    <x v="697"/>
    <s v="Meera Kumar"/>
    <n v="25"/>
    <x v="0"/>
    <x v="1"/>
    <x v="5"/>
    <x v="497"/>
    <d v="2025-03-18T00:00:00"/>
    <x v="0"/>
    <s v="Chemotherapy"/>
    <s v="Dr. Adebayo"/>
    <x v="2"/>
    <s v="Reliance Hmo"/>
    <n v="225729.46"/>
    <n v="40873.53"/>
    <n v="33180.400000000001"/>
    <n v="2"/>
    <n v="135"/>
    <n v="4.0999999999999996"/>
    <x v="1"/>
    <s v="Recovered"/>
    <x v="0"/>
    <s v="Mobile Money"/>
    <n v="299783.39"/>
    <s v="Yound Adult"/>
    <s v="Long Wait"/>
  </r>
  <r>
    <x v="698"/>
    <s v="Meera Das"/>
    <n v="18"/>
    <x v="0"/>
    <x v="4"/>
    <x v="5"/>
    <x v="498"/>
    <d v="2026-05-20T00:00:00"/>
    <x v="11"/>
    <s v="Surgery"/>
    <s v="Dr. Yusuf"/>
    <x v="1"/>
    <s v="Self Pay"/>
    <n v="131669.68"/>
    <n v="6448.5"/>
    <n v="28560.13"/>
    <n v="1"/>
    <n v="78"/>
    <n v="4.8"/>
    <x v="1"/>
    <s v="Recovered"/>
    <x v="0"/>
    <s v="Bank Transfer"/>
    <n v="166678.31"/>
    <s v="Yound Adult"/>
    <s v="Long Wait"/>
  </r>
  <r>
    <x v="699"/>
    <s v="Rohan Kapoor"/>
    <n v="8"/>
    <x v="0"/>
    <x v="0"/>
    <x v="4"/>
    <x v="405"/>
    <d v="2026-06-23T00:00:00"/>
    <x v="11"/>
    <s v="Antibiotics"/>
    <s v="Dr. Yusuf"/>
    <x v="1"/>
    <s v="Mediplus"/>
    <n v="379609.5"/>
    <n v="9072.75"/>
    <n v="43238.39"/>
    <n v="2"/>
    <n v="128"/>
    <n v="4"/>
    <x v="0"/>
    <s v="Recovered"/>
    <x v="0"/>
    <s v="Mobile Money"/>
    <n v="431920.64000000001"/>
    <s v="Child"/>
    <s v="Long Wait"/>
  </r>
  <r>
    <x v="700"/>
    <s v="Maya Kumar"/>
    <n v="53"/>
    <x v="0"/>
    <x v="6"/>
    <x v="0"/>
    <x v="499"/>
    <d v="2025-02-23T00:00:00"/>
    <x v="10"/>
    <s v="Counseling"/>
    <s v="Dr. Eze"/>
    <x v="0"/>
    <s v="Mediplus"/>
    <n v="99416.66"/>
    <n v="84464.05"/>
    <n v="50830"/>
    <n v="6"/>
    <n v="83"/>
    <n v="5"/>
    <x v="0"/>
    <s v="Deceased"/>
    <x v="0"/>
    <s v="Mobile Money"/>
    <n v="234710.71000000002"/>
    <s v="Adult"/>
    <s v="Long Wait"/>
  </r>
  <r>
    <x v="701"/>
    <s v="Rahul Gupta"/>
    <n v="51"/>
    <x v="0"/>
    <x v="10"/>
    <x v="3"/>
    <x v="182"/>
    <d v="2025-08-11T00:00:00"/>
    <x v="2"/>
    <s v="Dialysis"/>
    <s v="Dr. Balogun"/>
    <x v="0"/>
    <s v="Mediplus"/>
    <n v="568905.76"/>
    <n v="23121.96"/>
    <n v="35467.17"/>
    <n v="3"/>
    <n v="103"/>
    <n v="5"/>
    <x v="0"/>
    <s v="Improved"/>
    <x v="0"/>
    <s v="Insurance"/>
    <n v="627494.89"/>
    <s v="Adult"/>
    <s v="Long Wait"/>
  </r>
  <r>
    <x v="702"/>
    <s v="Ananya Patel"/>
    <n v="0"/>
    <x v="0"/>
    <x v="2"/>
    <x v="3"/>
    <x v="500"/>
    <d v="2026-05-25T00:00:00"/>
    <x v="10"/>
    <s v="Medication"/>
    <s v="Dr. Bello"/>
    <x v="0"/>
    <s v="Leadway Health"/>
    <n v="137803.85999999999"/>
    <n v="0"/>
    <n v="32255.06"/>
    <n v="1"/>
    <n v="132"/>
    <n v="2.5"/>
    <x v="0"/>
    <s v="Referred"/>
    <x v="2"/>
    <s v="Insurance"/>
    <n v="170058.91999999998"/>
    <s v="Child"/>
    <s v="Long Wait"/>
  </r>
  <r>
    <x v="703"/>
    <s v="Riya Verma"/>
    <n v="44"/>
    <x v="1"/>
    <x v="9"/>
    <x v="5"/>
    <x v="19"/>
    <d v="2025-03-23T00:00:00"/>
    <x v="2"/>
    <s v="Iv Therapy"/>
    <s v="Dr. Bello"/>
    <x v="0"/>
    <s v="Leadway Health"/>
    <n v="340756.09"/>
    <n v="0"/>
    <n v="69606.97"/>
    <n v="1"/>
    <n v="156"/>
    <n v="4.9000000000000004"/>
    <x v="0"/>
    <s v="Improved"/>
    <x v="1"/>
    <s v="Bank Transfer"/>
    <n v="410363.06000000006"/>
    <s v="Adult"/>
    <s v="Long Wait"/>
  </r>
  <r>
    <x v="704"/>
    <s v="Kabir Singh"/>
    <n v="91"/>
    <x v="0"/>
    <x v="4"/>
    <x v="4"/>
    <x v="501"/>
    <d v="2024-07-26T00:00:00"/>
    <x v="5"/>
    <s v="Iv Therapy"/>
    <s v="Dr. Adebayo"/>
    <x v="0"/>
    <s v="Hygeia Hmo"/>
    <n v="170147.11"/>
    <n v="32739.29"/>
    <n v="32506.85"/>
    <n v="7"/>
    <n v="95"/>
    <n v="5"/>
    <x v="0"/>
    <s v="Improved"/>
    <x v="1"/>
    <s v="Bank Transfer"/>
    <n v="235393.25"/>
    <s v="Senior"/>
    <s v="Long Wait"/>
  </r>
  <r>
    <x v="705"/>
    <s v="Rohan Kumar"/>
    <n v="24"/>
    <x v="1"/>
    <x v="4"/>
    <x v="4"/>
    <x v="436"/>
    <d v="2024-06-25T00:00:00"/>
    <x v="2"/>
    <s v="Chemotherapy"/>
    <s v="Dr. Adebayo"/>
    <x v="1"/>
    <s v="Self Pay"/>
    <n v="412805.33"/>
    <n v="55500.91"/>
    <n v="34106.050000000003"/>
    <n v="1"/>
    <n v="159"/>
    <n v="4.0999999999999996"/>
    <x v="1"/>
    <s v="Referred"/>
    <x v="1"/>
    <s v="Bank Transfer"/>
    <n v="502412.29"/>
    <s v="Yound Adult"/>
    <s v="Long Wait"/>
  </r>
  <r>
    <x v="706"/>
    <s v="Aarav Gupta"/>
    <n v="44"/>
    <x v="1"/>
    <x v="9"/>
    <x v="0"/>
    <x v="359"/>
    <d v="2024-09-17T00:00:00"/>
    <x v="5"/>
    <s v="Surgery"/>
    <s v="Dr. Ibrahim"/>
    <x v="0"/>
    <s v="Self Pay"/>
    <n v="363588.5"/>
    <n v="96050.3"/>
    <n v="62942.97"/>
    <n v="9"/>
    <n v="98"/>
    <n v="4.5999999999999996"/>
    <x v="1"/>
    <s v="Recovered"/>
    <x v="2"/>
    <s v="Card"/>
    <n v="522581.77"/>
    <s v="Adult"/>
    <s v="Long Wait"/>
  </r>
  <r>
    <x v="707"/>
    <s v="Kabir Reddy"/>
    <n v="92"/>
    <x v="1"/>
    <x v="9"/>
    <x v="1"/>
    <x v="502"/>
    <d v="2025-07-10T00:00:00"/>
    <x v="5"/>
    <s v="Antibiotics"/>
    <s v="Dr. Balogun"/>
    <x v="0"/>
    <s v="Self Pay"/>
    <n v="245209.95"/>
    <n v="23176.67"/>
    <n v="19929.330000000002"/>
    <n v="2"/>
    <n v="177"/>
    <n v="4.8"/>
    <x v="1"/>
    <s v="Recovered"/>
    <x v="2"/>
    <s v="Card"/>
    <n v="288315.95"/>
    <s v="Senior"/>
    <s v="Long Wait"/>
  </r>
  <r>
    <x v="708"/>
    <s v="Ishaan Shah"/>
    <n v="55"/>
    <x v="1"/>
    <x v="7"/>
    <x v="8"/>
    <x v="482"/>
    <d v="2025-01-13T00:00:00"/>
    <x v="2"/>
    <s v="Counseling"/>
    <s v="Dr. Balogun"/>
    <x v="2"/>
    <s v="Nhia"/>
    <n v="8802.16"/>
    <n v="34624.26"/>
    <n v="58582.69"/>
    <n v="2"/>
    <n v="223"/>
    <n v="2.7"/>
    <x v="0"/>
    <s v="Improved"/>
    <x v="2"/>
    <s v="Mobile Money"/>
    <n v="102009.11"/>
    <s v="Adult"/>
    <s v="Long Wait"/>
  </r>
  <r>
    <x v="709"/>
    <s v="Neha Mehta"/>
    <n v="23"/>
    <x v="1"/>
    <x v="5"/>
    <x v="3"/>
    <x v="503"/>
    <d v="2026-02-16T00:00:00"/>
    <x v="11"/>
    <s v="Physiotherapy"/>
    <s v="Dr. Okafor"/>
    <x v="0"/>
    <s v="Mediplus"/>
    <n v="32880.410000000003"/>
    <n v="63416.43"/>
    <n v="91459.18"/>
    <n v="1"/>
    <n v="119"/>
    <n v="5"/>
    <x v="0"/>
    <s v="Improved"/>
    <x v="2"/>
    <s v="Mobile Money"/>
    <n v="187756.02"/>
    <s v="Yound Adult"/>
    <s v="Long Wait"/>
  </r>
  <r>
    <x v="710"/>
    <s v="Sneha Reddy"/>
    <n v="40"/>
    <x v="1"/>
    <x v="7"/>
    <x v="2"/>
    <x v="161"/>
    <d v="2026-08-31T00:00:00"/>
    <x v="10"/>
    <s v="Medication"/>
    <s v="Dr. Yusuf"/>
    <x v="1"/>
    <s v="Self Pay"/>
    <n v="173374.73"/>
    <n v="22240.23"/>
    <n v="0"/>
    <n v="3"/>
    <n v="114"/>
    <n v="3.6"/>
    <x v="0"/>
    <s v="Improved"/>
    <x v="2"/>
    <s v="Insurance"/>
    <n v="195614.96000000002"/>
    <s v="Adult"/>
    <s v="Long Wait"/>
  </r>
  <r>
    <x v="711"/>
    <s v="Ishaan Joshi"/>
    <n v="45"/>
    <x v="0"/>
    <x v="6"/>
    <x v="2"/>
    <x v="504"/>
    <d v="2024-12-31T00:00:00"/>
    <x v="10"/>
    <s v="Physiotherapy"/>
    <s v="Dr. Okafor"/>
    <x v="1"/>
    <s v="Hygeia Hmo"/>
    <n v="197221.48"/>
    <n v="8220.17"/>
    <n v="47164.6"/>
    <n v="5"/>
    <n v="150"/>
    <n v="2.2000000000000002"/>
    <x v="0"/>
    <s v="Recovered"/>
    <x v="1"/>
    <s v="Cash"/>
    <n v="252606.25000000003"/>
    <s v="Adult"/>
    <s v="Long Wait"/>
  </r>
  <r>
    <x v="712"/>
    <s v="Vivaan Joshi"/>
    <n v="48"/>
    <x v="0"/>
    <x v="3"/>
    <x v="2"/>
    <x v="372"/>
    <d v="2025-04-19T00:00:00"/>
    <x v="10"/>
    <s v="Medication"/>
    <s v="Dr. Adeyemi"/>
    <x v="0"/>
    <s v="Self Pay"/>
    <n v="119470.93"/>
    <n v="15303.59"/>
    <n v="51918.33"/>
    <n v="3"/>
    <n v="9"/>
    <n v="4.2"/>
    <x v="0"/>
    <s v="Recovered"/>
    <x v="1"/>
    <s v="Card"/>
    <n v="186692.84999999998"/>
    <s v="Adult"/>
    <s v="Excellent"/>
  </r>
  <r>
    <x v="713"/>
    <s v="Ananya Kapoor"/>
    <n v="53"/>
    <x v="1"/>
    <x v="6"/>
    <x v="3"/>
    <x v="249"/>
    <d v="2024-07-19T00:00:00"/>
    <x v="8"/>
    <s v="Counseling"/>
    <s v="Dr. Adebayo"/>
    <x v="0"/>
    <s v="Avon Hmo"/>
    <n v="97781.54"/>
    <n v="24825.39"/>
    <n v="14069.24"/>
    <n v="1"/>
    <n v="156"/>
    <n v="2.6"/>
    <x v="0"/>
    <s v="Recovered"/>
    <x v="2"/>
    <s v="Bank Transfer"/>
    <n v="136676.16999999998"/>
    <s v="Adult"/>
    <s v="Long Wait"/>
  </r>
  <r>
    <x v="714"/>
    <s v="Aisha Joshi"/>
    <n v="35"/>
    <x v="1"/>
    <x v="7"/>
    <x v="4"/>
    <x v="505"/>
    <d v="2026-08-09T00:00:00"/>
    <x v="1"/>
    <s v="Iv Therapy"/>
    <s v="Dr. Yusuf"/>
    <x v="0"/>
    <s v="Nhia"/>
    <n v="203973.87"/>
    <n v="33693.9"/>
    <n v="22145.26"/>
    <n v="4"/>
    <n v="110"/>
    <n v="5"/>
    <x v="0"/>
    <s v="Recovered"/>
    <x v="2"/>
    <s v="Bank Transfer"/>
    <n v="259813.03"/>
    <s v="Yound Adult"/>
    <s v="Long Wait"/>
  </r>
  <r>
    <x v="715"/>
    <s v="Maya Gupta"/>
    <n v="68"/>
    <x v="1"/>
    <x v="1"/>
    <x v="5"/>
    <x v="150"/>
    <d v="2025-08-27T00:00:00"/>
    <x v="2"/>
    <s v="Counseling"/>
    <s v="Dr. Chukwu"/>
    <x v="2"/>
    <s v="Nhia"/>
    <n v="429733.67"/>
    <n v="9596.1299999999992"/>
    <n v="1348.36"/>
    <n v="1"/>
    <n v="117"/>
    <n v="3"/>
    <x v="0"/>
    <s v="Recovered"/>
    <x v="2"/>
    <s v="Card"/>
    <n v="440678.16"/>
    <s v="Senior"/>
    <s v="Long Wait"/>
  </r>
  <r>
    <x v="716"/>
    <s v="Maya Mehta"/>
    <n v="43"/>
    <x v="0"/>
    <x v="1"/>
    <x v="1"/>
    <x v="506"/>
    <d v="2026-05-25T00:00:00"/>
    <x v="8"/>
    <s v="Counseling"/>
    <s v="Dr. Adeyemi"/>
    <x v="2"/>
    <s v="Axa Mansard"/>
    <n v="107692.08"/>
    <n v="1321.01"/>
    <n v="77697.149999999994"/>
    <n v="11"/>
    <n v="52"/>
    <n v="3.8"/>
    <x v="1"/>
    <s v="Improved"/>
    <x v="2"/>
    <s v="Card"/>
    <n v="186710.24"/>
    <s v="Adult"/>
    <s v="Acceptable"/>
  </r>
  <r>
    <x v="717"/>
    <s v="Arjun Patel"/>
    <n v="34"/>
    <x v="0"/>
    <x v="0"/>
    <x v="3"/>
    <x v="507"/>
    <d v="2025-08-28T00:00:00"/>
    <x v="11"/>
    <s v="Iv Therapy"/>
    <s v="Dr. Ibrahim"/>
    <x v="0"/>
    <s v="Hygeia Hmo"/>
    <n v="13134.26"/>
    <n v="36440.019999999997"/>
    <n v="101765.75"/>
    <n v="3"/>
    <n v="28"/>
    <n v="2.7"/>
    <x v="0"/>
    <s v="Referred"/>
    <x v="0"/>
    <s v="Card"/>
    <n v="151340.03"/>
    <s v="Yound Adult"/>
    <s v="Excellent"/>
  </r>
  <r>
    <x v="718"/>
    <s v="Zara Gupta"/>
    <n v="62"/>
    <x v="1"/>
    <x v="6"/>
    <x v="4"/>
    <x v="508"/>
    <d v="2024-02-13T00:00:00"/>
    <x v="3"/>
    <s v="Dialysis"/>
    <s v="Dr. Balogun"/>
    <x v="1"/>
    <s v="Mediplus"/>
    <n v="44832.12"/>
    <n v="0"/>
    <n v="92383.14"/>
    <n v="3"/>
    <n v="49"/>
    <n v="5"/>
    <x v="0"/>
    <s v="Recovered"/>
    <x v="2"/>
    <s v="Card"/>
    <n v="137215.26"/>
    <s v="Senior"/>
    <s v="Acceptable"/>
  </r>
  <r>
    <x v="719"/>
    <s v="Priya Reddy"/>
    <n v="39"/>
    <x v="0"/>
    <x v="6"/>
    <x v="8"/>
    <x v="509"/>
    <d v="2026-03-07T00:00:00"/>
    <x v="11"/>
    <s v="Surgery"/>
    <s v="Dr. Eze"/>
    <x v="1"/>
    <s v="Self Pay"/>
    <n v="281377.78000000003"/>
    <n v="7900.03"/>
    <n v="48974.91"/>
    <n v="2"/>
    <n v="66"/>
    <n v="2"/>
    <x v="1"/>
    <s v="Improved"/>
    <x v="0"/>
    <s v="Card"/>
    <n v="338252.72000000009"/>
    <s v="Adult"/>
    <s v="Long Wait"/>
  </r>
  <r>
    <x v="720"/>
    <s v="Maya Gupta"/>
    <n v="4"/>
    <x v="1"/>
    <x v="3"/>
    <x v="0"/>
    <x v="103"/>
    <d v="2024-03-18T00:00:00"/>
    <x v="9"/>
    <s v="Wound Care"/>
    <s v="Dr. Ibrahim"/>
    <x v="1"/>
    <s v="Mediplus"/>
    <n v="493408.43"/>
    <n v="28472.560000000001"/>
    <n v="22536.01"/>
    <n v="2"/>
    <n v="126"/>
    <n v="0.2"/>
    <x v="0"/>
    <s v="Referred"/>
    <x v="2"/>
    <s v="Card"/>
    <n v="544417"/>
    <s v="Child"/>
    <s v="Long Wait"/>
  </r>
  <r>
    <x v="721"/>
    <s v="Meera Malhotra"/>
    <n v="71"/>
    <x v="0"/>
    <x v="6"/>
    <x v="0"/>
    <x v="284"/>
    <d v="2024-06-12T00:00:00"/>
    <x v="7"/>
    <s v="Medication"/>
    <s v="Dr. Okafor"/>
    <x v="1"/>
    <s v="Avon Hmo"/>
    <n v="371619.99"/>
    <n v="3090.47"/>
    <n v="24786.3"/>
    <n v="3"/>
    <n v="166"/>
    <n v="0.2"/>
    <x v="0"/>
    <s v="Referred"/>
    <x v="2"/>
    <s v="Card"/>
    <n v="399496.75999999995"/>
    <s v="Senior"/>
    <s v="Long Wait"/>
  </r>
  <r>
    <x v="722"/>
    <s v="Rohan Sharma"/>
    <n v="11"/>
    <x v="0"/>
    <x v="3"/>
    <x v="4"/>
    <x v="10"/>
    <d v="2025-12-27T00:00:00"/>
    <x v="3"/>
    <s v="Medication"/>
    <s v="Dr. Okafor"/>
    <x v="1"/>
    <s v="Hygeia Hmo"/>
    <n v="153282.47"/>
    <n v="22529.5"/>
    <n v="34252.67"/>
    <n v="2"/>
    <n v="53"/>
    <n v="2.2999999999999998"/>
    <x v="0"/>
    <s v="Referred"/>
    <x v="2"/>
    <s v="Card"/>
    <n v="210064.64000000001"/>
    <s v="Child"/>
    <s v="Acceptable"/>
  </r>
  <r>
    <x v="723"/>
    <s v="Arjun Verma"/>
    <n v="84"/>
    <x v="0"/>
    <x v="9"/>
    <x v="3"/>
    <x v="510"/>
    <d v="2026-08-02T00:00:00"/>
    <x v="1"/>
    <s v="Iv Therapy"/>
    <s v="Dr. Okafor"/>
    <x v="1"/>
    <s v="Nhia"/>
    <n v="57310.79"/>
    <n v="69552.92"/>
    <n v="33016.04"/>
    <n v="15"/>
    <n v="104"/>
    <n v="3.6"/>
    <x v="0"/>
    <s v="Improved"/>
    <x v="0"/>
    <s v="Bank Transfer"/>
    <n v="159879.75"/>
    <s v="Senior"/>
    <s v="Long Wait"/>
  </r>
  <r>
    <x v="724"/>
    <s v="Riya Malhotra"/>
    <n v="64"/>
    <x v="1"/>
    <x v="9"/>
    <x v="3"/>
    <x v="6"/>
    <d v="2025-11-28T00:00:00"/>
    <x v="1"/>
    <s v="Wound Care"/>
    <s v="Dr. Musa"/>
    <x v="0"/>
    <s v="Reliance Hmo"/>
    <n v="237624.11"/>
    <n v="18086.21"/>
    <n v="5862.32"/>
    <n v="1"/>
    <n v="27"/>
    <n v="1.6"/>
    <x v="0"/>
    <s v="Recovered"/>
    <x v="0"/>
    <s v="Bank Transfer"/>
    <n v="261572.63999999998"/>
    <s v="Senior"/>
    <s v="Excellent"/>
  </r>
  <r>
    <x v="725"/>
    <s v="Diya Rao"/>
    <n v="16"/>
    <x v="0"/>
    <x v="9"/>
    <x v="3"/>
    <x v="511"/>
    <d v="2026-03-24T00:00:00"/>
    <x v="2"/>
    <s v="Wound Care"/>
    <s v="Dr. Chukwu"/>
    <x v="0"/>
    <s v="Self Pay"/>
    <n v="182821.53"/>
    <n v="64252.55"/>
    <n v="80978.990000000005"/>
    <n v="3"/>
    <n v="92"/>
    <n v="3.6"/>
    <x v="0"/>
    <s v="Improved"/>
    <x v="1"/>
    <s v="Bank Transfer"/>
    <n v="328053.07"/>
    <s v="Child"/>
    <s v="Long Wait"/>
  </r>
  <r>
    <x v="726"/>
    <s v="Aisha Singh"/>
    <n v="35"/>
    <x v="1"/>
    <x v="2"/>
    <x v="1"/>
    <x v="512"/>
    <d v="2024-01-20T00:00:00"/>
    <x v="6"/>
    <s v="Chemotherapy"/>
    <s v="Dr. Okafor"/>
    <x v="0"/>
    <s v="Avon Hmo"/>
    <n v="194235.46"/>
    <n v="0"/>
    <n v="38346.559999999998"/>
    <n v="3"/>
    <n v="167"/>
    <n v="2.9"/>
    <x v="0"/>
    <s v="Improved"/>
    <x v="1"/>
    <s v="Card"/>
    <n v="232582.02"/>
    <s v="Yound Adult"/>
    <s v="Long Wait"/>
  </r>
  <r>
    <x v="727"/>
    <s v="Aisha Patel"/>
    <n v="53"/>
    <x v="0"/>
    <x v="4"/>
    <x v="6"/>
    <x v="487"/>
    <d v="2025-07-11T00:00:00"/>
    <x v="5"/>
    <s v="Physiotherapy"/>
    <s v="Dr. Okafor"/>
    <x v="0"/>
    <s v="Leadway Health"/>
    <n v="295237.68"/>
    <n v="46057.53"/>
    <n v="0"/>
    <n v="2"/>
    <n v="170"/>
    <n v="3"/>
    <x v="1"/>
    <s v="Recovered"/>
    <x v="0"/>
    <s v="Card"/>
    <n v="341295.20999999996"/>
    <s v="Adult"/>
    <s v="Long Wait"/>
  </r>
  <r>
    <x v="728"/>
    <s v="Kabir Singh"/>
    <n v="92"/>
    <x v="1"/>
    <x v="4"/>
    <x v="0"/>
    <x v="513"/>
    <d v="2025-05-09T00:00:00"/>
    <x v="7"/>
    <s v="Antibiotics"/>
    <s v="Dr. Bello"/>
    <x v="1"/>
    <s v="Reliance Hmo"/>
    <n v="262262.27"/>
    <n v="20341.939999999999"/>
    <n v="0"/>
    <n v="2"/>
    <n v="199"/>
    <n v="2"/>
    <x v="0"/>
    <s v="Recovered"/>
    <x v="1"/>
    <s v="Card"/>
    <n v="282604.21000000002"/>
    <s v="Senior"/>
    <s v="Long Wait"/>
  </r>
  <r>
    <x v="729"/>
    <s v="Zara Joshi"/>
    <n v="35"/>
    <x v="0"/>
    <x v="0"/>
    <x v="0"/>
    <x v="514"/>
    <d v="2026-08-05T00:00:00"/>
    <x v="2"/>
    <s v="Iv Therapy"/>
    <s v="Dr. Yusuf"/>
    <x v="1"/>
    <s v="Leadway Health"/>
    <n v="418297.65"/>
    <n v="49331"/>
    <n v="40264.870000000003"/>
    <n v="1"/>
    <n v="118"/>
    <n v="2.9"/>
    <x v="1"/>
    <s v="Recovered"/>
    <x v="1"/>
    <s v="Bank Transfer"/>
    <n v="507893.52"/>
    <s v="Yound Adult"/>
    <s v="Long Wait"/>
  </r>
  <r>
    <x v="730"/>
    <s v="Aarav Nair"/>
    <n v="44"/>
    <x v="0"/>
    <x v="0"/>
    <x v="7"/>
    <x v="181"/>
    <d v="2026-02-04T00:00:00"/>
    <x v="1"/>
    <s v="Counseling"/>
    <s v="Dr. Yusuf"/>
    <x v="1"/>
    <s v="Nhia"/>
    <n v="355627.79"/>
    <n v="54179.45"/>
    <n v="59819.32"/>
    <n v="3"/>
    <n v="67"/>
    <n v="4.7"/>
    <x v="1"/>
    <s v="Recovered"/>
    <x v="1"/>
    <s v="Bank Transfer"/>
    <n v="469626.56"/>
    <s v="Adult"/>
    <s v="Long Wait"/>
  </r>
  <r>
    <x v="731"/>
    <s v="Riya Reddy"/>
    <n v="19"/>
    <x v="1"/>
    <x v="3"/>
    <x v="7"/>
    <x v="53"/>
    <d v="2025-03-03T00:00:00"/>
    <x v="1"/>
    <s v="Surgery"/>
    <s v="Dr. Bello"/>
    <x v="1"/>
    <s v="Leadway Health"/>
    <n v="163539.71"/>
    <n v="32113.17"/>
    <n v="72306.47"/>
    <n v="2"/>
    <n v="81"/>
    <n v="2.9"/>
    <x v="1"/>
    <s v="Improved"/>
    <x v="0"/>
    <s v="Bank Transfer"/>
    <n v="267959.34999999998"/>
    <s v="Yound Adult"/>
    <s v="Long Wait"/>
  </r>
  <r>
    <x v="732"/>
    <s v="Rohan Gupta"/>
    <n v="45"/>
    <x v="0"/>
    <x v="1"/>
    <x v="2"/>
    <x v="64"/>
    <d v="2026-05-08T00:00:00"/>
    <x v="2"/>
    <s v="Iv Therapy"/>
    <s v="Dr. Okafor"/>
    <x v="1"/>
    <s v="Leadway Health"/>
    <n v="246017.27"/>
    <n v="52996.79"/>
    <n v="75567.7"/>
    <n v="3"/>
    <n v="50"/>
    <n v="2.9"/>
    <x v="1"/>
    <s v="Recovered"/>
    <x v="0"/>
    <s v="Insurance"/>
    <n v="374581.76000000001"/>
    <s v="Adult"/>
    <s v="Acceptable"/>
  </r>
  <r>
    <x v="733"/>
    <s v="Zara Nair"/>
    <n v="58"/>
    <x v="0"/>
    <x v="5"/>
    <x v="0"/>
    <x v="515"/>
    <d v="2024-03-18T00:00:00"/>
    <x v="4"/>
    <s v="Counseling"/>
    <s v="Dr. Okafor"/>
    <x v="1"/>
    <s v="Avon Hmo"/>
    <n v="422834.82"/>
    <n v="22122.95"/>
    <n v="37757.08"/>
    <n v="1"/>
    <n v="205"/>
    <n v="4.4000000000000004"/>
    <x v="1"/>
    <s v="Referred"/>
    <x v="2"/>
    <s v="Bank Transfer"/>
    <n v="482714.85000000003"/>
    <s v="Adult"/>
    <s v="Long Wait"/>
  </r>
  <r>
    <x v="734"/>
    <s v="Aditya Malhotra"/>
    <n v="16"/>
    <x v="0"/>
    <x v="7"/>
    <x v="6"/>
    <x v="516"/>
    <d v="2024-12-11T00:00:00"/>
    <x v="6"/>
    <s v="Wound Care"/>
    <s v="Dr. Balogun"/>
    <x v="1"/>
    <s v="Reliance Hmo"/>
    <n v="315021.93"/>
    <n v="6771.59"/>
    <n v="10979.39"/>
    <n v="4"/>
    <n v="68"/>
    <n v="2.9"/>
    <x v="1"/>
    <s v="Recovered"/>
    <x v="2"/>
    <s v="Bank Transfer"/>
    <n v="332772.91000000003"/>
    <s v="Child"/>
    <s v="Long Wait"/>
  </r>
  <r>
    <x v="735"/>
    <s v="Rohan Singh"/>
    <n v="41"/>
    <x v="0"/>
    <x v="11"/>
    <x v="6"/>
    <x v="481"/>
    <d v="2025-02-24T00:00:00"/>
    <x v="11"/>
    <s v="Surgery"/>
    <s v="Dr. Yusuf"/>
    <x v="0"/>
    <s v="Hygeia Hmo"/>
    <n v="224028.58"/>
    <n v="25372.560000000001"/>
    <n v="81363.88"/>
    <n v="5"/>
    <n v="2"/>
    <n v="4.5"/>
    <x v="1"/>
    <s v="Improved"/>
    <x v="1"/>
    <s v="Bank Transfer"/>
    <n v="330765.02"/>
    <s v="Adult"/>
    <s v="Excellent"/>
  </r>
  <r>
    <x v="736"/>
    <s v="Diya Mehta"/>
    <n v="58"/>
    <x v="1"/>
    <x v="11"/>
    <x v="2"/>
    <x v="25"/>
    <d v="2025-02-27T00:00:00"/>
    <x v="6"/>
    <s v="Dialysis"/>
    <s v="Dr. Adebayo"/>
    <x v="0"/>
    <s v="Axa Mansard"/>
    <n v="545457.85"/>
    <n v="16776.330000000002"/>
    <n v="73719.14"/>
    <n v="6"/>
    <n v="87"/>
    <n v="5"/>
    <x v="1"/>
    <s v="Deceased"/>
    <x v="1"/>
    <s v="Mobile Money"/>
    <n v="635953.31999999995"/>
    <s v="Adult"/>
    <s v="Long Wait"/>
  </r>
  <r>
    <x v="737"/>
    <s v="Ananya Kapoor"/>
    <n v="34"/>
    <x v="0"/>
    <x v="7"/>
    <x v="0"/>
    <x v="232"/>
    <d v="2024-10-05T00:00:00"/>
    <x v="2"/>
    <s v="Iv Therapy"/>
    <s v="Dr. Okafor"/>
    <x v="0"/>
    <s v="Mediplus"/>
    <n v="402850.11"/>
    <n v="17710.95"/>
    <n v="2618.23"/>
    <n v="3"/>
    <n v="56"/>
    <n v="4.5"/>
    <x v="1"/>
    <s v="Improved"/>
    <x v="1"/>
    <s v="Mobile Money"/>
    <n v="423179.29"/>
    <s v="Yound Adult"/>
    <s v="Acceptable"/>
  </r>
  <r>
    <x v="738"/>
    <s v="Ananya Patel"/>
    <n v="45"/>
    <x v="0"/>
    <x v="8"/>
    <x v="0"/>
    <x v="517"/>
    <d v="2025-11-26T00:00:00"/>
    <x v="1"/>
    <s v="Observation"/>
    <s v="Dr. Ibrahim"/>
    <x v="0"/>
    <s v="Axa Mansard"/>
    <n v="404547.59"/>
    <n v="0"/>
    <n v="31702.1"/>
    <n v="8"/>
    <n v="73"/>
    <n v="3.6"/>
    <x v="1"/>
    <s v="Improved"/>
    <x v="1"/>
    <s v="Bank Transfer"/>
    <n v="436249.69"/>
    <s v="Adult"/>
    <s v="Long Wait"/>
  </r>
  <r>
    <x v="739"/>
    <s v="Meera Joshi"/>
    <n v="58"/>
    <x v="0"/>
    <x v="7"/>
    <x v="0"/>
    <x v="241"/>
    <d v="2024-01-18T00:00:00"/>
    <x v="6"/>
    <s v="Dialysis"/>
    <s v="Dr. Bello"/>
    <x v="0"/>
    <s v="Hygeia Hmo"/>
    <n v="157727.04000000001"/>
    <n v="33475.72"/>
    <n v="43646.31"/>
    <n v="3"/>
    <n v="25"/>
    <n v="3.6"/>
    <x v="1"/>
    <s v="Improved"/>
    <x v="0"/>
    <s v="Bank Transfer"/>
    <n v="234849.07"/>
    <s v="Adult"/>
    <s v="Excellent"/>
  </r>
  <r>
    <x v="740"/>
    <s v="Kavya Malhotra"/>
    <n v="92"/>
    <x v="1"/>
    <x v="0"/>
    <x v="2"/>
    <x v="518"/>
    <d v="2024-03-03T00:00:00"/>
    <x v="6"/>
    <s v="Counseling"/>
    <s v="Dr. Adeyemi"/>
    <x v="2"/>
    <s v="Hygeia Hmo"/>
    <n v="74681.210000000006"/>
    <n v="0"/>
    <n v="67034.3"/>
    <n v="1"/>
    <n v="0"/>
    <n v="3.4"/>
    <x v="0"/>
    <s v="Recovered"/>
    <x v="0"/>
    <s v="Card"/>
    <n v="141715.51"/>
    <s v="Senior"/>
    <s v="Excellent"/>
  </r>
  <r>
    <x v="741"/>
    <s v="Aarav Malhotra"/>
    <n v="9"/>
    <x v="1"/>
    <x v="6"/>
    <x v="0"/>
    <x v="273"/>
    <d v="2024-08-31T00:00:00"/>
    <x v="0"/>
    <s v="Counseling"/>
    <s v="Dr. Chukwu"/>
    <x v="1"/>
    <s v="Avon Hmo"/>
    <n v="0"/>
    <n v="0"/>
    <n v="71950.789999999994"/>
    <n v="14"/>
    <n v="179"/>
    <n v="3"/>
    <x v="1"/>
    <s v="Recovered"/>
    <x v="1"/>
    <s v="Card"/>
    <n v="71950.789999999994"/>
    <s v="Child"/>
    <s v="Long Wait"/>
  </r>
  <r>
    <x v="742"/>
    <s v="Maya Rao"/>
    <n v="73"/>
    <x v="1"/>
    <x v="7"/>
    <x v="2"/>
    <x v="127"/>
    <d v="2025-06-10T00:00:00"/>
    <x v="10"/>
    <s v="Chemotherapy"/>
    <s v="Dr. Eze"/>
    <x v="1"/>
    <s v="Leadway Health"/>
    <n v="470228.5"/>
    <n v="23841.62"/>
    <n v="0"/>
    <n v="5"/>
    <n v="33"/>
    <n v="3.1"/>
    <x v="0"/>
    <s v="Recovered"/>
    <x v="1"/>
    <s v="Cash"/>
    <n v="494070.12"/>
    <s v="Senior"/>
    <s v="Acceptable"/>
  </r>
  <r>
    <x v="743"/>
    <s v="Ishaan Singh"/>
    <n v="38"/>
    <x v="1"/>
    <x v="7"/>
    <x v="7"/>
    <x v="468"/>
    <d v="2025-11-17T00:00:00"/>
    <x v="2"/>
    <s v="Physiotherapy"/>
    <s v="Dr. Okafor"/>
    <x v="2"/>
    <s v="Self Pay"/>
    <n v="376645.24"/>
    <n v="61860.71"/>
    <n v="39849.79"/>
    <n v="2"/>
    <n v="177"/>
    <n v="4.2"/>
    <x v="1"/>
    <s v="Recovered"/>
    <x v="0"/>
    <s v="Cash"/>
    <n v="478355.74"/>
    <s v="Adult"/>
    <s v="Long Wait"/>
  </r>
  <r>
    <x v="744"/>
    <s v="Vivaan Kumar"/>
    <n v="70"/>
    <x v="0"/>
    <x v="3"/>
    <x v="1"/>
    <x v="59"/>
    <d v="2026-02-20T00:00:00"/>
    <x v="11"/>
    <s v="Counseling"/>
    <s v="Dr. Adebayo"/>
    <x v="1"/>
    <s v="Axa Mansard"/>
    <n v="216584.2"/>
    <n v="0"/>
    <n v="70275.42"/>
    <n v="4"/>
    <n v="151"/>
    <n v="1.2"/>
    <x v="1"/>
    <s v="Improved"/>
    <x v="0"/>
    <s v="Mobile Money"/>
    <n v="286859.62"/>
    <s v="Senior"/>
    <s v="Long Wait"/>
  </r>
  <r>
    <x v="745"/>
    <s v="Maya Rao"/>
    <n v="8"/>
    <x v="0"/>
    <x v="8"/>
    <x v="5"/>
    <x v="52"/>
    <d v="2025-07-18T00:00:00"/>
    <x v="6"/>
    <s v="Observation"/>
    <s v="Dr. Yusuf"/>
    <x v="1"/>
    <s v="Axa Mansard"/>
    <n v="126948.85"/>
    <n v="7429.78"/>
    <n v="69277.94"/>
    <n v="3"/>
    <n v="103"/>
    <n v="2"/>
    <x v="0"/>
    <s v="Recovered"/>
    <x v="0"/>
    <s v="Card"/>
    <n v="203656.57"/>
    <s v="Child"/>
    <s v="Long Wait"/>
  </r>
  <r>
    <x v="746"/>
    <s v="Isha Rao"/>
    <n v="11"/>
    <x v="0"/>
    <x v="11"/>
    <x v="4"/>
    <x v="338"/>
    <d v="2024-05-06T00:00:00"/>
    <x v="11"/>
    <s v="Medication"/>
    <s v="Dr. Chukwu"/>
    <x v="1"/>
    <s v="Avon Hmo"/>
    <n v="266215.93"/>
    <n v="9649.73"/>
    <n v="34029.69"/>
    <n v="5"/>
    <n v="132"/>
    <n v="4.4000000000000004"/>
    <x v="1"/>
    <s v="Referred"/>
    <x v="1"/>
    <s v="Card"/>
    <n v="309895.34999999998"/>
    <s v="Child"/>
    <s v="Long Wait"/>
  </r>
  <r>
    <x v="747"/>
    <s v="Maya Sharma"/>
    <n v="41"/>
    <x v="1"/>
    <x v="0"/>
    <x v="0"/>
    <x v="302"/>
    <d v="2024-10-19T00:00:00"/>
    <x v="10"/>
    <s v="Medication"/>
    <s v="Dr. Yusuf"/>
    <x v="1"/>
    <s v="Mediplus"/>
    <n v="262903.12"/>
    <n v="19056.57"/>
    <n v="50459.7"/>
    <n v="8"/>
    <n v="127"/>
    <n v="3.6"/>
    <x v="1"/>
    <s v="Referred"/>
    <x v="1"/>
    <s v="Card"/>
    <n v="332419.39"/>
    <s v="Adult"/>
    <s v="Long Wait"/>
  </r>
  <r>
    <x v="748"/>
    <s v="Arjun Kapoor"/>
    <n v="50"/>
    <x v="1"/>
    <x v="6"/>
    <x v="0"/>
    <x v="519"/>
    <d v="2024-02-17T00:00:00"/>
    <x v="6"/>
    <s v="Observation"/>
    <s v="Dr. Bello"/>
    <x v="2"/>
    <s v="Mediplus"/>
    <n v="271038.61"/>
    <n v="12995.66"/>
    <n v="6468.39"/>
    <n v="1"/>
    <n v="205"/>
    <n v="4.3"/>
    <x v="0"/>
    <s v="Referred"/>
    <x v="1"/>
    <s v="Bank Transfer"/>
    <n v="290502.65999999997"/>
    <s v="Adult"/>
    <s v="Long Wait"/>
  </r>
  <r>
    <x v="749"/>
    <s v="Kabir Joshi"/>
    <n v="17"/>
    <x v="1"/>
    <x v="8"/>
    <x v="0"/>
    <x v="102"/>
    <d v="2024-11-04T00:00:00"/>
    <x v="7"/>
    <s v="Observation"/>
    <s v="Dr. Bello"/>
    <x v="1"/>
    <s v="Self Pay"/>
    <n v="104945.92"/>
    <n v="62564.76"/>
    <n v="49129.86"/>
    <n v="2"/>
    <n v="53"/>
    <n v="4.4000000000000004"/>
    <x v="0"/>
    <s v="Referred"/>
    <x v="0"/>
    <s v="Cash"/>
    <n v="216640.53999999998"/>
    <s v="Child"/>
    <s v="Acceptable"/>
  </r>
  <r>
    <x v="750"/>
    <s v="Riya Joshi"/>
    <n v="76"/>
    <x v="1"/>
    <x v="0"/>
    <x v="4"/>
    <x v="520"/>
    <d v="2024-03-16T00:00:00"/>
    <x v="2"/>
    <s v="Observation"/>
    <s v="Dr. Adeyemi"/>
    <x v="1"/>
    <s v="Hygeia Hmo"/>
    <n v="409392.07"/>
    <n v="18335.650000000001"/>
    <n v="26139.89"/>
    <n v="1"/>
    <n v="0"/>
    <n v="1.8"/>
    <x v="0"/>
    <s v="Improved"/>
    <x v="0"/>
    <s v="Bank Transfer"/>
    <n v="453867.61000000004"/>
    <s v="Senior"/>
    <s v="Excellent"/>
  </r>
  <r>
    <x v="751"/>
    <s v="Neha Rao"/>
    <n v="45"/>
    <x v="0"/>
    <x v="11"/>
    <x v="0"/>
    <x v="408"/>
    <d v="2026-03-25T00:00:00"/>
    <x v="0"/>
    <s v="Wound Care"/>
    <s v="Dr. Ibrahim"/>
    <x v="1"/>
    <s v="Axa Mansard"/>
    <n v="174327.28"/>
    <n v="0"/>
    <n v="36565.08"/>
    <n v="1"/>
    <n v="132"/>
    <n v="4.4000000000000004"/>
    <x v="0"/>
    <s v="Improved"/>
    <x v="2"/>
    <s v="Card"/>
    <n v="210892.36"/>
    <s v="Adult"/>
    <s v="Long Wait"/>
  </r>
  <r>
    <x v="752"/>
    <s v="Riya Rao"/>
    <n v="40"/>
    <x v="0"/>
    <x v="7"/>
    <x v="7"/>
    <x v="521"/>
    <d v="2024-02-26T00:00:00"/>
    <x v="0"/>
    <s v="Counseling"/>
    <s v="Dr. Okafor"/>
    <x v="0"/>
    <s v="Leadway Health"/>
    <n v="26332.29"/>
    <n v="52543.22"/>
    <n v="68524.39"/>
    <n v="1"/>
    <n v="27"/>
    <n v="2.7"/>
    <x v="1"/>
    <s v="Referred"/>
    <x v="1"/>
    <s v="Card"/>
    <n v="147399.90000000002"/>
    <s v="Adult"/>
    <s v="Excellent"/>
  </r>
  <r>
    <x v="753"/>
    <s v="Kabir Sharma"/>
    <n v="0"/>
    <x v="0"/>
    <x v="1"/>
    <x v="7"/>
    <x v="522"/>
    <d v="2025-09-15T00:00:00"/>
    <x v="7"/>
    <s v="Antibiotics"/>
    <s v="Dr. Adebayo"/>
    <x v="0"/>
    <s v="Leadway Health"/>
    <n v="267035.53999999998"/>
    <n v="23178.89"/>
    <n v="74105.25"/>
    <n v="2"/>
    <n v="12"/>
    <n v="2.9"/>
    <x v="1"/>
    <s v="Recovered"/>
    <x v="0"/>
    <s v="Card"/>
    <n v="364319.68"/>
    <s v="Child"/>
    <s v="Excellent"/>
  </r>
  <r>
    <x v="754"/>
    <s v="Ananya Das"/>
    <n v="20"/>
    <x v="0"/>
    <x v="1"/>
    <x v="6"/>
    <x v="523"/>
    <d v="2024-08-14T00:00:00"/>
    <x v="1"/>
    <s v="Surgery"/>
    <s v="Dr. Balogun"/>
    <x v="0"/>
    <s v="Axa Mansard"/>
    <n v="54522.52"/>
    <n v="54899.34"/>
    <n v="24052.14"/>
    <n v="1"/>
    <n v="104"/>
    <n v="3.1"/>
    <x v="1"/>
    <s v="Improved"/>
    <x v="0"/>
    <s v="Card"/>
    <n v="133474"/>
    <s v="Yound Adult"/>
    <s v="Long Wait"/>
  </r>
  <r>
    <x v="755"/>
    <s v="Arjun Verma"/>
    <n v="39"/>
    <x v="1"/>
    <x v="0"/>
    <x v="4"/>
    <x v="451"/>
    <d v="2025-11-12T00:00:00"/>
    <x v="9"/>
    <s v="Physiotherapy"/>
    <s v="Dr. Okafor"/>
    <x v="0"/>
    <s v="Axa Mansard"/>
    <n v="303874.46999999997"/>
    <n v="0"/>
    <n v="69273.38"/>
    <n v="1"/>
    <n v="31"/>
    <n v="3.1"/>
    <x v="1"/>
    <s v="Improved"/>
    <x v="2"/>
    <s v="Mobile Money"/>
    <n v="373147.85"/>
    <s v="Adult"/>
    <s v="Acceptable"/>
  </r>
  <r>
    <x v="756"/>
    <s v="Aditya Reddy"/>
    <n v="28"/>
    <x v="1"/>
    <x v="8"/>
    <x v="0"/>
    <x v="331"/>
    <d v="2026-02-09T00:00:00"/>
    <x v="9"/>
    <s v="Counseling"/>
    <s v="Dr. Okafor"/>
    <x v="1"/>
    <s v="Axa Mansard"/>
    <n v="225260.48"/>
    <n v="22132.73"/>
    <n v="48881.04"/>
    <n v="4"/>
    <n v="0"/>
    <n v="1.3"/>
    <x v="1"/>
    <s v="Recovered"/>
    <x v="2"/>
    <s v="Insurance"/>
    <n v="296274.25"/>
    <s v="Yound Adult"/>
    <s v="Excellent"/>
  </r>
  <r>
    <x v="757"/>
    <s v="Ishaan Kumar"/>
    <n v="45"/>
    <x v="1"/>
    <x v="10"/>
    <x v="2"/>
    <x v="524"/>
    <d v="2025-01-20T00:00:00"/>
    <x v="3"/>
    <s v="Iv Therapy"/>
    <s v="Dr. Musa"/>
    <x v="1"/>
    <s v="Axa Mansard"/>
    <n v="93069.2"/>
    <n v="53949.85"/>
    <n v="64906.37"/>
    <n v="7"/>
    <n v="18"/>
    <n v="4.2"/>
    <x v="1"/>
    <s v="Recovered"/>
    <x v="2"/>
    <s v="Cash"/>
    <n v="211925.41999999998"/>
    <s v="Adult"/>
    <s v="Excellent"/>
  </r>
  <r>
    <x v="758"/>
    <s v="Riya Rao"/>
    <n v="69"/>
    <x v="1"/>
    <x v="10"/>
    <x v="6"/>
    <x v="476"/>
    <d v="2026-03-22T00:00:00"/>
    <x v="8"/>
    <s v="Surgery"/>
    <s v="Dr. Okafor"/>
    <x v="2"/>
    <s v="Axa Mansard"/>
    <n v="210697.14"/>
    <n v="21048.01"/>
    <n v="81818.210000000006"/>
    <n v="6"/>
    <n v="4"/>
    <n v="4.3"/>
    <x v="0"/>
    <s v="Recovered"/>
    <x v="2"/>
    <s v="Cash"/>
    <n v="313563.36000000004"/>
    <s v="Senior"/>
    <s v="Excellent"/>
  </r>
  <r>
    <x v="759"/>
    <s v="Rahul Singh"/>
    <n v="66"/>
    <x v="1"/>
    <x v="10"/>
    <x v="1"/>
    <x v="443"/>
    <d v="2026-05-28T00:00:00"/>
    <x v="11"/>
    <s v="Chemotherapy"/>
    <s v="Dr. Ibrahim"/>
    <x v="1"/>
    <s v="Axa Mansard"/>
    <n v="183873.63"/>
    <n v="61714.58"/>
    <n v="59742.38"/>
    <n v="1"/>
    <n v="3"/>
    <n v="5"/>
    <x v="0"/>
    <s v="Deceased"/>
    <x v="2"/>
    <s v="Card"/>
    <n v="305330.59000000003"/>
    <s v="Senior"/>
    <s v="Excellent"/>
  </r>
  <r>
    <x v="760"/>
    <s v="Sneha Shah"/>
    <n v="62"/>
    <x v="1"/>
    <x v="10"/>
    <x v="8"/>
    <x v="525"/>
    <d v="2026-01-22T00:00:00"/>
    <x v="4"/>
    <s v="Counseling"/>
    <s v="Dr. Eze"/>
    <x v="0"/>
    <s v="Axa Mansard"/>
    <n v="113377.7"/>
    <n v="22349.65"/>
    <n v="49362.82"/>
    <n v="9"/>
    <n v="42"/>
    <n v="5"/>
    <x v="0"/>
    <s v="Deceased"/>
    <x v="0"/>
    <s v="Bank Transfer"/>
    <n v="185090.17"/>
    <s v="Senior"/>
    <s v="Acceptable"/>
  </r>
  <r>
    <x v="761"/>
    <s v="Rahul Kapoor"/>
    <n v="0"/>
    <x v="1"/>
    <x v="0"/>
    <x v="2"/>
    <x v="89"/>
    <d v="2026-06-16T00:00:00"/>
    <x v="2"/>
    <s v="Physiotherapy"/>
    <s v="Dr. Yusuf"/>
    <x v="0"/>
    <s v="Nhia"/>
    <n v="267509.81"/>
    <n v="21296.07"/>
    <n v="42752.2"/>
    <n v="3"/>
    <n v="67"/>
    <n v="4.7"/>
    <x v="1"/>
    <s v="Recovered"/>
    <x v="1"/>
    <s v="Bank Transfer"/>
    <n v="331558.08"/>
    <s v="Child"/>
    <s v="Long Wait"/>
  </r>
  <r>
    <x v="762"/>
    <s v="Arjun Mehta"/>
    <n v="49"/>
    <x v="1"/>
    <x v="4"/>
    <x v="1"/>
    <x v="224"/>
    <d v="2026-06-11T00:00:00"/>
    <x v="2"/>
    <s v="Iv Therapy"/>
    <s v="Dr. Balogun"/>
    <x v="0"/>
    <s v="Avon Hmo"/>
    <n v="172496.43"/>
    <n v="28966.57"/>
    <n v="45587.99"/>
    <n v="6"/>
    <n v="34"/>
    <n v="4.5"/>
    <x v="1"/>
    <s v="Recovered"/>
    <x v="1"/>
    <s v="Mobile Money"/>
    <n v="247050.99"/>
    <s v="Adult"/>
    <s v="Acceptable"/>
  </r>
  <r>
    <x v="763"/>
    <s v="Ishaan Kumar"/>
    <n v="76"/>
    <x v="0"/>
    <x v="8"/>
    <x v="1"/>
    <x v="247"/>
    <d v="2024-10-13T00:00:00"/>
    <x v="1"/>
    <s v="Medication"/>
    <s v="Dr. Adeyemi"/>
    <x v="2"/>
    <s v="Axa Mansard"/>
    <n v="395748.97"/>
    <n v="12858.13"/>
    <n v="69608.95"/>
    <n v="4"/>
    <n v="23"/>
    <n v="4.5999999999999996"/>
    <x v="1"/>
    <s v="Recovered"/>
    <x v="2"/>
    <s v="Mobile Money"/>
    <n v="478216.05"/>
    <s v="Senior"/>
    <s v="Excellent"/>
  </r>
  <r>
    <x v="764"/>
    <s v="Arjun Reddy"/>
    <n v="20"/>
    <x v="0"/>
    <x v="7"/>
    <x v="3"/>
    <x v="526"/>
    <d v="2025-08-26T00:00:00"/>
    <x v="11"/>
    <s v="Iv Therapy"/>
    <s v="Dr. Bello"/>
    <x v="2"/>
    <s v="Leadway Health"/>
    <n v="259206.35"/>
    <n v="0"/>
    <n v="0"/>
    <n v="2"/>
    <n v="81"/>
    <n v="3.8"/>
    <x v="1"/>
    <s v="Improved"/>
    <x v="2"/>
    <s v="Mobile Money"/>
    <n v="259206.35"/>
    <s v="Yound Adult"/>
    <s v="Long Wait"/>
  </r>
  <r>
    <x v="765"/>
    <s v="Zara Malhotra"/>
    <n v="8"/>
    <x v="0"/>
    <x v="7"/>
    <x v="5"/>
    <x v="18"/>
    <d v="2025-11-28T00:00:00"/>
    <x v="8"/>
    <s v="Counseling"/>
    <s v="Dr. Okafor"/>
    <x v="2"/>
    <s v="Reliance Hmo"/>
    <n v="105495.14"/>
    <n v="39780.230000000003"/>
    <n v="62453.45"/>
    <n v="2"/>
    <n v="93"/>
    <n v="5"/>
    <x v="0"/>
    <s v="Improved"/>
    <x v="1"/>
    <s v="Card"/>
    <n v="207728.82"/>
    <s v="Child"/>
    <s v="Long Wait"/>
  </r>
  <r>
    <x v="766"/>
    <s v="Vivaan Kapoor"/>
    <n v="46"/>
    <x v="0"/>
    <x v="7"/>
    <x v="6"/>
    <x v="527"/>
    <d v="2026-08-24T00:00:00"/>
    <x v="7"/>
    <s v="Observation"/>
    <s v="Dr. Chukwu"/>
    <x v="2"/>
    <s v="Nhia"/>
    <n v="381840.93"/>
    <n v="14787.65"/>
    <n v="14763.96"/>
    <n v="2"/>
    <n v="114"/>
    <n v="1.4"/>
    <x v="0"/>
    <s v="Recovered"/>
    <x v="2"/>
    <s v="Card"/>
    <n v="411392.54000000004"/>
    <s v="Adult"/>
    <s v="Long Wait"/>
  </r>
  <r>
    <x v="767"/>
    <s v="Kavya Shah"/>
    <n v="72"/>
    <x v="1"/>
    <x v="3"/>
    <x v="0"/>
    <x v="321"/>
    <d v="2024-08-12T00:00:00"/>
    <x v="1"/>
    <s v="Chemotherapy"/>
    <s v="Dr. Balogun"/>
    <x v="0"/>
    <s v="Axa Mansard"/>
    <n v="149398.28"/>
    <n v="14804.4"/>
    <n v="0"/>
    <n v="1"/>
    <n v="225"/>
    <n v="2"/>
    <x v="1"/>
    <s v="Improved"/>
    <x v="2"/>
    <s v="Card"/>
    <n v="164202.68"/>
    <s v="Senior"/>
    <s v="Long Wait"/>
  </r>
  <r>
    <x v="768"/>
    <s v="Rahul Verma"/>
    <n v="63"/>
    <x v="1"/>
    <x v="5"/>
    <x v="0"/>
    <x v="32"/>
    <d v="2025-06-24T00:00:00"/>
    <x v="1"/>
    <s v="Surgery"/>
    <s v="Dr. Ibrahim"/>
    <x v="2"/>
    <s v="Axa Mansard"/>
    <n v="279040.37"/>
    <n v="28508.639999999999"/>
    <n v="0"/>
    <n v="3"/>
    <n v="34"/>
    <n v="3.9"/>
    <x v="0"/>
    <s v="Improved"/>
    <x v="1"/>
    <s v="Bank Transfer"/>
    <n v="307549.01"/>
    <s v="Senior"/>
    <s v="Acceptable"/>
  </r>
  <r>
    <x v="769"/>
    <s v="Vivaan Reddy"/>
    <n v="47"/>
    <x v="1"/>
    <x v="6"/>
    <x v="5"/>
    <x v="25"/>
    <d v="2025-02-22T00:00:00"/>
    <x v="10"/>
    <s v="Wound Care"/>
    <s v="Dr. Adeyemi"/>
    <x v="1"/>
    <s v="Axa Mansard"/>
    <n v="315444.08"/>
    <n v="54062.57"/>
    <n v="8214.6200000000008"/>
    <n v="1"/>
    <n v="259"/>
    <n v="4.7"/>
    <x v="0"/>
    <s v="Improved"/>
    <x v="1"/>
    <s v="Cash"/>
    <n v="377721.27"/>
    <s v="Adult"/>
    <s v="Long Wait"/>
  </r>
  <r>
    <x v="770"/>
    <s v="Zara Malhotra"/>
    <n v="66"/>
    <x v="1"/>
    <x v="0"/>
    <x v="0"/>
    <x v="528"/>
    <d v="2024-10-22T00:00:00"/>
    <x v="1"/>
    <s v="Iv Therapy"/>
    <s v="Dr. Musa"/>
    <x v="1"/>
    <s v="Hygeia Hmo"/>
    <n v="551157.09"/>
    <n v="0"/>
    <n v="38242.120000000003"/>
    <n v="3"/>
    <n v="0"/>
    <n v="4"/>
    <x v="0"/>
    <s v="Improved"/>
    <x v="1"/>
    <s v="Insurance"/>
    <n v="589399.21"/>
    <s v="Senior"/>
    <s v="Excellent"/>
  </r>
  <r>
    <x v="771"/>
    <s v="Arjun Gupta"/>
    <n v="42"/>
    <x v="0"/>
    <x v="0"/>
    <x v="2"/>
    <x v="356"/>
    <d v="2025-04-16T00:00:00"/>
    <x v="8"/>
    <s v="Chemotherapy"/>
    <s v="Dr. Okafor"/>
    <x v="2"/>
    <s v="Self Pay"/>
    <n v="128365.3"/>
    <n v="0"/>
    <n v="56206.01"/>
    <n v="4"/>
    <n v="204"/>
    <n v="2.9"/>
    <x v="0"/>
    <s v="Deceased"/>
    <x v="0"/>
    <s v="Bank Transfer"/>
    <n v="184571.31"/>
    <s v="Adult"/>
    <s v="Long Wait"/>
  </r>
  <r>
    <x v="772"/>
    <s v="Riya Sharma"/>
    <n v="8"/>
    <x v="0"/>
    <x v="9"/>
    <x v="5"/>
    <x v="443"/>
    <d v="2026-05-31T00:00:00"/>
    <x v="5"/>
    <s v="Physiotherapy"/>
    <s v="Dr. Okafor"/>
    <x v="2"/>
    <s v="Reliance Hmo"/>
    <n v="284009.83"/>
    <n v="20165.439999999999"/>
    <n v="22127.46"/>
    <n v="4"/>
    <n v="37"/>
    <n v="3.2"/>
    <x v="0"/>
    <s v="Referred"/>
    <x v="0"/>
    <s v="Card"/>
    <n v="326302.73000000004"/>
    <s v="Child"/>
    <s v="Acceptable"/>
  </r>
  <r>
    <x v="773"/>
    <s v="Rahul Reddy"/>
    <n v="14"/>
    <x v="0"/>
    <x v="4"/>
    <x v="4"/>
    <x v="124"/>
    <d v="2025-02-15T00:00:00"/>
    <x v="2"/>
    <s v="Physiotherapy"/>
    <s v="Dr. Okafor"/>
    <x v="2"/>
    <s v="Mediplus"/>
    <n v="164403.85"/>
    <n v="28963.21"/>
    <n v="12028.82"/>
    <n v="4"/>
    <n v="229"/>
    <n v="2.6"/>
    <x v="0"/>
    <s v="Deceased"/>
    <x v="2"/>
    <s v="Card"/>
    <n v="205395.88"/>
    <s v="Child"/>
    <s v="Long Wait"/>
  </r>
  <r>
    <x v="774"/>
    <s v="Maya Nair"/>
    <n v="21"/>
    <x v="0"/>
    <x v="4"/>
    <x v="6"/>
    <x v="529"/>
    <d v="2025-10-28T00:00:00"/>
    <x v="2"/>
    <s v="Physiotherapy"/>
    <s v="Dr. Musa"/>
    <x v="2"/>
    <s v="Axa Mansard"/>
    <n v="471787.21"/>
    <n v="43822.63"/>
    <n v="16902.240000000002"/>
    <n v="1"/>
    <n v="177"/>
    <n v="4"/>
    <x v="0"/>
    <s v="Deceased"/>
    <x v="2"/>
    <s v="Bank Transfer"/>
    <n v="532512.08000000007"/>
    <s v="Yound Adult"/>
    <s v="Long Wait"/>
  </r>
  <r>
    <x v="775"/>
    <s v="John   Doe"/>
    <n v="35"/>
    <x v="0"/>
    <x v="8"/>
    <x v="3"/>
    <x v="481"/>
    <d v="2025-02-22T00:00:00"/>
    <x v="0"/>
    <s v="Surgery"/>
    <s v="Dr. Musa"/>
    <x v="0"/>
    <s v="Self Pay"/>
    <n v="115081.76"/>
    <n v="38444.15"/>
    <n v="28647.38"/>
    <n v="3"/>
    <n v="231"/>
    <n v="2"/>
    <x v="0"/>
    <s v="Deceased"/>
    <x v="0"/>
    <s v="Card"/>
    <n v="182173.29"/>
    <s v="Yound Adult"/>
    <s v="Long Wait"/>
  </r>
  <r>
    <x v="776"/>
    <s v="Rohan Kumar"/>
    <n v="40"/>
    <x v="1"/>
    <x v="6"/>
    <x v="4"/>
    <x v="530"/>
    <d v="2025-11-28T00:00:00"/>
    <x v="0"/>
    <s v="Antibiotics"/>
    <s v="Dr. Musa"/>
    <x v="2"/>
    <s v="Leadway Health"/>
    <n v="261872"/>
    <n v="50828.94"/>
    <n v="26092.52"/>
    <n v="9"/>
    <n v="159"/>
    <n v="0.2"/>
    <x v="0"/>
    <s v="Deceased"/>
    <x v="2"/>
    <s v="Card"/>
    <n v="338793.46"/>
    <s v="Adult"/>
    <s v="Long Wait"/>
  </r>
  <r>
    <x v="777"/>
    <s v="Vivaan Patel"/>
    <n v="22"/>
    <x v="1"/>
    <x v="0"/>
    <x v="4"/>
    <x v="531"/>
    <d v="2026-07-10T00:00:00"/>
    <x v="3"/>
    <s v="Dialysis"/>
    <s v="Dr. Adeyemi"/>
    <x v="0"/>
    <s v="Axa Mansard"/>
    <n v="44509.16"/>
    <n v="24626.13"/>
    <n v="56572.5"/>
    <n v="1"/>
    <n v="147"/>
    <n v="4"/>
    <x v="0"/>
    <s v="Deceased"/>
    <x v="2"/>
    <s v="Card"/>
    <n v="125707.79000000001"/>
    <s v="Yound Adult"/>
    <s v="Long Wait"/>
  </r>
  <r>
    <x v="778"/>
    <s v="Zara Patel"/>
    <n v="51"/>
    <x v="0"/>
    <x v="3"/>
    <x v="4"/>
    <x v="468"/>
    <d v="2025-11-16T00:00:00"/>
    <x v="2"/>
    <s v="Medication"/>
    <s v="Dr. Adeyemi"/>
    <x v="1"/>
    <s v="Axa Mansard"/>
    <n v="237400"/>
    <n v="53401.4"/>
    <n v="68308.100000000006"/>
    <n v="1"/>
    <n v="97"/>
    <n v="2.5"/>
    <x v="0"/>
    <s v="Recovered"/>
    <x v="2"/>
    <s v="Insurance"/>
    <n v="359109.5"/>
    <s v="Adult"/>
    <s v="Long Wait"/>
  </r>
  <r>
    <x v="779"/>
    <s v="Kavya Rao"/>
    <n v="31"/>
    <x v="1"/>
    <x v="0"/>
    <x v="4"/>
    <x v="12"/>
    <d v="2025-04-07T00:00:00"/>
    <x v="2"/>
    <s v="Medication"/>
    <s v="Dr. Bello"/>
    <x v="0"/>
    <s v="Hygeia Hmo"/>
    <n v="90445.08"/>
    <n v="0"/>
    <n v="24145.52"/>
    <n v="3"/>
    <n v="130"/>
    <n v="2.8"/>
    <x v="0"/>
    <s v="Recovered"/>
    <x v="2"/>
    <s v="Insurance"/>
    <n v="114590.6"/>
    <s v="Yound Adult"/>
    <s v="Long Wait"/>
  </r>
  <r>
    <x v="780"/>
    <s v="Arjun Patel"/>
    <n v="69"/>
    <x v="1"/>
    <x v="6"/>
    <x v="0"/>
    <x v="532"/>
    <d v="2026-08-11T00:00:00"/>
    <x v="2"/>
    <s v="Surgery"/>
    <s v="Dr. Chukwu"/>
    <x v="0"/>
    <s v="Leadway Health"/>
    <n v="199440.51"/>
    <n v="0"/>
    <n v="3009.55"/>
    <n v="1"/>
    <n v="76"/>
    <n v="2.2000000000000002"/>
    <x v="1"/>
    <s v="Recovered"/>
    <x v="1"/>
    <s v="Bank Transfer"/>
    <n v="202450.06"/>
    <s v="Senior"/>
    <s v="Long Wait"/>
  </r>
  <r>
    <x v="781"/>
    <s v="Riya Gupta"/>
    <n v="43"/>
    <x v="0"/>
    <x v="8"/>
    <x v="1"/>
    <x v="51"/>
    <d v="2024-09-02T00:00:00"/>
    <x v="2"/>
    <s v="Chemotherapy"/>
    <s v="Dr. Musa"/>
    <x v="2"/>
    <s v="Self Pay"/>
    <n v="424715.64"/>
    <n v="22738.65"/>
    <n v="77176.25"/>
    <n v="2"/>
    <n v="202"/>
    <n v="5"/>
    <x v="0"/>
    <s v="Deceased"/>
    <x v="1"/>
    <s v="Bank Transfer"/>
    <n v="524630.54"/>
    <s v="Adult"/>
    <s v="Long Wait"/>
  </r>
  <r>
    <x v="782"/>
    <s v="Neha Kumar"/>
    <n v="0"/>
    <x v="0"/>
    <x v="2"/>
    <x v="6"/>
    <x v="281"/>
    <d v="2025-08-18T00:00:00"/>
    <x v="2"/>
    <s v="Iv Therapy"/>
    <s v="Dr. Adebayo"/>
    <x v="1"/>
    <s v="Leadway Health"/>
    <n v="284515.48"/>
    <n v="56210"/>
    <n v="42567.99"/>
    <n v="3"/>
    <n v="225"/>
    <n v="4.8"/>
    <x v="1"/>
    <s v="Recovered"/>
    <x v="2"/>
    <s v="Cash"/>
    <n v="383293.47"/>
    <s v="Child"/>
    <s v="Long Wait"/>
  </r>
  <r>
    <x v="783"/>
    <s v="Maya Reddy"/>
    <n v="66"/>
    <x v="1"/>
    <x v="4"/>
    <x v="0"/>
    <x v="533"/>
    <d v="2026-08-11T00:00:00"/>
    <x v="2"/>
    <s v="Medication"/>
    <s v="Dr. Adebayo"/>
    <x v="0"/>
    <s v="Hygeia Hmo"/>
    <n v="266671.78000000003"/>
    <n v="0"/>
    <n v="30025.83"/>
    <n v="4"/>
    <n v="184"/>
    <n v="2.7"/>
    <x v="1"/>
    <s v="Recovered"/>
    <x v="0"/>
    <s v="Card"/>
    <n v="296697.61000000004"/>
    <s v="Senior"/>
    <s v="Long Wait"/>
  </r>
  <r>
    <x v="784"/>
    <s v="Rahul Rao"/>
    <n v="20"/>
    <x v="1"/>
    <x v="3"/>
    <x v="0"/>
    <x v="534"/>
    <d v="2025-03-07T00:00:00"/>
    <x v="2"/>
    <s v="Iv Therapy"/>
    <s v="Dr. Adeyemi"/>
    <x v="0"/>
    <s v="Self Pay"/>
    <n v="469749.16"/>
    <n v="72037.31"/>
    <n v="18483.93"/>
    <n v="2"/>
    <n v="106"/>
    <n v="2.8"/>
    <x v="1"/>
    <s v="Deceased"/>
    <x v="0"/>
    <s v="Mobile Money"/>
    <n v="560270.4"/>
    <s v="Yound Adult"/>
    <s v="Long Wait"/>
  </r>
  <r>
    <x v="785"/>
    <s v="Kavya Kapoor"/>
    <n v="54"/>
    <x v="1"/>
    <x v="3"/>
    <x v="5"/>
    <x v="535"/>
    <d v="2025-02-26T00:00:00"/>
    <x v="1"/>
    <s v="Surgery"/>
    <s v="Dr. Okafor"/>
    <x v="1"/>
    <s v="Leadway Health"/>
    <n v="333638.78000000003"/>
    <n v="38297.96"/>
    <n v="133062.19"/>
    <n v="4"/>
    <n v="17"/>
    <n v="1.5"/>
    <x v="1"/>
    <s v="Deceased"/>
    <x v="0"/>
    <s v="Card"/>
    <n v="504998.93000000005"/>
    <s v="Adult"/>
    <s v="Excellent"/>
  </r>
  <r>
    <x v="786"/>
    <s v="Priya Mehta"/>
    <n v="8"/>
    <x v="1"/>
    <x v="0"/>
    <x v="0"/>
    <x v="536"/>
    <d v="2025-06-16T00:00:00"/>
    <x v="2"/>
    <s v="Counseling"/>
    <s v="Dr. Adebayo"/>
    <x v="0"/>
    <s v="Leadway Health"/>
    <n v="11055.28"/>
    <n v="4967.13"/>
    <n v="17334.330000000002"/>
    <n v="2"/>
    <n v="23"/>
    <n v="4.4000000000000004"/>
    <x v="1"/>
    <s v="Referred"/>
    <x v="0"/>
    <s v="Mobile Money"/>
    <n v="33356.740000000005"/>
    <s v="Child"/>
    <s v="Excellent"/>
  </r>
  <r>
    <x v="787"/>
    <s v="Kabir Patel"/>
    <n v="39"/>
    <x v="1"/>
    <x v="3"/>
    <x v="7"/>
    <x v="46"/>
    <d v="2025-01-11T00:00:00"/>
    <x v="1"/>
    <s v="Counseling"/>
    <s v="Dr. Adeyemi"/>
    <x v="0"/>
    <s v="Avon Hmo"/>
    <n v="345192.59"/>
    <n v="10841.94"/>
    <n v="37063.620000000003"/>
    <n v="2"/>
    <n v="122"/>
    <n v="1.2"/>
    <x v="1"/>
    <s v="Referred"/>
    <x v="2"/>
    <s v="Mobile Money"/>
    <n v="393098.15"/>
    <s v="Adult"/>
    <s v="Long Wait"/>
  </r>
  <r>
    <x v="788"/>
    <s v="Aisha Malhotra"/>
    <n v="50"/>
    <x v="1"/>
    <x v="11"/>
    <x v="5"/>
    <x v="537"/>
    <d v="2026-02-13T00:00:00"/>
    <x v="2"/>
    <s v="Wound Care"/>
    <s v="Dr. Musa"/>
    <x v="0"/>
    <s v="Avon Hmo"/>
    <n v="288882"/>
    <n v="81605.5"/>
    <n v="49742.85"/>
    <n v="1"/>
    <n v="156"/>
    <n v="3.4"/>
    <x v="0"/>
    <s v="Recovered"/>
    <x v="0"/>
    <s v="Bank Transfer"/>
    <n v="420230.35"/>
    <s v="Adult"/>
    <s v="Long Wait"/>
  </r>
  <r>
    <x v="789"/>
    <s v="Neha Joshi"/>
    <n v="79"/>
    <x v="0"/>
    <x v="11"/>
    <x v="7"/>
    <x v="487"/>
    <d v="2025-07-12T00:00:00"/>
    <x v="4"/>
    <s v="Medication"/>
    <s v="Dr. Bello"/>
    <x v="2"/>
    <s v="Self Pay"/>
    <n v="0"/>
    <n v="40340.410000000003"/>
    <n v="109067.6"/>
    <n v="3"/>
    <n v="116"/>
    <n v="5"/>
    <x v="0"/>
    <s v="Improved"/>
    <x v="2"/>
    <s v="Insurance"/>
    <n v="149408.01"/>
    <s v="Senior"/>
    <s v="Long Wait"/>
  </r>
  <r>
    <x v="790"/>
    <s v="Kabir Sharma"/>
    <n v="42"/>
    <x v="0"/>
    <x v="4"/>
    <x v="0"/>
    <x v="538"/>
    <d v="2025-12-14T00:00:00"/>
    <x v="3"/>
    <s v="Observation"/>
    <s v="Dr. Adebayo"/>
    <x v="1"/>
    <s v="Mediplus"/>
    <n v="224693.46"/>
    <n v="0"/>
    <n v="9954.67"/>
    <n v="2"/>
    <n v="12"/>
    <n v="4.8"/>
    <x v="0"/>
    <s v="Improved"/>
    <x v="1"/>
    <s v="Insurance"/>
    <n v="234648.13"/>
    <s v="Adult"/>
    <s v="Excellent"/>
  </r>
  <r>
    <x v="791"/>
    <s v="Aisha Reddy"/>
    <n v="50"/>
    <x v="0"/>
    <x v="4"/>
    <x v="1"/>
    <x v="172"/>
    <d v="2025-09-25T00:00:00"/>
    <x v="3"/>
    <s v="Counseling"/>
    <s v="Dr. Adebayo"/>
    <x v="0"/>
    <s v="Self Pay"/>
    <n v="335374.40999999997"/>
    <n v="25896.26"/>
    <n v="81057.95"/>
    <n v="5"/>
    <n v="95"/>
    <n v="3.8"/>
    <x v="1"/>
    <s v="Improved"/>
    <x v="1"/>
    <s v="Bank Transfer"/>
    <n v="442328.62"/>
    <s v="Adult"/>
    <s v="Long Wait"/>
  </r>
  <r>
    <x v="792"/>
    <s v="Ananya Singh"/>
    <n v="33"/>
    <x v="0"/>
    <x v="4"/>
    <x v="8"/>
    <x v="539"/>
    <d v="2025-01-27T00:00:00"/>
    <x v="1"/>
    <s v="Medication"/>
    <s v="Dr. Okafor"/>
    <x v="1"/>
    <s v="Hygeia Hmo"/>
    <n v="344608.08"/>
    <n v="14818.46"/>
    <n v="38993.96"/>
    <n v="2"/>
    <n v="199"/>
    <n v="5"/>
    <x v="0"/>
    <s v="Referred"/>
    <x v="0"/>
    <s v="Bank Transfer"/>
    <n v="398420.50000000006"/>
    <s v="Yound Adult"/>
    <s v="Long Wait"/>
  </r>
  <r>
    <x v="793"/>
    <s v="Rahul Das"/>
    <n v="40"/>
    <x v="0"/>
    <x v="9"/>
    <x v="7"/>
    <x v="540"/>
    <d v="2024-03-23T00:00:00"/>
    <x v="9"/>
    <s v="Surgery"/>
    <s v="Dr. Chukwu"/>
    <x v="0"/>
    <s v="Nhia"/>
    <n v="92554.59"/>
    <n v="47379.13"/>
    <n v="33730.99"/>
    <n v="1"/>
    <n v="0"/>
    <n v="4.3"/>
    <x v="1"/>
    <s v="Referred"/>
    <x v="0"/>
    <s v="Card"/>
    <n v="173664.71"/>
    <s v="Adult"/>
    <s v="Excellent"/>
  </r>
  <r>
    <x v="794"/>
    <s v="Aarav Nair"/>
    <n v="24"/>
    <x v="0"/>
    <x v="9"/>
    <x v="4"/>
    <x v="121"/>
    <d v="2024-04-15T00:00:00"/>
    <x v="2"/>
    <s v="Antibiotics"/>
    <s v="Dr. Yusuf"/>
    <x v="1"/>
    <s v="Self Pay"/>
    <n v="0"/>
    <n v="0"/>
    <n v="50355.88"/>
    <n v="1"/>
    <n v="0"/>
    <n v="1.8"/>
    <x v="0"/>
    <s v="Recovered"/>
    <x v="0"/>
    <s v="Card"/>
    <n v="50355.88"/>
    <s v="Yound Adult"/>
    <s v="Excellent"/>
  </r>
  <r>
    <x v="795"/>
    <s v="Vivaan Kumar"/>
    <n v="31"/>
    <x v="1"/>
    <x v="6"/>
    <x v="2"/>
    <x v="273"/>
    <d v="2024-08-20T00:00:00"/>
    <x v="5"/>
    <s v="Antibiotics"/>
    <s v="Dr. Okafor"/>
    <x v="0"/>
    <s v="Self Pay"/>
    <n v="498885.13"/>
    <n v="75847.41"/>
    <n v="18962.330000000002"/>
    <n v="3"/>
    <n v="136"/>
    <n v="4.7"/>
    <x v="1"/>
    <s v="Improved"/>
    <x v="0"/>
    <s v="Card"/>
    <n v="593694.87"/>
    <s v="Yound Adult"/>
    <s v="Long Wait"/>
  </r>
  <r>
    <x v="796"/>
    <s v="Arjun Kumar"/>
    <n v="10"/>
    <x v="0"/>
    <x v="10"/>
    <x v="5"/>
    <x v="387"/>
    <d v="2024-02-10T00:00:00"/>
    <x v="2"/>
    <s v="Iv Therapy"/>
    <s v="Dr. Adeyemi"/>
    <x v="2"/>
    <s v="Avon Hmo"/>
    <n v="218278.22"/>
    <n v="25678.86"/>
    <n v="31927.07"/>
    <n v="2"/>
    <n v="128"/>
    <n v="2.7"/>
    <x v="1"/>
    <s v="Improved"/>
    <x v="0"/>
    <s v="Bank Transfer"/>
    <n v="275884.15000000002"/>
    <s v="Child"/>
    <s v="Long Wait"/>
  </r>
  <r>
    <x v="797"/>
    <s v="Aditya Sharma"/>
    <n v="45"/>
    <x v="0"/>
    <x v="1"/>
    <x v="4"/>
    <x v="263"/>
    <d v="2025-05-03T00:00:00"/>
    <x v="2"/>
    <s v="Dialysis"/>
    <s v="Dr. Chukwu"/>
    <x v="2"/>
    <s v="Axa Mansard"/>
    <n v="274035.81"/>
    <n v="583.88"/>
    <n v="72842.720000000001"/>
    <n v="1"/>
    <n v="0"/>
    <n v="2.9"/>
    <x v="0"/>
    <s v="Recovered"/>
    <x v="0"/>
    <s v="Card"/>
    <n v="347462.41000000003"/>
    <s v="Adult"/>
    <s v="Excellent"/>
  </r>
  <r>
    <x v="798"/>
    <s v="Riya Das"/>
    <n v="29"/>
    <x v="1"/>
    <x v="2"/>
    <x v="8"/>
    <x v="339"/>
    <d v="2024-05-06T00:00:00"/>
    <x v="8"/>
    <s v="Iv Therapy"/>
    <s v="Dr. Chukwu"/>
    <x v="1"/>
    <s v="Avon Hmo"/>
    <n v="140891.53"/>
    <n v="76776.86"/>
    <n v="19473.48"/>
    <n v="2"/>
    <n v="278"/>
    <n v="4.3"/>
    <x v="0"/>
    <s v="Referred"/>
    <x v="1"/>
    <s v="Card"/>
    <n v="237141.87000000002"/>
    <s v="Yound Adult"/>
    <s v="Long Wait"/>
  </r>
  <r>
    <x v="799"/>
    <s v="Diya Nair"/>
    <n v="43"/>
    <x v="1"/>
    <x v="3"/>
    <x v="0"/>
    <x v="541"/>
    <d v="2025-11-17T00:00:00"/>
    <x v="2"/>
    <s v="Antibiotics"/>
    <s v="Dr. Okafor"/>
    <x v="0"/>
    <s v="Nhia"/>
    <n v="457096.6"/>
    <n v="33785.18"/>
    <n v="36219.440000000002"/>
    <n v="1"/>
    <n v="48"/>
    <n v="4.9000000000000004"/>
    <x v="1"/>
    <s v="Recovered"/>
    <x v="0"/>
    <s v="Insurance"/>
    <n v="527101.22"/>
    <s v="Adult"/>
    <s v="Acceptable"/>
  </r>
  <r>
    <x v="800"/>
    <s v="Rahul Patel"/>
    <n v="83"/>
    <x v="1"/>
    <x v="8"/>
    <x v="0"/>
    <x v="542"/>
    <d v="2024-12-07T00:00:00"/>
    <x v="2"/>
    <s v="Antibiotics"/>
    <s v="Dr. Okafor"/>
    <x v="1"/>
    <s v="Hygeia Hmo"/>
    <n v="490670.36"/>
    <n v="36418.769999999997"/>
    <n v="44654.55"/>
    <n v="1"/>
    <n v="172"/>
    <n v="5"/>
    <x v="1"/>
    <s v="Recovered"/>
    <x v="0"/>
    <s v="Mobile Money"/>
    <n v="571743.68000000005"/>
    <s v="Senior"/>
    <s v="Long Wait"/>
  </r>
  <r>
    <x v="801"/>
    <s v="Isha Reddy"/>
    <n v="31"/>
    <x v="0"/>
    <x v="3"/>
    <x v="0"/>
    <x v="543"/>
    <d v="2026-04-27T00:00:00"/>
    <x v="9"/>
    <s v="Surgery"/>
    <s v="Dr. Ibrahim"/>
    <x v="1"/>
    <s v="Nhia"/>
    <n v="34871.360000000001"/>
    <n v="40226.620000000003"/>
    <n v="64998.84"/>
    <n v="1"/>
    <n v="0"/>
    <n v="3.1"/>
    <x v="1"/>
    <s v="Recovered"/>
    <x v="1"/>
    <s v="Mobile Money"/>
    <n v="140096.82"/>
    <s v="Yound Adult"/>
    <s v="Excellent"/>
  </r>
  <r>
    <x v="802"/>
    <s v="Diya Joshi"/>
    <n v="23"/>
    <x v="1"/>
    <x v="0"/>
    <x v="8"/>
    <x v="544"/>
    <d v="2025-06-17T00:00:00"/>
    <x v="9"/>
    <s v="Physiotherapy"/>
    <s v="Dr. Chukwu"/>
    <x v="1"/>
    <s v="Hygeia Hmo"/>
    <n v="297142.39"/>
    <n v="11662.95"/>
    <n v="35975.22"/>
    <n v="1"/>
    <n v="0"/>
    <n v="3.9"/>
    <x v="1"/>
    <s v="Recovered"/>
    <x v="1"/>
    <s v="Mobile Money"/>
    <n v="344780.56000000006"/>
    <s v="Yound Adult"/>
    <s v="Excellent"/>
  </r>
  <r>
    <x v="803"/>
    <s v="Rohan Kumar"/>
    <n v="26"/>
    <x v="1"/>
    <x v="10"/>
    <x v="2"/>
    <x v="545"/>
    <d v="2026-01-29T00:00:00"/>
    <x v="6"/>
    <s v="Surgery"/>
    <s v="Dr. Adebayo"/>
    <x v="0"/>
    <s v="Hygeia Hmo"/>
    <n v="193538"/>
    <n v="34507.370000000003"/>
    <n v="20553.96"/>
    <n v="3"/>
    <n v="0"/>
    <n v="5"/>
    <x v="0"/>
    <s v="Improved"/>
    <x v="0"/>
    <s v="Mobile Money"/>
    <n v="248599.33"/>
    <s v="Yound Adult"/>
    <s v="Excellent"/>
  </r>
  <r>
    <x v="804"/>
    <s v="Riya Verma"/>
    <n v="40"/>
    <x v="0"/>
    <x v="2"/>
    <x v="3"/>
    <x v="469"/>
    <d v="2025-10-03T00:00:00"/>
    <x v="2"/>
    <s v="Surgery"/>
    <s v="Dr. Adeyemi"/>
    <x v="0"/>
    <s v="Reliance Hmo"/>
    <n v="361517.56"/>
    <n v="118226.38"/>
    <n v="7665.41"/>
    <n v="2"/>
    <n v="128"/>
    <n v="2.8"/>
    <x v="1"/>
    <s v="Recovered"/>
    <x v="0"/>
    <s v="Bank Transfer"/>
    <n v="487409.35"/>
    <s v="Adult"/>
    <s v="Long Wait"/>
  </r>
  <r>
    <x v="805"/>
    <s v="Ananya Verma"/>
    <n v="27"/>
    <x v="0"/>
    <x v="4"/>
    <x v="6"/>
    <x v="286"/>
    <d v="2025-12-26T00:00:00"/>
    <x v="3"/>
    <s v="Surgery"/>
    <s v="Dr. Yusuf"/>
    <x v="1"/>
    <s v="Mediplus"/>
    <n v="62408.3"/>
    <n v="28967.72"/>
    <n v="764.92"/>
    <n v="2"/>
    <n v="166"/>
    <n v="2.6"/>
    <x v="1"/>
    <s v="Recovered"/>
    <x v="0"/>
    <s v="Bank Transfer"/>
    <n v="92140.94"/>
    <s v="Yound Adult"/>
    <s v="Long Wait"/>
  </r>
  <r>
    <x v="806"/>
    <s v="Kabir Kapoor"/>
    <n v="32"/>
    <x v="0"/>
    <x v="4"/>
    <x v="6"/>
    <x v="546"/>
    <d v="2024-05-29T00:00:00"/>
    <x v="1"/>
    <s v="Counseling"/>
    <s v="Dr. Okafor"/>
    <x v="0"/>
    <s v="Reliance Hmo"/>
    <n v="168591.45"/>
    <n v="37189.1"/>
    <n v="10078.48"/>
    <n v="4"/>
    <n v="68"/>
    <n v="2.6"/>
    <x v="1"/>
    <s v="Improved"/>
    <x v="0"/>
    <s v="Cash"/>
    <n v="215859.03000000003"/>
    <s v="Yound Adult"/>
    <s v="Long Wait"/>
  </r>
  <r>
    <x v="807"/>
    <s v="Rohan Nair"/>
    <n v="0"/>
    <x v="0"/>
    <x v="6"/>
    <x v="1"/>
    <x v="356"/>
    <d v="2025-12-05T00:00:00"/>
    <x v="6"/>
    <s v="Counseling"/>
    <s v="Dr. Musa"/>
    <x v="0"/>
    <s v="Self Pay"/>
    <n v="407505.72"/>
    <n v="12836.53"/>
    <n v="79901.279999999999"/>
    <n v="1"/>
    <n v="175"/>
    <n v="2"/>
    <x v="1"/>
    <s v="Recovered"/>
    <x v="0"/>
    <s v="Bank Transfer"/>
    <n v="500243.53"/>
    <s v="Child"/>
    <s v="Long Wait"/>
  </r>
  <r>
    <x v="808"/>
    <s v="Rohan Kumar"/>
    <n v="92"/>
    <x v="0"/>
    <x v="0"/>
    <x v="4"/>
    <x v="436"/>
    <d v="2024-06-25T00:00:00"/>
    <x v="9"/>
    <s v="Medication"/>
    <s v="Dr. Balogun"/>
    <x v="0"/>
    <s v="Leadway Health"/>
    <n v="465129.63"/>
    <n v="29212.04"/>
    <n v="52721.19"/>
    <n v="1"/>
    <n v="47"/>
    <n v="4.3"/>
    <x v="1"/>
    <s v="Recovered"/>
    <x v="1"/>
    <s v="Bank Transfer"/>
    <n v="547062.86"/>
    <s v="Senior"/>
    <s v="Acceptable"/>
  </r>
  <r>
    <x v="809"/>
    <s v="Meera Gupta"/>
    <n v="0"/>
    <x v="0"/>
    <x v="3"/>
    <x v="7"/>
    <x v="547"/>
    <d v="2026-03-20T00:00:00"/>
    <x v="4"/>
    <s v="Iv Therapy"/>
    <s v="Dr. Balogun"/>
    <x v="1"/>
    <s v="Mediplus"/>
    <n v="34982.19"/>
    <n v="30527.32"/>
    <n v="11067.98"/>
    <n v="1"/>
    <n v="89"/>
    <n v="2.2999999999999998"/>
    <x v="1"/>
    <s v="Recovered"/>
    <x v="1"/>
    <s v="Mobile Money"/>
    <n v="76577.490000000005"/>
    <s v="Child"/>
    <s v="Long Wait"/>
  </r>
  <r>
    <x v="810"/>
    <s v="Aditya Singh"/>
    <n v="61"/>
    <x v="0"/>
    <x v="7"/>
    <x v="6"/>
    <x v="548"/>
    <d v="2025-08-15T00:00:00"/>
    <x v="1"/>
    <s v="Wound Care"/>
    <s v="Dr. Okafor"/>
    <x v="1"/>
    <s v="Self Pay"/>
    <n v="254647.28"/>
    <n v="29758.39"/>
    <n v="71368.92"/>
    <n v="1"/>
    <n v="131"/>
    <n v="5"/>
    <x v="1"/>
    <s v="Recovered"/>
    <x v="0"/>
    <s v="Bank Transfer"/>
    <n v="355774.58999999997"/>
    <s v="Senior"/>
    <s v="Long Wait"/>
  </r>
  <r>
    <x v="811"/>
    <s v="Arjun Singh"/>
    <n v="33"/>
    <x v="0"/>
    <x v="7"/>
    <x v="5"/>
    <x v="549"/>
    <d v="2025-06-25T00:00:00"/>
    <x v="1"/>
    <s v="Surgery"/>
    <s v="Dr. Okafor"/>
    <x v="2"/>
    <s v="Hygeia Hmo"/>
    <n v="37844.699999999997"/>
    <n v="19275.48"/>
    <n v="73943.100000000006"/>
    <n v="2"/>
    <n v="192"/>
    <n v="4.9000000000000004"/>
    <x v="0"/>
    <s v="Deceased"/>
    <x v="0"/>
    <s v="Bank Transfer"/>
    <n v="131063.28"/>
    <s v="Yound Adult"/>
    <s v="Long Wait"/>
  </r>
  <r>
    <x v="812"/>
    <s v="Ishaan Verma"/>
    <n v="45"/>
    <x v="0"/>
    <x v="0"/>
    <x v="4"/>
    <x v="462"/>
    <d v="2025-08-27T00:00:00"/>
    <x v="8"/>
    <s v="Medication"/>
    <s v="Dr. Musa"/>
    <x v="0"/>
    <s v="Reliance Hmo"/>
    <n v="376335.38"/>
    <n v="35802.370000000003"/>
    <n v="59966.5"/>
    <n v="20"/>
    <n v="69"/>
    <n v="4"/>
    <x v="0"/>
    <s v="Improved"/>
    <x v="1"/>
    <s v="Card"/>
    <n v="472104.25"/>
    <s v="Adult"/>
    <s v="Long Wait"/>
  </r>
  <r>
    <x v="813"/>
    <s v="Meera Sharma"/>
    <n v="30"/>
    <x v="0"/>
    <x v="0"/>
    <x v="8"/>
    <x v="550"/>
    <d v="2026-04-27T00:00:00"/>
    <x v="2"/>
    <s v="Dialysis"/>
    <s v="Dr. Adeyemi"/>
    <x v="0"/>
    <s v="Reliance Hmo"/>
    <n v="209150.8"/>
    <n v="28539.25"/>
    <n v="69792.100000000006"/>
    <n v="4"/>
    <n v="15"/>
    <n v="3.6"/>
    <x v="1"/>
    <s v="Improved"/>
    <x v="2"/>
    <s v="Card"/>
    <n v="307482.15000000002"/>
    <s v="Yound Adult"/>
    <s v="Excellent"/>
  </r>
  <r>
    <x v="814"/>
    <s v="Meera Patel"/>
    <n v="68"/>
    <x v="1"/>
    <x v="0"/>
    <x v="1"/>
    <x v="3"/>
    <d v="2026-06-18T00:00:00"/>
    <x v="8"/>
    <s v="Medication"/>
    <s v="Dr. Adeyemi"/>
    <x v="0"/>
    <s v="Reliance Hmo"/>
    <n v="408885.07"/>
    <n v="30610.799999999999"/>
    <n v="54629.93"/>
    <n v="12"/>
    <n v="170"/>
    <n v="5"/>
    <x v="1"/>
    <s v="Improved"/>
    <x v="2"/>
    <s v="Card"/>
    <n v="494125.8"/>
    <s v="Senior"/>
    <s v="Long Wait"/>
  </r>
  <r>
    <x v="815"/>
    <s v="Meera Joshi"/>
    <n v="89"/>
    <x v="1"/>
    <x v="3"/>
    <x v="4"/>
    <x v="551"/>
    <d v="2025-10-29T00:00:00"/>
    <x v="8"/>
    <s v="Iv Therapy"/>
    <s v="Dr. Bello"/>
    <x v="2"/>
    <s v="Hygeia Hmo"/>
    <n v="216858.95"/>
    <n v="28551.24"/>
    <n v="62642.3"/>
    <n v="1"/>
    <n v="167"/>
    <n v="4.9000000000000004"/>
    <x v="1"/>
    <s v="Improved"/>
    <x v="2"/>
    <s v="Cash"/>
    <n v="308052.49"/>
    <s v="Senior"/>
    <s v="Long Wait"/>
  </r>
  <r>
    <x v="816"/>
    <s v="Aarav Malhotra"/>
    <n v="29"/>
    <x v="1"/>
    <x v="8"/>
    <x v="8"/>
    <x v="552"/>
    <d v="2024-12-06T00:00:00"/>
    <x v="4"/>
    <s v="Counseling"/>
    <s v="Dr. Bello"/>
    <x v="1"/>
    <s v="Self Pay"/>
    <n v="178298.65"/>
    <n v="49225.79"/>
    <n v="29178.33"/>
    <n v="6"/>
    <n v="94"/>
    <n v="4.2"/>
    <x v="0"/>
    <s v="Improved"/>
    <x v="0"/>
    <s v="Card"/>
    <n v="256702.77000000002"/>
    <s v="Yound Adult"/>
    <s v="Long Wa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1BCF9-D6C0-4870-9CB9-302E179A6C9E}" name="Number Of patient by Dep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9">
    <pivotField dataField="1" showAll="0">
      <items count="8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t="default"/>
      </items>
    </pivotField>
    <pivotField showAll="0"/>
    <pivotField showAll="0"/>
    <pivotField showAll="0"/>
    <pivotField showAll="0"/>
    <pivotField axis="axisRow" showAll="0">
      <items count="10">
        <item x="4"/>
        <item x="1"/>
        <item x="0"/>
        <item x="8"/>
        <item x="6"/>
        <item x="7"/>
        <item x="5"/>
        <item x="2"/>
        <item x="3"/>
        <item t="default"/>
      </items>
    </pivotField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57061-0504-410A-9C28-D8B368A09559}" name="Revenue by departmen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0"/>
        <item x="8"/>
        <item x="6"/>
        <item x="7"/>
        <item x="5"/>
        <item x="2"/>
        <item x="3"/>
        <item t="default"/>
      </items>
    </pivotField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Treatment_cost" fld="2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CFBD7-A989-4303-A239-2DB689C0D99D}" name="Patients by admission type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E9FD2-1D20-4C15-A82B-CEB39D5392F2}" name="Average waiting time by departmen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9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Waiting_Time" fld="1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52B18-1D5E-4CEE-AF85-D66489811396}" name="Average patient rating by departmen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0"/>
        <item x="8"/>
        <item x="6"/>
        <item x="7"/>
        <item x="5"/>
        <item x="2"/>
        <item x="3"/>
        <item t="default"/>
      </items>
    </pivotField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atient_Rating" fld="1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089C6-C631-4002-9F73-230244EBF38D}" name="Revenue by state.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9">
    <pivotField showAll="0"/>
    <pivotField showAll="0"/>
    <pivotField showAll="0"/>
    <pivotField showAll="0"/>
    <pivotField axis="axisRow" showAll="0">
      <items count="13">
        <item x="3"/>
        <item x="6"/>
        <item x="1"/>
        <item x="10"/>
        <item x="9"/>
        <item x="8"/>
        <item x="2"/>
        <item x="5"/>
        <item x="0"/>
        <item x="11"/>
        <item x="7"/>
        <item x="4"/>
        <item t="default"/>
      </items>
    </pivotField>
    <pivotField showAll="0"/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Treatment_cost" fld="2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F4CD0-EDCA-4D41-B2D7-762C755E8802}" name="Number of readmissions by departmen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0"/>
        <item x="8"/>
        <item x="6"/>
        <item x="7"/>
        <item x="5"/>
        <item x="2"/>
        <item x="3"/>
        <item t="default"/>
      </items>
    </pivotField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Readmission" fld="1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59877-48E4-44E4-A7D7-A5B84C02CAD5}" name="Average length of stay by diagnosis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axis="axisRow" showAll="0">
      <items count="13">
        <item x="10"/>
        <item x="3"/>
        <item x="6"/>
        <item x="7"/>
        <item x="5"/>
        <item x="0"/>
        <item x="4"/>
        <item x="2"/>
        <item x="9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Length_of_Stay" fld="1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85FDD-D71F-4187-BF95-2436D265B9E7}" name="Monthly admission trend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axis="axisRow"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8"/>
    <field x="27"/>
    <field x="26"/>
    <field x="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Months (Admission_Date)" fld="26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501FF-33C1-4629-B24A-4AD20BE8C3CE}" name="Payment status by department.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0"/>
        <item x="8"/>
        <item x="6"/>
        <item x="7"/>
        <item x="5"/>
        <item x="2"/>
        <item x="3"/>
        <item t="default"/>
      </items>
    </pivotField>
    <pivotField numFmtId="14" showAll="0">
      <items count="554">
        <item x="120"/>
        <item x="345"/>
        <item x="15"/>
        <item x="125"/>
        <item x="192"/>
        <item x="241"/>
        <item x="97"/>
        <item x="512"/>
        <item x="264"/>
        <item x="28"/>
        <item x="196"/>
        <item x="456"/>
        <item x="216"/>
        <item x="387"/>
        <item x="207"/>
        <item x="508"/>
        <item x="157"/>
        <item x="310"/>
        <item x="109"/>
        <item x="519"/>
        <item x="380"/>
        <item x="56"/>
        <item x="521"/>
        <item x="137"/>
        <item x="14"/>
        <item x="518"/>
        <item x="285"/>
        <item x="262"/>
        <item x="76"/>
        <item x="110"/>
        <item x="168"/>
        <item x="314"/>
        <item x="520"/>
        <item x="103"/>
        <item x="515"/>
        <item x="73"/>
        <item x="128"/>
        <item x="96"/>
        <item x="540"/>
        <item x="334"/>
        <item x="261"/>
        <item x="393"/>
        <item x="312"/>
        <item x="104"/>
        <item x="140"/>
        <item x="441"/>
        <item x="121"/>
        <item x="33"/>
        <item x="397"/>
        <item x="453"/>
        <item x="367"/>
        <item x="8"/>
        <item x="277"/>
        <item x="153"/>
        <item x="306"/>
        <item x="291"/>
        <item x="338"/>
        <item x="466"/>
        <item x="483"/>
        <item x="339"/>
        <item x="406"/>
        <item x="318"/>
        <item x="493"/>
        <item x="156"/>
        <item x="390"/>
        <item x="166"/>
        <item x="546"/>
        <item x="55"/>
        <item x="296"/>
        <item x="226"/>
        <item x="348"/>
        <item x="360"/>
        <item x="250"/>
        <item x="62"/>
        <item x="147"/>
        <item x="122"/>
        <item x="199"/>
        <item x="41"/>
        <item x="424"/>
        <item x="284"/>
        <item x="474"/>
        <item x="72"/>
        <item x="486"/>
        <item x="410"/>
        <item x="148"/>
        <item x="235"/>
        <item x="436"/>
        <item x="426"/>
        <item x="236"/>
        <item x="87"/>
        <item x="180"/>
        <item x="206"/>
        <item x="231"/>
        <item x="170"/>
        <item x="419"/>
        <item x="210"/>
        <item x="435"/>
        <item x="95"/>
        <item x="141"/>
        <item x="61"/>
        <item x="496"/>
        <item x="378"/>
        <item x="320"/>
        <item x="218"/>
        <item x="249"/>
        <item x="501"/>
        <item x="305"/>
        <item x="377"/>
        <item x="325"/>
        <item x="290"/>
        <item x="365"/>
        <item x="350"/>
        <item x="159"/>
        <item x="411"/>
        <item x="197"/>
        <item x="321"/>
        <item x="480"/>
        <item x="523"/>
        <item x="449"/>
        <item x="273"/>
        <item x="450"/>
        <item x="448"/>
        <item x="455"/>
        <item x="36"/>
        <item x="176"/>
        <item x="398"/>
        <item x="220"/>
        <item x="234"/>
        <item x="265"/>
        <item x="274"/>
        <item x="51"/>
        <item x="100"/>
        <item x="105"/>
        <item x="422"/>
        <item x="93"/>
        <item x="359"/>
        <item x="92"/>
        <item x="461"/>
        <item x="69"/>
        <item x="368"/>
        <item x="44"/>
        <item x="175"/>
        <item x="253"/>
        <item x="134"/>
        <item x="404"/>
        <item x="5"/>
        <item x="354"/>
        <item x="232"/>
        <item x="4"/>
        <item x="219"/>
        <item x="126"/>
        <item x="402"/>
        <item x="247"/>
        <item x="24"/>
        <item x="302"/>
        <item x="407"/>
        <item x="179"/>
        <item x="115"/>
        <item x="214"/>
        <item x="118"/>
        <item x="528"/>
        <item x="379"/>
        <item x="149"/>
        <item x="45"/>
        <item x="244"/>
        <item x="102"/>
        <item x="42"/>
        <item x="30"/>
        <item x="256"/>
        <item x="271"/>
        <item x="185"/>
        <item x="459"/>
        <item x="336"/>
        <item x="415"/>
        <item x="164"/>
        <item x="37"/>
        <item x="116"/>
        <item x="446"/>
        <item x="195"/>
        <item x="552"/>
        <item x="477"/>
        <item x="316"/>
        <item x="31"/>
        <item x="84"/>
        <item x="542"/>
        <item x="516"/>
        <item x="130"/>
        <item x="447"/>
        <item x="460"/>
        <item x="388"/>
        <item x="475"/>
        <item x="470"/>
        <item x="174"/>
        <item x="342"/>
        <item x="54"/>
        <item x="504"/>
        <item x="369"/>
        <item x="278"/>
        <item x="254"/>
        <item x="301"/>
        <item x="98"/>
        <item x="349"/>
        <item x="46"/>
        <item x="482"/>
        <item x="333"/>
        <item x="524"/>
        <item x="48"/>
        <item x="135"/>
        <item x="201"/>
        <item x="297"/>
        <item x="478"/>
        <item x="484"/>
        <item x="178"/>
        <item x="539"/>
        <item x="375"/>
        <item x="209"/>
        <item x="370"/>
        <item x="233"/>
        <item x="412"/>
        <item x="143"/>
        <item x="124"/>
        <item x="499"/>
        <item x="280"/>
        <item x="481"/>
        <item x="25"/>
        <item x="535"/>
        <item x="293"/>
        <item x="183"/>
        <item x="53"/>
        <item x="99"/>
        <item x="399"/>
        <item x="534"/>
        <item x="20"/>
        <item x="371"/>
        <item x="187"/>
        <item x="91"/>
        <item x="212"/>
        <item x="66"/>
        <item x="497"/>
        <item x="43"/>
        <item x="223"/>
        <item x="19"/>
        <item x="429"/>
        <item x="276"/>
        <item x="211"/>
        <item x="295"/>
        <item x="490"/>
        <item x="12"/>
        <item x="437"/>
        <item x="133"/>
        <item x="252"/>
        <item x="489"/>
        <item x="22"/>
        <item x="240"/>
        <item x="432"/>
        <item x="372"/>
        <item x="208"/>
        <item x="428"/>
        <item x="80"/>
        <item x="381"/>
        <item x="205"/>
        <item x="17"/>
        <item x="304"/>
        <item x="83"/>
        <item x="263"/>
        <item x="494"/>
        <item x="136"/>
        <item x="513"/>
        <item x="39"/>
        <item x="203"/>
        <item x="246"/>
        <item x="373"/>
        <item x="90"/>
        <item x="347"/>
        <item x="138"/>
        <item x="114"/>
        <item x="384"/>
        <item x="200"/>
        <item x="465"/>
        <item x="440"/>
        <item x="288"/>
        <item x="217"/>
        <item x="60"/>
        <item x="127"/>
        <item x="416"/>
        <item x="267"/>
        <item x="167"/>
        <item x="536"/>
        <item x="193"/>
        <item x="544"/>
        <item x="409"/>
        <item x="204"/>
        <item x="32"/>
        <item x="549"/>
        <item x="101"/>
        <item x="259"/>
        <item x="374"/>
        <item x="227"/>
        <item x="351"/>
        <item x="389"/>
        <item x="307"/>
        <item x="112"/>
        <item x="165"/>
        <item x="237"/>
        <item x="502"/>
        <item x="487"/>
        <item x="108"/>
        <item x="228"/>
        <item x="52"/>
        <item x="82"/>
        <item x="77"/>
        <item x="189"/>
        <item x="418"/>
        <item x="47"/>
        <item x="275"/>
        <item x="353"/>
        <item x="144"/>
        <item x="442"/>
        <item x="382"/>
        <item x="457"/>
        <item x="427"/>
        <item x="458"/>
        <item x="462"/>
        <item x="182"/>
        <item x="292"/>
        <item x="57"/>
        <item x="376"/>
        <item x="548"/>
        <item x="281"/>
        <item x="492"/>
        <item x="50"/>
        <item x="526"/>
        <item x="507"/>
        <item x="150"/>
        <item x="420"/>
        <item x="414"/>
        <item x="400"/>
        <item x="163"/>
        <item x="9"/>
        <item x="488"/>
        <item x="491"/>
        <item x="258"/>
        <item x="107"/>
        <item x="2"/>
        <item x="471"/>
        <item x="522"/>
        <item x="123"/>
        <item x="151"/>
        <item x="239"/>
        <item x="74"/>
        <item x="172"/>
        <item x="155"/>
        <item x="323"/>
        <item x="190"/>
        <item x="469"/>
        <item x="106"/>
        <item x="463"/>
        <item x="38"/>
        <item x="299"/>
        <item x="425"/>
        <item x="67"/>
        <item x="332"/>
        <item x="0"/>
        <item x="479"/>
        <item x="27"/>
        <item x="294"/>
        <item x="49"/>
        <item x="355"/>
        <item x="529"/>
        <item x="551"/>
        <item x="173"/>
        <item x="396"/>
        <item x="229"/>
        <item x="383"/>
        <item x="340"/>
        <item x="444"/>
        <item x="94"/>
        <item x="158"/>
        <item x="319"/>
        <item x="451"/>
        <item x="329"/>
        <item x="468"/>
        <item x="541"/>
        <item x="279"/>
        <item x="517"/>
        <item x="530"/>
        <item x="423"/>
        <item x="154"/>
        <item x="18"/>
        <item x="6"/>
        <item x="495"/>
        <item x="311"/>
        <item x="113"/>
        <item x="313"/>
        <item x="356"/>
        <item x="79"/>
        <item x="473"/>
        <item x="70"/>
        <item x="361"/>
        <item x="538"/>
        <item x="68"/>
        <item x="171"/>
        <item x="255"/>
        <item x="1"/>
        <item x="194"/>
        <item x="243"/>
        <item x="245"/>
        <item x="413"/>
        <item x="286"/>
        <item x="10"/>
        <item x="287"/>
        <item x="362"/>
        <item x="75"/>
        <item x="146"/>
        <item x="391"/>
        <item x="464"/>
        <item x="71"/>
        <item x="7"/>
        <item x="85"/>
        <item x="430"/>
        <item x="213"/>
        <item x="327"/>
        <item x="525"/>
        <item x="421"/>
        <item x="386"/>
        <item x="303"/>
        <item x="545"/>
        <item x="225"/>
        <item x="335"/>
        <item x="344"/>
        <item x="181"/>
        <item x="58"/>
        <item x="238"/>
        <item x="331"/>
        <item x="202"/>
        <item x="308"/>
        <item x="434"/>
        <item x="257"/>
        <item x="503"/>
        <item x="59"/>
        <item x="324"/>
        <item x="322"/>
        <item x="394"/>
        <item x="186"/>
        <item x="29"/>
        <item x="221"/>
        <item x="230"/>
        <item x="328"/>
        <item x="364"/>
        <item x="509"/>
        <item x="366"/>
        <item x="269"/>
        <item x="65"/>
        <item x="129"/>
        <item x="337"/>
        <item x="476"/>
        <item x="547"/>
        <item x="352"/>
        <item x="511"/>
        <item x="35"/>
        <item x="21"/>
        <item x="408"/>
        <item x="266"/>
        <item x="242"/>
        <item x="111"/>
        <item x="417"/>
        <item x="26"/>
        <item x="169"/>
        <item x="454"/>
        <item x="452"/>
        <item x="11"/>
        <item x="300"/>
        <item x="198"/>
        <item x="341"/>
        <item x="222"/>
        <item x="550"/>
        <item x="543"/>
        <item x="268"/>
        <item x="188"/>
        <item x="132"/>
        <item x="438"/>
        <item x="260"/>
        <item x="64"/>
        <item x="40"/>
        <item x="385"/>
        <item x="142"/>
        <item x="392"/>
        <item x="506"/>
        <item x="363"/>
        <item x="78"/>
        <item x="81"/>
        <item x="23"/>
        <item x="498"/>
        <item x="272"/>
        <item x="283"/>
        <item x="500"/>
        <item x="443"/>
        <item x="395"/>
        <item x="326"/>
        <item x="13"/>
        <item x="224"/>
        <item x="3"/>
        <item x="467"/>
        <item x="315"/>
        <item x="485"/>
        <item x="86"/>
        <item x="89"/>
        <item x="16"/>
        <item x="330"/>
        <item x="145"/>
        <item x="439"/>
        <item x="405"/>
        <item x="160"/>
        <item x="139"/>
        <item x="282"/>
        <item x="403"/>
        <item x="309"/>
        <item x="131"/>
        <item x="251"/>
        <item x="531"/>
        <item x="445"/>
        <item x="289"/>
        <item x="152"/>
        <item x="510"/>
        <item x="119"/>
        <item x="317"/>
        <item x="358"/>
        <item x="298"/>
        <item x="472"/>
        <item x="184"/>
        <item x="88"/>
        <item x="433"/>
        <item x="270"/>
        <item x="177"/>
        <item x="215"/>
        <item x="514"/>
        <item x="505"/>
        <item x="162"/>
        <item x="533"/>
        <item x="401"/>
        <item x="532"/>
        <item x="346"/>
        <item x="357"/>
        <item x="191"/>
        <item x="527"/>
        <item x="248"/>
        <item x="431"/>
        <item x="63"/>
        <item x="161"/>
        <item x="34"/>
        <item x="117"/>
        <item x="343"/>
        <item x="5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ayment_Status" fld="2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20688AF-EB5C-48ED-AE77-D385F11A10C8}" autoFormatId="16" applyNumberFormats="0" applyBorderFormats="0" applyFontFormats="0" applyPatternFormats="0" applyAlignmentFormats="0" applyWidthHeightFormats="0">
  <queryTableRefresh nextId="27">
    <queryTableFields count="26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State" tableColumnId="5"/>
      <queryTableField id="6" name="Department" tableColumnId="6"/>
      <queryTableField id="7" name="Admission_Date" tableColumnId="7"/>
      <queryTableField id="8" name="Discharge_Date" tableColumnId="8"/>
      <queryTableField id="9" name="Diagnosis" tableColumnId="9"/>
      <queryTableField id="10" name="Treatment" tableColumnId="10"/>
      <queryTableField id="11" name="Doctor" tableColumnId="11"/>
      <queryTableField id="12" name="Admission_Type" tableColumnId="12"/>
      <queryTableField id="13" name="Insurance" tableColumnId="13"/>
      <queryTableField id="14" name="Billing_Amount" tableColumnId="14"/>
      <queryTableField id="15" name="Medication_Cost" tableColumnId="15"/>
      <queryTableField id="16" name="Lab_Cost" tableColumnId="16"/>
      <queryTableField id="17" name="Length_of_Stay" tableColumnId="17"/>
      <queryTableField id="18" name="Waiting_Time" tableColumnId="18"/>
      <queryTableField id="19" name="Patient_Rating" tableColumnId="19"/>
      <queryTableField id="20" name="Readmission" tableColumnId="20"/>
      <queryTableField id="21" name="Outcome" tableColumnId="21"/>
      <queryTableField id="22" name="Payment_Status" tableColumnId="22"/>
      <queryTableField id="23" name="Payment_Method" tableColumnId="23"/>
      <queryTableField id="24" name="Total_Treatment_cost" tableColumnId="24"/>
      <queryTableField id="25" name="Patient_Category" tableColumnId="25"/>
      <queryTableField id="26" name="Waiting_Category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A4AE99-FF67-4584-B383-BDDA61081C88}" autoFormatId="16" applyNumberFormats="0" applyBorderFormats="0" applyFontFormats="0" applyPatternFormats="0" applyAlignmentFormats="0" applyWidthHeightFormats="0">
  <queryTableRefresh nextId="24">
    <queryTableFields count="23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State" tableColumnId="5"/>
      <queryTableField id="6" name="Department" tableColumnId="6"/>
      <queryTableField id="7" name="Admission_Date" tableColumnId="7"/>
      <queryTableField id="8" name="Discharge_Date" tableColumnId="8"/>
      <queryTableField id="9" name="Diagnosis" tableColumnId="9"/>
      <queryTableField id="10" name="Treatment" tableColumnId="10"/>
      <queryTableField id="11" name="Doctor" tableColumnId="11"/>
      <queryTableField id="12" name="Admission_Type" tableColumnId="12"/>
      <queryTableField id="13" name="Insurance" tableColumnId="13"/>
      <queryTableField id="14" name="Billing_Amount" tableColumnId="14"/>
      <queryTableField id="15" name="Medication_Cost" tableColumnId="15"/>
      <queryTableField id="16" name="Lab_Cost" tableColumnId="16"/>
      <queryTableField id="17" name="Length_of_Stay" tableColumnId="17"/>
      <queryTableField id="18" name="Waiting_Time" tableColumnId="18"/>
      <queryTableField id="19" name="Patient_Rating" tableColumnId="19"/>
      <queryTableField id="20" name="Readmission" tableColumnId="20"/>
      <queryTableField id="21" name="Outcome" tableColumnId="21"/>
      <queryTableField id="22" name="Payment_Status" tableColumnId="22"/>
      <queryTableField id="23" name="Payment_Metho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963ABD-3373-44D8-829F-40C6C73C131F}" name="dirty_patient_hospital_dataset_1000_rows__2_1_1" displayName="dirty_patient_hospital_dataset_1000_rows__2_1_1" ref="A1:Z818" tableType="queryTable" totalsRowShown="0">
  <autoFilter ref="A1:Z818" xr:uid="{13963ABD-3373-44D8-829F-40C6C73C131F}"/>
  <tableColumns count="26">
    <tableColumn id="1" xr3:uid="{04DF8A72-247E-4AC4-866F-FFB8403757CF}" uniqueName="1" name="Patient_ID" queryTableFieldId="1" dataDxfId="17"/>
    <tableColumn id="2" xr3:uid="{2CE1C582-6B25-4EE4-A5AF-BBCBD90F127D}" uniqueName="2" name="Patient_Name" queryTableFieldId="2" dataDxfId="16"/>
    <tableColumn id="3" xr3:uid="{2CC27252-1026-43E7-81DD-5BCB43186239}" uniqueName="3" name="Age" queryTableFieldId="3"/>
    <tableColumn id="4" xr3:uid="{6C720406-D247-42CB-9E50-14B510873023}" uniqueName="4" name="Gender" queryTableFieldId="4" dataDxfId="15"/>
    <tableColumn id="5" xr3:uid="{3FF604E2-36FB-41E7-8065-3EEB28178E48}" uniqueName="5" name="State" queryTableFieldId="5" dataDxfId="14"/>
    <tableColumn id="6" xr3:uid="{9B343586-D03D-4F25-AF7C-A24EF25782E3}" uniqueName="6" name="Department" queryTableFieldId="6" dataDxfId="13"/>
    <tableColumn id="7" xr3:uid="{DD0E6D43-D22F-4295-A671-13F7BCF7824B}" uniqueName="7" name="Admission_Date" queryTableFieldId="7" dataDxfId="12"/>
    <tableColumn id="8" xr3:uid="{87A47732-63CC-4FD4-BC6B-556087E1606C}" uniqueName="8" name="Discharge_Date" queryTableFieldId="8" dataDxfId="11"/>
    <tableColumn id="9" xr3:uid="{8A6FD113-9BFB-4C21-8276-F6B4F5A11309}" uniqueName="9" name="Diagnosis" queryTableFieldId="9" dataDxfId="10"/>
    <tableColumn id="10" xr3:uid="{84F69065-DFF3-4E7B-A3D8-C5B5442EAC82}" uniqueName="10" name="Treatment" queryTableFieldId="10" dataDxfId="9"/>
    <tableColumn id="11" xr3:uid="{07EC035C-48A2-4E08-B540-344ED0571BDB}" uniqueName="11" name="Doctor" queryTableFieldId="11" dataDxfId="8"/>
    <tableColumn id="12" xr3:uid="{FFF54E75-74BC-438C-ADF7-BC8DBBBB744C}" uniqueName="12" name="Admission_Type" queryTableFieldId="12" dataDxfId="7"/>
    <tableColumn id="13" xr3:uid="{7F5D41FE-A1CA-443D-A716-634ACBB2AACD}" uniqueName="13" name="Insurance" queryTableFieldId="13" dataDxfId="6"/>
    <tableColumn id="14" xr3:uid="{AE6A9AA3-49DF-4B67-9BB2-90C84C49513A}" uniqueName="14" name="Billing_Amount" queryTableFieldId="14"/>
    <tableColumn id="15" xr3:uid="{A31D9CD0-3FA5-4995-8B0E-6DFFE710B3AE}" uniqueName="15" name="Medication_Cost" queryTableFieldId="15"/>
    <tableColumn id="16" xr3:uid="{6B25D4CD-D03E-46A4-B80A-CF7D8FD6223B}" uniqueName="16" name="Lab_Cost" queryTableFieldId="16"/>
    <tableColumn id="17" xr3:uid="{EEF73D32-BB01-4C6E-ABE7-F2DE7423A9B6}" uniqueName="17" name="Length_of_Stay" queryTableFieldId="17"/>
    <tableColumn id="18" xr3:uid="{4F815D1F-9B47-4496-88C5-D519DAF9C7B8}" uniqueName="18" name="Waiting_Time" queryTableFieldId="18"/>
    <tableColumn id="19" xr3:uid="{138FE7F0-5CC5-473E-BC76-3058A2BA6DA3}" uniqueName="19" name="Patient_Rating" queryTableFieldId="19"/>
    <tableColumn id="20" xr3:uid="{5B121DC7-178A-4390-AFE2-F0A791AF3B88}" uniqueName="20" name="Readmission" queryTableFieldId="20" dataDxfId="5"/>
    <tableColumn id="21" xr3:uid="{34DD1D78-7954-4F8A-B8EB-E899CC3027D5}" uniqueName="21" name="Outcome" queryTableFieldId="21" dataDxfId="4"/>
    <tableColumn id="22" xr3:uid="{B0628927-B308-49DA-A4D5-E588A95BE77A}" uniqueName="22" name="Payment_Status" queryTableFieldId="22" dataDxfId="3"/>
    <tableColumn id="23" xr3:uid="{6B33EFF1-7237-4DDD-8CA6-56243379251D}" uniqueName="23" name="Payment_Method" queryTableFieldId="23" dataDxfId="2"/>
    <tableColumn id="24" xr3:uid="{AC6DE43E-2D18-47F0-A2BA-4CA0432DA78D}" uniqueName="24" name="Total_Treatment_cost" queryTableFieldId="24"/>
    <tableColumn id="25" xr3:uid="{3EF63365-6DEC-4E38-AC40-58B1CCC1BFB6}" uniqueName="25" name="Patient_Category" queryTableFieldId="25" dataDxfId="1"/>
    <tableColumn id="26" xr3:uid="{B4F62EA4-D528-483E-9FBD-C258E0DDC4A9}" uniqueName="26" name="Waiting_Category" queryTableFieldId="2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27A6C-E505-4E57-B695-A0FBD2286580}" name="dirty_patient_hospital_dataset_1000_rows" displayName="dirty_patient_hospital_dataset_1000_rows" ref="A1:W1001" tableType="queryTable" totalsRowShown="0">
  <autoFilter ref="A1:W1001" xr:uid="{33F27A6C-E505-4E57-B695-A0FBD2286580}"/>
  <tableColumns count="23">
    <tableColumn id="1" xr3:uid="{3964F655-A230-4531-8CC4-C484456D0954}" uniqueName="1" name="Patient_ID" queryTableFieldId="1" dataDxfId="33"/>
    <tableColumn id="2" xr3:uid="{10118E3E-83AB-49A9-AA8B-F270CE1E5085}" uniqueName="2" name="Patient_Name" queryTableFieldId="2" dataDxfId="32"/>
    <tableColumn id="3" xr3:uid="{CFEBDE46-9EE9-4CFA-8C3D-7AC180BC388B}" uniqueName="3" name="Age" queryTableFieldId="3"/>
    <tableColumn id="4" xr3:uid="{F15F17AE-8392-454A-AD37-0C8E9C906075}" uniqueName="4" name="Gender" queryTableFieldId="4" dataDxfId="31"/>
    <tableColumn id="5" xr3:uid="{1FC2A303-74A6-4EF6-8175-5D20619D4FF9}" uniqueName="5" name="State" queryTableFieldId="5" dataDxfId="30"/>
    <tableColumn id="6" xr3:uid="{6F55882C-3B69-4823-B7E0-186E51232CE7}" uniqueName="6" name="Department" queryTableFieldId="6" dataDxfId="29"/>
    <tableColumn id="7" xr3:uid="{0D5AF1F1-DC30-463D-A39F-C5CBB41E8C0E}" uniqueName="7" name="Admission_Date" queryTableFieldId="7" dataDxfId="28"/>
    <tableColumn id="8" xr3:uid="{CD5BF07E-6614-4CA4-84A1-4CF687B23104}" uniqueName="8" name="Discharge_Date" queryTableFieldId="8" dataDxfId="27"/>
    <tableColumn id="9" xr3:uid="{121BB7C4-7EDB-4697-A912-2E873925999F}" uniqueName="9" name="Diagnosis" queryTableFieldId="9" dataDxfId="26"/>
    <tableColumn id="10" xr3:uid="{82BBA139-456E-4A12-A436-87DC8BD4CAF3}" uniqueName="10" name="Treatment" queryTableFieldId="10" dataDxfId="25"/>
    <tableColumn id="11" xr3:uid="{5E0F538A-02D4-43AD-991B-A9232CED1D24}" uniqueName="11" name="Doctor" queryTableFieldId="11" dataDxfId="24"/>
    <tableColumn id="12" xr3:uid="{13129BEF-C72B-473C-A1F8-7172D1E20485}" uniqueName="12" name="Admission_Type" queryTableFieldId="12" dataDxfId="23"/>
    <tableColumn id="13" xr3:uid="{DEA51503-3A55-48D4-8590-8945238D115E}" uniqueName="13" name="Insurance" queryTableFieldId="13" dataDxfId="22"/>
    <tableColumn id="14" xr3:uid="{B4028F28-5FB3-462A-ABC6-133AB3FFF2FC}" uniqueName="14" name="Billing_Amount" queryTableFieldId="14"/>
    <tableColumn id="15" xr3:uid="{4E936FF3-CA75-416F-B492-7555EBA6B743}" uniqueName="15" name="Medication_Cost" queryTableFieldId="15"/>
    <tableColumn id="16" xr3:uid="{6881DC64-49AB-46ED-AF57-AC99E31CBB30}" uniqueName="16" name="Lab_Cost" queryTableFieldId="16"/>
    <tableColumn id="17" xr3:uid="{D4F899D0-5D93-4659-831B-CC4D8E37BA65}" uniqueName="17" name="Length_of_Stay" queryTableFieldId="17"/>
    <tableColumn id="18" xr3:uid="{1B2B1F46-16CA-4805-A963-9EE40782FF0B}" uniqueName="18" name="Waiting_Time" queryTableFieldId="18"/>
    <tableColumn id="19" xr3:uid="{015DC40A-7DC4-4E1B-B76A-863C3304F2F4}" uniqueName="19" name="Patient_Rating" queryTableFieldId="19"/>
    <tableColumn id="20" xr3:uid="{718DD6C0-68AD-46EE-AD52-7F330D676349}" uniqueName="20" name="Readmission" queryTableFieldId="20" dataDxfId="21"/>
    <tableColumn id="21" xr3:uid="{0F45D19C-3F81-4C92-8574-DD661B28BA15}" uniqueName="21" name="Outcome" queryTableFieldId="21" dataDxfId="20"/>
    <tableColumn id="22" xr3:uid="{EFE4163F-8423-4A4A-B21D-E314A66D8480}" uniqueName="22" name="Payment_Status" queryTableFieldId="22" dataDxfId="19"/>
    <tableColumn id="23" xr3:uid="{EAAEA9D8-2D36-4C19-A202-6BBE4B468F0C}" uniqueName="23" name="Payment_Method" queryTableFieldId="23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BB7F-C5F2-4066-90F5-6F7129195FC2}">
  <dimension ref="A3:B13"/>
  <sheetViews>
    <sheetView workbookViewId="0">
      <selection activeCell="A3" sqref="A3"/>
    </sheetView>
  </sheetViews>
  <sheetFormatPr defaultRowHeight="14.5" x14ac:dyDescent="0.35"/>
  <cols>
    <col min="1" max="1" width="15.54296875" bestFit="1" customWidth="1"/>
    <col min="2" max="2" width="17.6328125" bestFit="1" customWidth="1"/>
  </cols>
  <sheetData>
    <row r="3" spans="1:2" x14ac:dyDescent="0.35">
      <c r="A3" s="4" t="s">
        <v>2116</v>
      </c>
      <c r="B3" t="s">
        <v>2118</v>
      </c>
    </row>
    <row r="4" spans="1:2" x14ac:dyDescent="0.35">
      <c r="A4" s="5" t="s">
        <v>120</v>
      </c>
      <c r="B4" s="1">
        <v>140</v>
      </c>
    </row>
    <row r="5" spans="1:2" x14ac:dyDescent="0.35">
      <c r="A5" s="5" t="s">
        <v>41</v>
      </c>
      <c r="B5" s="1">
        <v>85</v>
      </c>
    </row>
    <row r="6" spans="1:2" x14ac:dyDescent="0.35">
      <c r="A6" s="5" t="s">
        <v>227</v>
      </c>
      <c r="B6" s="1">
        <v>158</v>
      </c>
    </row>
    <row r="7" spans="1:2" x14ac:dyDescent="0.35">
      <c r="A7" s="5" t="s">
        <v>193</v>
      </c>
      <c r="B7" s="1">
        <v>79</v>
      </c>
    </row>
    <row r="8" spans="1:2" x14ac:dyDescent="0.35">
      <c r="A8" s="5" t="s">
        <v>135</v>
      </c>
      <c r="B8" s="1">
        <v>64</v>
      </c>
    </row>
    <row r="9" spans="1:2" x14ac:dyDescent="0.35">
      <c r="A9" s="5" t="s">
        <v>145</v>
      </c>
      <c r="B9" s="1">
        <v>77</v>
      </c>
    </row>
    <row r="10" spans="1:2" x14ac:dyDescent="0.35">
      <c r="A10" s="5" t="s">
        <v>108</v>
      </c>
      <c r="B10" s="1">
        <v>66</v>
      </c>
    </row>
    <row r="11" spans="1:2" x14ac:dyDescent="0.35">
      <c r="A11" s="5" t="s">
        <v>63</v>
      </c>
      <c r="B11" s="1">
        <v>78</v>
      </c>
    </row>
    <row r="12" spans="1:2" x14ac:dyDescent="0.35">
      <c r="A12" s="5" t="s">
        <v>87</v>
      </c>
      <c r="B12" s="1">
        <v>70</v>
      </c>
    </row>
    <row r="13" spans="1:2" x14ac:dyDescent="0.35">
      <c r="A13" s="5" t="s">
        <v>2117</v>
      </c>
      <c r="B13" s="1">
        <v>817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4FF3-A680-4983-9DB0-B98D0980DAFF}">
  <dimension ref="A3:B13"/>
  <sheetViews>
    <sheetView workbookViewId="0">
      <selection activeCell="B16" sqref="B16"/>
    </sheetView>
  </sheetViews>
  <sheetFormatPr defaultRowHeight="14.5" x14ac:dyDescent="0.35"/>
  <cols>
    <col min="1" max="1" width="15.54296875" bestFit="1" customWidth="1"/>
    <col min="2" max="2" width="26.08984375" bestFit="1" customWidth="1"/>
  </cols>
  <sheetData>
    <row r="3" spans="1:2" x14ac:dyDescent="0.35">
      <c r="A3" s="4" t="s">
        <v>2116</v>
      </c>
      <c r="B3" t="s">
        <v>2119</v>
      </c>
    </row>
    <row r="4" spans="1:2" x14ac:dyDescent="0.35">
      <c r="A4" s="5" t="s">
        <v>120</v>
      </c>
      <c r="B4" s="1">
        <v>40254066.890000015</v>
      </c>
    </row>
    <row r="5" spans="1:2" x14ac:dyDescent="0.35">
      <c r="A5" s="5" t="s">
        <v>41</v>
      </c>
      <c r="B5" s="1">
        <v>25728625.290000003</v>
      </c>
    </row>
    <row r="6" spans="1:2" x14ac:dyDescent="0.35">
      <c r="A6" s="5" t="s">
        <v>227</v>
      </c>
      <c r="B6" s="1">
        <v>47674476.100000001</v>
      </c>
    </row>
    <row r="7" spans="1:2" x14ac:dyDescent="0.35">
      <c r="A7" s="5" t="s">
        <v>193</v>
      </c>
      <c r="B7" s="1">
        <v>23768773.640000001</v>
      </c>
    </row>
    <row r="8" spans="1:2" x14ac:dyDescent="0.35">
      <c r="A8" s="5" t="s">
        <v>135</v>
      </c>
      <c r="B8" s="1">
        <v>19589682.519999996</v>
      </c>
    </row>
    <row r="9" spans="1:2" x14ac:dyDescent="0.35">
      <c r="A9" s="5" t="s">
        <v>145</v>
      </c>
      <c r="B9" s="1">
        <v>24475192.270000003</v>
      </c>
    </row>
    <row r="10" spans="1:2" x14ac:dyDescent="0.35">
      <c r="A10" s="5" t="s">
        <v>108</v>
      </c>
      <c r="B10" s="1">
        <v>19119754.93</v>
      </c>
    </row>
    <row r="11" spans="1:2" x14ac:dyDescent="0.35">
      <c r="A11" s="5" t="s">
        <v>63</v>
      </c>
      <c r="B11" s="1">
        <v>23289883.399999999</v>
      </c>
    </row>
    <row r="12" spans="1:2" x14ac:dyDescent="0.35">
      <c r="A12" s="5" t="s">
        <v>87</v>
      </c>
      <c r="B12" s="1">
        <v>20539712.24000001</v>
      </c>
    </row>
    <row r="13" spans="1:2" x14ac:dyDescent="0.35">
      <c r="A13" s="5" t="s">
        <v>2117</v>
      </c>
      <c r="B13" s="1">
        <v>244440167.28000003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13FD-371A-4A0E-A6FD-462DA0174CA2}">
  <dimension ref="A3:B7"/>
  <sheetViews>
    <sheetView workbookViewId="0">
      <selection activeCell="C14" sqref="C14"/>
    </sheetView>
  </sheetViews>
  <sheetFormatPr defaultRowHeight="14.5" x14ac:dyDescent="0.35"/>
  <cols>
    <col min="1" max="1" width="12.36328125" bestFit="1" customWidth="1"/>
    <col min="2" max="2" width="17.6328125" bestFit="1" customWidth="1"/>
  </cols>
  <sheetData>
    <row r="3" spans="1:2" x14ac:dyDescent="0.35">
      <c r="A3" s="4" t="s">
        <v>2116</v>
      </c>
      <c r="B3" t="s">
        <v>2118</v>
      </c>
    </row>
    <row r="4" spans="1:2" x14ac:dyDescent="0.35">
      <c r="A4" s="5" t="s">
        <v>66</v>
      </c>
      <c r="B4" s="1">
        <v>170</v>
      </c>
    </row>
    <row r="5" spans="1:2" x14ac:dyDescent="0.35">
      <c r="A5" s="5" t="s">
        <v>44</v>
      </c>
      <c r="B5" s="1">
        <v>318</v>
      </c>
    </row>
    <row r="6" spans="1:2" x14ac:dyDescent="0.35">
      <c r="A6" s="5" t="s">
        <v>32</v>
      </c>
      <c r="B6" s="1">
        <v>329</v>
      </c>
    </row>
    <row r="7" spans="1:2" x14ac:dyDescent="0.35">
      <c r="A7" s="5" t="s">
        <v>2117</v>
      </c>
      <c r="B7" s="1">
        <v>817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307F-EA37-4978-B9D7-957F9B25993C}">
  <dimension ref="A3:B6"/>
  <sheetViews>
    <sheetView workbookViewId="0">
      <selection activeCell="B14" sqref="B14"/>
    </sheetView>
  </sheetViews>
  <sheetFormatPr defaultRowHeight="14.5" x14ac:dyDescent="0.35"/>
  <cols>
    <col min="1" max="1" width="12.36328125" bestFit="1" customWidth="1"/>
    <col min="2" max="2" width="22" bestFit="1" customWidth="1"/>
  </cols>
  <sheetData>
    <row r="3" spans="1:2" x14ac:dyDescent="0.35">
      <c r="A3" s="4" t="s">
        <v>2116</v>
      </c>
      <c r="B3" t="s">
        <v>2120</v>
      </c>
    </row>
    <row r="4" spans="1:2" x14ac:dyDescent="0.35">
      <c r="A4" s="5" t="s">
        <v>25</v>
      </c>
      <c r="B4" s="1">
        <v>101.03037383177571</v>
      </c>
    </row>
    <row r="5" spans="1:2" x14ac:dyDescent="0.35">
      <c r="A5" s="5" t="s">
        <v>119</v>
      </c>
      <c r="B5" s="1">
        <v>99.352185089974299</v>
      </c>
    </row>
    <row r="6" spans="1:2" x14ac:dyDescent="0.35">
      <c r="A6" s="5" t="s">
        <v>2117</v>
      </c>
      <c r="B6" s="1">
        <v>100.2313341493268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0CCC-78ED-4874-8104-9D011B646D28}">
  <dimension ref="A3:B13"/>
  <sheetViews>
    <sheetView workbookViewId="0">
      <selection activeCell="B16" sqref="B16"/>
    </sheetView>
  </sheetViews>
  <sheetFormatPr defaultRowHeight="14.5" x14ac:dyDescent="0.35"/>
  <cols>
    <col min="1" max="1" width="15.54296875" bestFit="1" customWidth="1"/>
    <col min="2" max="2" width="22.81640625" bestFit="1" customWidth="1"/>
  </cols>
  <sheetData>
    <row r="3" spans="1:2" x14ac:dyDescent="0.35">
      <c r="A3" s="4" t="s">
        <v>2116</v>
      </c>
      <c r="B3" t="s">
        <v>2121</v>
      </c>
    </row>
    <row r="4" spans="1:2" x14ac:dyDescent="0.35">
      <c r="A4" s="5" t="s">
        <v>120</v>
      </c>
      <c r="B4" s="1">
        <v>3.7485714285714282</v>
      </c>
    </row>
    <row r="5" spans="1:2" x14ac:dyDescent="0.35">
      <c r="A5" s="5" t="s">
        <v>41</v>
      </c>
      <c r="B5" s="1">
        <v>3.5811764705882365</v>
      </c>
    </row>
    <row r="6" spans="1:2" x14ac:dyDescent="0.35">
      <c r="A6" s="5" t="s">
        <v>227</v>
      </c>
      <c r="B6" s="1">
        <v>3.50886075949367</v>
      </c>
    </row>
    <row r="7" spans="1:2" x14ac:dyDescent="0.35">
      <c r="A7" s="5" t="s">
        <v>193</v>
      </c>
      <c r="B7" s="1">
        <v>3.8151898734177214</v>
      </c>
    </row>
    <row r="8" spans="1:2" x14ac:dyDescent="0.35">
      <c r="A8" s="5" t="s">
        <v>135</v>
      </c>
      <c r="B8" s="1">
        <v>3.4656249999999997</v>
      </c>
    </row>
    <row r="9" spans="1:2" x14ac:dyDescent="0.35">
      <c r="A9" s="5" t="s">
        <v>145</v>
      </c>
      <c r="B9" s="1">
        <v>3.448051948051948</v>
      </c>
    </row>
    <row r="10" spans="1:2" x14ac:dyDescent="0.35">
      <c r="A10" s="5" t="s">
        <v>108</v>
      </c>
      <c r="B10" s="1">
        <v>3.6106060606060604</v>
      </c>
    </row>
    <row r="11" spans="1:2" x14ac:dyDescent="0.35">
      <c r="A11" s="5" t="s">
        <v>63</v>
      </c>
      <c r="B11" s="1">
        <v>3.7025641025641014</v>
      </c>
    </row>
    <row r="12" spans="1:2" x14ac:dyDescent="0.35">
      <c r="A12" s="5" t="s">
        <v>87</v>
      </c>
      <c r="B12" s="1">
        <v>3.6357142857142852</v>
      </c>
    </row>
    <row r="13" spans="1:2" x14ac:dyDescent="0.35">
      <c r="A13" s="5" t="s">
        <v>2117</v>
      </c>
      <c r="B13" s="1">
        <v>3.6155446756425893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BB31-4075-4CE6-A253-E27A819CA075}">
  <dimension ref="A3:B16"/>
  <sheetViews>
    <sheetView workbookViewId="0">
      <selection activeCell="H19" sqref="H19"/>
    </sheetView>
  </sheetViews>
  <sheetFormatPr defaultRowHeight="14.5" x14ac:dyDescent="0.35"/>
  <cols>
    <col min="1" max="1" width="12.36328125" bestFit="1" customWidth="1"/>
    <col min="2" max="2" width="26.08984375" bestFit="1" customWidth="1"/>
  </cols>
  <sheetData>
    <row r="3" spans="1:2" x14ac:dyDescent="0.35">
      <c r="A3" s="4" t="s">
        <v>2116</v>
      </c>
      <c r="B3" t="s">
        <v>2119</v>
      </c>
    </row>
    <row r="4" spans="1:2" x14ac:dyDescent="0.35">
      <c r="A4" s="5" t="s">
        <v>2084</v>
      </c>
      <c r="B4" s="1">
        <v>19050427.899999991</v>
      </c>
    </row>
    <row r="5" spans="1:2" x14ac:dyDescent="0.35">
      <c r="A5" s="5" t="s">
        <v>112</v>
      </c>
      <c r="B5" s="1">
        <v>20358512.020000007</v>
      </c>
    </row>
    <row r="6" spans="1:2" x14ac:dyDescent="0.35">
      <c r="A6" s="5" t="s">
        <v>40</v>
      </c>
      <c r="B6" s="1">
        <v>12163179.950000003</v>
      </c>
    </row>
    <row r="7" spans="1:2" x14ac:dyDescent="0.35">
      <c r="A7" s="5" t="s">
        <v>219</v>
      </c>
      <c r="B7" s="1">
        <v>16489336.579999996</v>
      </c>
    </row>
    <row r="8" spans="1:2" x14ac:dyDescent="0.35">
      <c r="A8" s="5" t="s">
        <v>192</v>
      </c>
      <c r="B8" s="1">
        <v>20763813.949999999</v>
      </c>
    </row>
    <row r="9" spans="1:2" x14ac:dyDescent="0.35">
      <c r="A9" s="5" t="s">
        <v>177</v>
      </c>
      <c r="B9" s="1">
        <v>17696471.830000002</v>
      </c>
    </row>
    <row r="10" spans="1:2" x14ac:dyDescent="0.35">
      <c r="A10" s="5" t="s">
        <v>51</v>
      </c>
      <c r="B10" s="1">
        <v>15033292.179999998</v>
      </c>
    </row>
    <row r="11" spans="1:2" x14ac:dyDescent="0.35">
      <c r="A11" s="5" t="s">
        <v>107</v>
      </c>
      <c r="B11" s="1">
        <v>12708861.689999999</v>
      </c>
    </row>
    <row r="12" spans="1:2" x14ac:dyDescent="0.35">
      <c r="A12" s="5" t="s">
        <v>26</v>
      </c>
      <c r="B12" s="1">
        <v>52263349.100000024</v>
      </c>
    </row>
    <row r="13" spans="1:2" x14ac:dyDescent="0.35">
      <c r="A13" s="5" t="s">
        <v>263</v>
      </c>
      <c r="B13" s="1">
        <v>15045727.93</v>
      </c>
    </row>
    <row r="14" spans="1:2" x14ac:dyDescent="0.35">
      <c r="A14" s="5" t="s">
        <v>157</v>
      </c>
      <c r="B14" s="1">
        <v>16073026.599999996</v>
      </c>
    </row>
    <row r="15" spans="1:2" x14ac:dyDescent="0.35">
      <c r="A15" s="5" t="s">
        <v>86</v>
      </c>
      <c r="B15" s="1">
        <v>26794167.550000008</v>
      </c>
    </row>
    <row r="16" spans="1:2" x14ac:dyDescent="0.35">
      <c r="A16" s="5" t="s">
        <v>2117</v>
      </c>
      <c r="B16" s="1">
        <v>244440167.28000003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72A5-80B5-4036-BA28-86EE1EBF2FDB}">
  <dimension ref="A3:B13"/>
  <sheetViews>
    <sheetView workbookViewId="0">
      <selection activeCell="C18" sqref="C18"/>
    </sheetView>
  </sheetViews>
  <sheetFormatPr defaultRowHeight="14.5" x14ac:dyDescent="0.35"/>
  <cols>
    <col min="1" max="1" width="15.54296875" bestFit="1" customWidth="1"/>
    <col min="2" max="2" width="19.26953125" bestFit="1" customWidth="1"/>
  </cols>
  <sheetData>
    <row r="3" spans="1:2" x14ac:dyDescent="0.35">
      <c r="A3" s="4" t="s">
        <v>2116</v>
      </c>
      <c r="B3" t="s">
        <v>2122</v>
      </c>
    </row>
    <row r="4" spans="1:2" x14ac:dyDescent="0.35">
      <c r="A4" s="5" t="s">
        <v>120</v>
      </c>
      <c r="B4" s="1">
        <v>140</v>
      </c>
    </row>
    <row r="5" spans="1:2" x14ac:dyDescent="0.35">
      <c r="A5" s="5" t="s">
        <v>41</v>
      </c>
      <c r="B5" s="1">
        <v>85</v>
      </c>
    </row>
    <row r="6" spans="1:2" x14ac:dyDescent="0.35">
      <c r="A6" s="5" t="s">
        <v>227</v>
      </c>
      <c r="B6" s="1">
        <v>158</v>
      </c>
    </row>
    <row r="7" spans="1:2" x14ac:dyDescent="0.35">
      <c r="A7" s="5" t="s">
        <v>193</v>
      </c>
      <c r="B7" s="1">
        <v>79</v>
      </c>
    </row>
    <row r="8" spans="1:2" x14ac:dyDescent="0.35">
      <c r="A8" s="5" t="s">
        <v>135</v>
      </c>
      <c r="B8" s="1">
        <v>64</v>
      </c>
    </row>
    <row r="9" spans="1:2" x14ac:dyDescent="0.35">
      <c r="A9" s="5" t="s">
        <v>145</v>
      </c>
      <c r="B9" s="1">
        <v>77</v>
      </c>
    </row>
    <row r="10" spans="1:2" x14ac:dyDescent="0.35">
      <c r="A10" s="5" t="s">
        <v>108</v>
      </c>
      <c r="B10" s="1">
        <v>66</v>
      </c>
    </row>
    <row r="11" spans="1:2" x14ac:dyDescent="0.35">
      <c r="A11" s="5" t="s">
        <v>63</v>
      </c>
      <c r="B11" s="1">
        <v>78</v>
      </c>
    </row>
    <row r="12" spans="1:2" x14ac:dyDescent="0.35">
      <c r="A12" s="5" t="s">
        <v>87</v>
      </c>
      <c r="B12" s="1">
        <v>70</v>
      </c>
    </row>
    <row r="13" spans="1:2" x14ac:dyDescent="0.35">
      <c r="A13" s="5" t="s">
        <v>2117</v>
      </c>
      <c r="B13" s="1">
        <v>817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C71E-495A-44B5-9D15-D76A4B062B4A}">
  <dimension ref="A3:B16"/>
  <sheetViews>
    <sheetView workbookViewId="0">
      <selection activeCell="D1" sqref="D1"/>
    </sheetView>
  </sheetViews>
  <sheetFormatPr defaultRowHeight="14.5" x14ac:dyDescent="0.35"/>
  <cols>
    <col min="1" max="1" width="14.26953125" bestFit="1" customWidth="1"/>
    <col min="2" max="2" width="23.36328125" bestFit="1" customWidth="1"/>
  </cols>
  <sheetData>
    <row r="3" spans="1:2" x14ac:dyDescent="0.35">
      <c r="A3" s="4" t="s">
        <v>2116</v>
      </c>
      <c r="B3" t="s">
        <v>2123</v>
      </c>
    </row>
    <row r="4" spans="1:2" x14ac:dyDescent="0.35">
      <c r="A4" s="5" t="s">
        <v>173</v>
      </c>
      <c r="B4" s="1">
        <v>3.2857142857142856</v>
      </c>
    </row>
    <row r="5" spans="1:2" x14ac:dyDescent="0.35">
      <c r="A5" s="5" t="s">
        <v>100</v>
      </c>
      <c r="B5" s="1">
        <v>3.2678571428571428</v>
      </c>
    </row>
    <row r="6" spans="1:2" x14ac:dyDescent="0.35">
      <c r="A6" s="5" t="s">
        <v>159</v>
      </c>
      <c r="B6" s="1">
        <v>3.6949152542372881</v>
      </c>
    </row>
    <row r="7" spans="1:2" x14ac:dyDescent="0.35">
      <c r="A7" s="5" t="s">
        <v>221</v>
      </c>
      <c r="B7" s="1">
        <v>3.125</v>
      </c>
    </row>
    <row r="8" spans="1:2" x14ac:dyDescent="0.35">
      <c r="A8" s="5" t="s">
        <v>127</v>
      </c>
      <c r="B8" s="1">
        <v>3.5925925925925926</v>
      </c>
    </row>
    <row r="9" spans="1:2" x14ac:dyDescent="0.35">
      <c r="A9" s="5" t="s">
        <v>29</v>
      </c>
      <c r="B9" s="1">
        <v>3.5283018867924527</v>
      </c>
    </row>
    <row r="10" spans="1:2" x14ac:dyDescent="0.35">
      <c r="A10" s="5" t="s">
        <v>114</v>
      </c>
      <c r="B10" s="1">
        <v>3.4117647058823528</v>
      </c>
    </row>
    <row r="11" spans="1:2" x14ac:dyDescent="0.35">
      <c r="A11" s="5" t="s">
        <v>273</v>
      </c>
      <c r="B11" s="1">
        <v>3.6923076923076925</v>
      </c>
    </row>
    <row r="12" spans="1:2" x14ac:dyDescent="0.35">
      <c r="A12" s="5" t="s">
        <v>235</v>
      </c>
      <c r="B12" s="1">
        <v>3.8695652173913042</v>
      </c>
    </row>
    <row r="13" spans="1:2" x14ac:dyDescent="0.35">
      <c r="A13" s="5" t="s">
        <v>257</v>
      </c>
      <c r="B13" s="1">
        <v>2.8688524590163933</v>
      </c>
    </row>
    <row r="14" spans="1:2" x14ac:dyDescent="0.35">
      <c r="A14" s="5" t="s">
        <v>277</v>
      </c>
      <c r="B14" s="1">
        <v>4.5</v>
      </c>
    </row>
    <row r="15" spans="1:2" x14ac:dyDescent="0.35">
      <c r="A15" s="5" t="s">
        <v>53</v>
      </c>
      <c r="B15" s="1">
        <v>3.7168141592920354</v>
      </c>
    </row>
    <row r="16" spans="1:2" x14ac:dyDescent="0.35">
      <c r="A16" s="5" t="s">
        <v>2117</v>
      </c>
      <c r="B16" s="1">
        <v>3.5801713586291308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891C-5528-4F02-9D05-382CC69E8D94}">
  <dimension ref="A3:B7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30.90625" bestFit="1" customWidth="1"/>
  </cols>
  <sheetData>
    <row r="3" spans="1:2" x14ac:dyDescent="0.35">
      <c r="A3" s="4" t="s">
        <v>2116</v>
      </c>
      <c r="B3" t="s">
        <v>2127</v>
      </c>
    </row>
    <row r="4" spans="1:2" x14ac:dyDescent="0.35">
      <c r="A4" s="5" t="s">
        <v>2124</v>
      </c>
      <c r="B4" s="1">
        <v>295</v>
      </c>
    </row>
    <row r="5" spans="1:2" x14ac:dyDescent="0.35">
      <c r="A5" s="5" t="s">
        <v>2125</v>
      </c>
      <c r="B5" s="1">
        <v>323</v>
      </c>
    </row>
    <row r="6" spans="1:2" x14ac:dyDescent="0.35">
      <c r="A6" s="5" t="s">
        <v>2126</v>
      </c>
      <c r="B6" s="1">
        <v>199</v>
      </c>
    </row>
    <row r="7" spans="1:2" x14ac:dyDescent="0.35">
      <c r="A7" s="5" t="s">
        <v>2117</v>
      </c>
      <c r="B7" s="1">
        <v>817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1D66-015A-46B6-B679-23C79910FB72}">
  <dimension ref="A3:B13"/>
  <sheetViews>
    <sheetView workbookViewId="0">
      <selection activeCell="D8" sqref="D8"/>
    </sheetView>
  </sheetViews>
  <sheetFormatPr defaultRowHeight="14.5" x14ac:dyDescent="0.35"/>
  <cols>
    <col min="1" max="1" width="15.54296875" bestFit="1" customWidth="1"/>
    <col min="2" max="2" width="22.54296875" bestFit="1" customWidth="1"/>
  </cols>
  <sheetData>
    <row r="3" spans="1:2" x14ac:dyDescent="0.35">
      <c r="A3" s="4" t="s">
        <v>2116</v>
      </c>
      <c r="B3" t="s">
        <v>2128</v>
      </c>
    </row>
    <row r="4" spans="1:2" x14ac:dyDescent="0.35">
      <c r="A4" s="5" t="s">
        <v>120</v>
      </c>
      <c r="B4" s="1">
        <v>140</v>
      </c>
    </row>
    <row r="5" spans="1:2" x14ac:dyDescent="0.35">
      <c r="A5" s="5" t="s">
        <v>41</v>
      </c>
      <c r="B5" s="1">
        <v>85</v>
      </c>
    </row>
    <row r="6" spans="1:2" x14ac:dyDescent="0.35">
      <c r="A6" s="5" t="s">
        <v>227</v>
      </c>
      <c r="B6" s="1">
        <v>158</v>
      </c>
    </row>
    <row r="7" spans="1:2" x14ac:dyDescent="0.35">
      <c r="A7" s="5" t="s">
        <v>193</v>
      </c>
      <c r="B7" s="1">
        <v>79</v>
      </c>
    </row>
    <row r="8" spans="1:2" x14ac:dyDescent="0.35">
      <c r="A8" s="5" t="s">
        <v>135</v>
      </c>
      <c r="B8" s="1">
        <v>64</v>
      </c>
    </row>
    <row r="9" spans="1:2" x14ac:dyDescent="0.35">
      <c r="A9" s="5" t="s">
        <v>145</v>
      </c>
      <c r="B9" s="1">
        <v>77</v>
      </c>
    </row>
    <row r="10" spans="1:2" x14ac:dyDescent="0.35">
      <c r="A10" s="5" t="s">
        <v>108</v>
      </c>
      <c r="B10" s="1">
        <v>66</v>
      </c>
    </row>
    <row r="11" spans="1:2" x14ac:dyDescent="0.35">
      <c r="A11" s="5" t="s">
        <v>63</v>
      </c>
      <c r="B11" s="1">
        <v>78</v>
      </c>
    </row>
    <row r="12" spans="1:2" x14ac:dyDescent="0.35">
      <c r="A12" s="5" t="s">
        <v>87</v>
      </c>
      <c r="B12" s="1">
        <v>70</v>
      </c>
    </row>
    <row r="13" spans="1:2" x14ac:dyDescent="0.35">
      <c r="A13" s="5" t="s">
        <v>2117</v>
      </c>
      <c r="B13" s="1">
        <v>817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686E-12F7-4E96-8671-A91246562B04}">
  <dimension ref="A1:AU832"/>
  <sheetViews>
    <sheetView tabSelected="1" topLeftCell="A2" workbookViewId="0">
      <selection activeCell="F7" sqref="F7"/>
    </sheetView>
  </sheetViews>
  <sheetFormatPr defaultRowHeight="14.5" x14ac:dyDescent="0.35"/>
  <cols>
    <col min="1" max="1" width="12" bestFit="1" customWidth="1"/>
    <col min="2" max="2" width="15.36328125" bestFit="1" customWidth="1"/>
    <col min="3" max="3" width="6.1796875" bestFit="1" customWidth="1"/>
    <col min="4" max="4" width="9.26953125" bestFit="1" customWidth="1"/>
    <col min="5" max="5" width="9.7265625" bestFit="1" customWidth="1"/>
    <col min="6" max="6" width="15.54296875" bestFit="1" customWidth="1"/>
    <col min="7" max="7" width="16.81640625" bestFit="1" customWidth="1"/>
    <col min="8" max="8" width="16.26953125" bestFit="1" customWidth="1"/>
    <col min="9" max="9" width="14.26953125" bestFit="1" customWidth="1"/>
    <col min="10" max="10" width="13.26953125" bestFit="1" customWidth="1"/>
    <col min="11" max="11" width="11.1796875" bestFit="1" customWidth="1"/>
    <col min="12" max="12" width="16.81640625" bestFit="1" customWidth="1"/>
    <col min="13" max="13" width="14.08984375" bestFit="1" customWidth="1"/>
    <col min="14" max="14" width="15.90625" bestFit="1" customWidth="1"/>
    <col min="15" max="15" width="17.36328125" bestFit="1" customWidth="1"/>
    <col min="16" max="16" width="10.7265625" bestFit="1" customWidth="1"/>
    <col min="17" max="17" width="16.08984375" bestFit="1" customWidth="1"/>
    <col min="18" max="18" width="14.6328125" bestFit="1" customWidth="1"/>
    <col min="19" max="19" width="15.54296875" bestFit="1" customWidth="1"/>
    <col min="20" max="20" width="13.6328125" bestFit="1" customWidth="1"/>
    <col min="21" max="21" width="10.81640625" bestFit="1" customWidth="1"/>
    <col min="22" max="22" width="16.90625" bestFit="1" customWidth="1"/>
    <col min="23" max="23" width="18.36328125" bestFit="1" customWidth="1"/>
    <col min="24" max="24" width="21.90625" bestFit="1" customWidth="1"/>
    <col min="25" max="25" width="17.7265625" bestFit="1" customWidth="1"/>
    <col min="26" max="26" width="18.08984375" bestFit="1" customWidth="1"/>
    <col min="31" max="31" width="11.81640625" bestFit="1" customWidth="1"/>
    <col min="35" max="35" width="17.26953125" customWidth="1"/>
    <col min="36" max="36" width="10.81640625" bestFit="1" customWidth="1"/>
    <col min="38" max="38" width="18.1796875" customWidth="1"/>
    <col min="40" max="40" width="21.6328125" customWidth="1"/>
    <col min="41" max="41" width="14.90625" customWidth="1"/>
    <col min="42" max="42" width="16.90625" customWidth="1"/>
    <col min="44" max="44" width="13.7265625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2075</v>
      </c>
      <c r="Y1" t="s">
        <v>2076</v>
      </c>
      <c r="Z1" t="s">
        <v>2077</v>
      </c>
      <c r="AL1" t="s">
        <v>2110</v>
      </c>
      <c r="AO1" t="s">
        <v>2111</v>
      </c>
      <c r="AR1" t="s">
        <v>2115</v>
      </c>
    </row>
    <row r="2" spans="1:47" x14ac:dyDescent="0.35">
      <c r="A2" s="1" t="s">
        <v>23</v>
      </c>
      <c r="B2" s="1" t="s">
        <v>24</v>
      </c>
      <c r="C2">
        <v>39</v>
      </c>
      <c r="D2" s="1" t="s">
        <v>25</v>
      </c>
      <c r="E2" s="1" t="s">
        <v>26</v>
      </c>
      <c r="F2" s="1" t="s">
        <v>227</v>
      </c>
      <c r="G2" s="2">
        <v>45946</v>
      </c>
      <c r="H2" s="2">
        <v>45950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2078</v>
      </c>
      <c r="N2">
        <v>310676.40000000002</v>
      </c>
      <c r="O2">
        <v>68075.75</v>
      </c>
      <c r="P2">
        <v>37975.4</v>
      </c>
      <c r="Q2">
        <v>4</v>
      </c>
      <c r="R2">
        <v>77</v>
      </c>
      <c r="S2">
        <v>5</v>
      </c>
      <c r="T2" s="1" t="s">
        <v>34</v>
      </c>
      <c r="U2" s="1" t="s">
        <v>35</v>
      </c>
      <c r="V2" s="1" t="s">
        <v>102</v>
      </c>
      <c r="W2" s="1" t="s">
        <v>36</v>
      </c>
      <c r="X2">
        <v>416727.55000000005</v>
      </c>
      <c r="Y2" s="1" t="s">
        <v>2079</v>
      </c>
      <c r="Z2" s="1" t="s">
        <v>2080</v>
      </c>
      <c r="AF2" t="s">
        <v>2094</v>
      </c>
      <c r="AI2" t="s">
        <v>2106</v>
      </c>
      <c r="AL2" t="str" cm="1">
        <f t="array" ref="AL2:AL11">_xlfn.UNIQUE(dirty_patient_hospital_dataset_1000_rows__2_1_1[[#All],[Department]])</f>
        <v>Department</v>
      </c>
      <c r="AO2" t="str" cm="1">
        <f t="array" ref="AO2:AO12">_xlfn.UNIQUE(dirty_patient_hospital_dataset_1000_rows__2_1_1[[#All],[Doctor]])</f>
        <v>Doctor</v>
      </c>
      <c r="AR2" t="str" cm="1">
        <f t="array" ref="AR2:AR12">_xlfn.UNIQUE(dirty_patient_hospital_dataset_1000_rows__2_1_1[[#All],[Doctor]])</f>
        <v>Doctor</v>
      </c>
    </row>
    <row r="3" spans="1:47" x14ac:dyDescent="0.35">
      <c r="A3" s="1" t="s">
        <v>37</v>
      </c>
      <c r="B3" s="1" t="s">
        <v>38</v>
      </c>
      <c r="C3">
        <v>32</v>
      </c>
      <c r="D3" s="1" t="s">
        <v>119</v>
      </c>
      <c r="E3" s="1" t="s">
        <v>40</v>
      </c>
      <c r="F3" s="1" t="s">
        <v>41</v>
      </c>
      <c r="G3" s="2">
        <v>46010</v>
      </c>
      <c r="H3" s="2">
        <v>46015</v>
      </c>
      <c r="I3" s="1" t="s">
        <v>29</v>
      </c>
      <c r="J3" s="1" t="s">
        <v>2081</v>
      </c>
      <c r="K3" s="1" t="s">
        <v>55</v>
      </c>
      <c r="L3" s="1" t="s">
        <v>44</v>
      </c>
      <c r="M3" s="1" t="s">
        <v>2078</v>
      </c>
      <c r="N3">
        <v>295958.40999999997</v>
      </c>
      <c r="O3">
        <v>18414.560000000001</v>
      </c>
      <c r="P3">
        <v>31028.11</v>
      </c>
      <c r="Q3">
        <v>5</v>
      </c>
      <c r="R3">
        <v>113</v>
      </c>
      <c r="S3">
        <v>1.2</v>
      </c>
      <c r="T3" s="1" t="s">
        <v>46</v>
      </c>
      <c r="U3" s="1" t="s">
        <v>35</v>
      </c>
      <c r="V3" s="1" t="s">
        <v>102</v>
      </c>
      <c r="W3" s="1" t="s">
        <v>12</v>
      </c>
      <c r="X3">
        <v>345401.07999999996</v>
      </c>
      <c r="Y3" s="1" t="s">
        <v>2082</v>
      </c>
      <c r="Z3" s="1" t="s">
        <v>2080</v>
      </c>
      <c r="AF3">
        <f>AVERAGE(dirty_patient_hospital_dataset_1000_rows__2_1_1[[#All],[Billing_Amount]])</f>
        <v>224315.60943696465</v>
      </c>
      <c r="AI3" s="3">
        <f>COUNTIF(dirty_patient_hospital_dataset_1000_rows__2_1_1[[#All],[Readmission]],"yes")/COUNTA(dirty_patient_hospital_dataset_1000_rows__2_1_1[Patient_ID])</f>
        <v>0.4749082007343941</v>
      </c>
      <c r="AL3" t="str">
        <v>General Medicine</v>
      </c>
      <c r="AM3">
        <f>AVERAGEIFS(dirty_patient_hospital_dataset_1000_rows__2_1_1[[#All],[Patient_Rating]],dirty_patient_hospital_dataset_1000_rows__2_1_1[[#All],[Department]],"General Medicine")</f>
        <v>3.50886075949367</v>
      </c>
      <c r="AO3" t="str">
        <v>Dr. Ibrahim</v>
      </c>
      <c r="AP3" t="str">
        <f>INDEX(dirty_patient_hospital_dataset_1000_rows__2_1_1[[#All],[Department]],MATCH("Dr.ibrahim",dirty_patient_hospital_dataset_1000_rows__2_1_1[[#All],[Doctor]]))</f>
        <v>Maternity</v>
      </c>
      <c r="AR3" t="str">
        <v>Dr. Ibrahim</v>
      </c>
      <c r="AS3">
        <f>COUNTIF(dirty_patient_hospital_dataset_1000_rows__2_1_1[[#All],[Doctor]],AR3)</f>
        <v>66</v>
      </c>
      <c r="AT3" t="str" cm="1">
        <f t="array" ref="AT3:AU12">_xlfn._xlws.SORT(AR3:AS12,2,-1)</f>
        <v>Dr. Okafor</v>
      </c>
      <c r="AU3">
        <v>153</v>
      </c>
    </row>
    <row r="4" spans="1:47" x14ac:dyDescent="0.35">
      <c r="A4" s="1" t="s">
        <v>48</v>
      </c>
      <c r="B4" s="1" t="s">
        <v>49</v>
      </c>
      <c r="C4">
        <v>30</v>
      </c>
      <c r="D4" s="1" t="s">
        <v>119</v>
      </c>
      <c r="E4" s="1" t="s">
        <v>51</v>
      </c>
      <c r="F4" s="1" t="s">
        <v>227</v>
      </c>
      <c r="G4" s="2">
        <v>45910</v>
      </c>
      <c r="H4" s="2">
        <v>45911</v>
      </c>
      <c r="I4" s="1" t="s">
        <v>53</v>
      </c>
      <c r="J4" s="1" t="s">
        <v>54</v>
      </c>
      <c r="K4" s="1" t="s">
        <v>55</v>
      </c>
      <c r="L4" s="1" t="s">
        <v>44</v>
      </c>
      <c r="M4" s="1" t="s">
        <v>57</v>
      </c>
      <c r="N4">
        <v>78203.64</v>
      </c>
      <c r="O4">
        <v>37856.18</v>
      </c>
      <c r="P4">
        <v>17759.28</v>
      </c>
      <c r="Q4">
        <v>1</v>
      </c>
      <c r="R4">
        <v>0</v>
      </c>
      <c r="S4">
        <v>5</v>
      </c>
      <c r="T4" s="1" t="s">
        <v>46</v>
      </c>
      <c r="U4" s="1" t="s">
        <v>95</v>
      </c>
      <c r="V4" s="1" t="s">
        <v>102</v>
      </c>
      <c r="W4" s="1" t="s">
        <v>59</v>
      </c>
      <c r="X4">
        <v>133819.1</v>
      </c>
      <c r="Y4" s="1" t="s">
        <v>2082</v>
      </c>
      <c r="Z4" s="1" t="s">
        <v>2083</v>
      </c>
      <c r="AL4" t="str">
        <v>Dermatology</v>
      </c>
      <c r="AM4">
        <f>AVERAGEIFS(dirty_patient_hospital_dataset_1000_rows__2_1_1[[#All],[Patient_Rating]],dirty_patient_hospital_dataset_1000_rows__2_1_1[[#All],[Department]],"Dermatology")</f>
        <v>3.5811764705882365</v>
      </c>
      <c r="AO4" t="str">
        <v>Dr. Adeyemi</v>
      </c>
      <c r="AP4" t="str">
        <f>INDEX(dirty_patient_hospital_dataset_1000_rows__2_1_1[[#All],[Department]],MATCH("Dr. Adeyemi",dirty_patient_hospital_dataset_1000_rows__2_1_1[[#All],[Doctor]]))</f>
        <v>General Medicine</v>
      </c>
      <c r="AR4" t="str">
        <v>Dr. Adeyemi</v>
      </c>
      <c r="AS4">
        <f>COUNTIF(dirty_patient_hospital_dataset_1000_rows__2_1_1[[#All],[Doctor]],AR4)</f>
        <v>126</v>
      </c>
      <c r="AT4" t="str">
        <v>Dr. Adeyemi</v>
      </c>
      <c r="AU4">
        <v>126</v>
      </c>
    </row>
    <row r="5" spans="1:47" x14ac:dyDescent="0.35">
      <c r="A5" s="1" t="s">
        <v>60</v>
      </c>
      <c r="B5" s="1" t="s">
        <v>61</v>
      </c>
      <c r="C5">
        <v>44</v>
      </c>
      <c r="D5" s="1" t="s">
        <v>25</v>
      </c>
      <c r="E5" s="1" t="s">
        <v>26</v>
      </c>
      <c r="F5" s="1" t="s">
        <v>63</v>
      </c>
      <c r="G5" s="2">
        <v>46179</v>
      </c>
      <c r="H5" s="2">
        <v>46181</v>
      </c>
      <c r="I5" s="1" t="s">
        <v>53</v>
      </c>
      <c r="J5" s="1" t="s">
        <v>141</v>
      </c>
      <c r="K5" s="1" t="s">
        <v>81</v>
      </c>
      <c r="L5" s="1" t="s">
        <v>66</v>
      </c>
      <c r="M5" s="1" t="s">
        <v>2078</v>
      </c>
      <c r="N5">
        <v>20535.25</v>
      </c>
      <c r="O5">
        <v>16390.43</v>
      </c>
      <c r="P5">
        <v>48327.68</v>
      </c>
      <c r="Q5">
        <v>2</v>
      </c>
      <c r="R5">
        <v>8</v>
      </c>
      <c r="S5">
        <v>4.2</v>
      </c>
      <c r="T5" s="1" t="s">
        <v>46</v>
      </c>
      <c r="U5" s="1" t="s">
        <v>35</v>
      </c>
      <c r="V5" s="1" t="s">
        <v>130</v>
      </c>
      <c r="W5" s="1" t="s">
        <v>12</v>
      </c>
      <c r="X5">
        <v>85253.36</v>
      </c>
      <c r="Y5" s="1" t="s">
        <v>2079</v>
      </c>
      <c r="Z5" s="1" t="s">
        <v>2083</v>
      </c>
      <c r="AF5" t="s">
        <v>2095</v>
      </c>
      <c r="AI5" t="s">
        <v>2107</v>
      </c>
      <c r="AL5" t="str">
        <v>Pediatrics</v>
      </c>
      <c r="AM5">
        <f>AVERAGEIFS(dirty_patient_hospital_dataset_1000_rows__2_1_1[[#All],[Patient_Rating]],dirty_patient_hospital_dataset_1000_rows__2_1_1[[#All],[Department]],"pediatrics")</f>
        <v>3.7025641025641014</v>
      </c>
      <c r="AO5" t="str">
        <v>Dr. Musa</v>
      </c>
      <c r="AP5" t="str">
        <f>INDEX(dirty_patient_hospital_dataset_1000_rows__2_1_1[[#All],[Department]],MATCH("Dr. Musa",dirty_patient_hospital_dataset_1000_rows__2_1_1[[#All],[Doctor]]))</f>
        <v>General Medicine</v>
      </c>
      <c r="AR5" t="str">
        <v>Dr. Musa</v>
      </c>
      <c r="AS5">
        <f>COUNTIF(dirty_patient_hospital_dataset_1000_rows__2_1_1[[#All],[Doctor]],AR5)</f>
        <v>71</v>
      </c>
      <c r="AT5" t="str">
        <v>Dr. Chukwu</v>
      </c>
      <c r="AU5">
        <v>74</v>
      </c>
    </row>
    <row r="6" spans="1:47" x14ac:dyDescent="0.35">
      <c r="A6" s="1" t="s">
        <v>69</v>
      </c>
      <c r="B6" s="1" t="s">
        <v>70</v>
      </c>
      <c r="C6">
        <v>36</v>
      </c>
      <c r="D6" s="1" t="s">
        <v>25</v>
      </c>
      <c r="E6" s="1" t="s">
        <v>2084</v>
      </c>
      <c r="F6" s="1" t="s">
        <v>63</v>
      </c>
      <c r="G6" s="2">
        <v>45568</v>
      </c>
      <c r="H6" s="2">
        <v>45570</v>
      </c>
      <c r="I6" s="1" t="s">
        <v>53</v>
      </c>
      <c r="J6" s="1" t="s">
        <v>30</v>
      </c>
      <c r="K6" s="1" t="s">
        <v>81</v>
      </c>
      <c r="L6" s="1" t="s">
        <v>44</v>
      </c>
      <c r="M6" s="1" t="s">
        <v>2085</v>
      </c>
      <c r="N6">
        <v>135761.07</v>
      </c>
      <c r="O6">
        <v>76306.95</v>
      </c>
      <c r="P6">
        <v>44595.08</v>
      </c>
      <c r="Q6">
        <v>2</v>
      </c>
      <c r="R6">
        <v>15</v>
      </c>
      <c r="S6">
        <v>4.8</v>
      </c>
      <c r="T6" s="1" t="s">
        <v>46</v>
      </c>
      <c r="U6" s="1" t="s">
        <v>95</v>
      </c>
      <c r="V6" s="1" t="s">
        <v>75</v>
      </c>
      <c r="W6" s="1" t="s">
        <v>59</v>
      </c>
      <c r="X6">
        <v>256663.10000000003</v>
      </c>
      <c r="Y6" s="1" t="s">
        <v>2079</v>
      </c>
      <c r="Z6" s="1" t="s">
        <v>2083</v>
      </c>
      <c r="AF6">
        <f>AVERAGE(dirty_patient_hospital_dataset_1000_rows__2_1_1[[#All],[Waiting_Time]])</f>
        <v>100.2313341493268</v>
      </c>
      <c r="AI6">
        <f>COUNTIF(dirty_patient_hospital_dataset_1000_rows__2_1_1[[#All],[Payment_Status]],"partial")+COUNTIF(dirty_patient_hospital_dataset_1000_rows__2_1_1[[#All],[Payment_Status]],"Pending")/COUNTA(dirty_patient_hospital_dataset_1000_rows__2_1_1[Patient_ID])</f>
        <v>300.33782129742963</v>
      </c>
      <c r="AL6" t="str">
        <v>Surgery</v>
      </c>
      <c r="AM6">
        <f>AVERAGEIFS(dirty_patient_hospital_dataset_1000_rows__2_1_1[[#All],[Patient_Rating]],dirty_patient_hospital_dataset_1000_rows__2_1_1[[#All],[Department]],"surgery")</f>
        <v>3.6357142857142852</v>
      </c>
      <c r="AO6" t="str">
        <v>Dr. Chukwu</v>
      </c>
      <c r="AP6" t="str">
        <f>INDEX(dirty_patient_hospital_dataset_1000_rows__2_1_1[[#All],[Department]],MATCH("Dr. Chukwu",dirty_patient_hospital_dataset_1000_rows__2_1_1[[#All],[Doctor]]))</f>
        <v>Maternity</v>
      </c>
      <c r="AR6" t="str">
        <v>Dr. Chukwu</v>
      </c>
      <c r="AS6">
        <f>COUNTIF(dirty_patient_hospital_dataset_1000_rows__2_1_1[[#All],[Doctor]],AR6)</f>
        <v>74</v>
      </c>
      <c r="AT6" t="str">
        <v>Dr. Balogun</v>
      </c>
      <c r="AU6">
        <v>74</v>
      </c>
    </row>
    <row r="7" spans="1:47" x14ac:dyDescent="0.35">
      <c r="A7" s="1" t="s">
        <v>76</v>
      </c>
      <c r="B7" s="1" t="s">
        <v>77</v>
      </c>
      <c r="C7">
        <v>47</v>
      </c>
      <c r="D7" s="1" t="s">
        <v>119</v>
      </c>
      <c r="E7" s="1" t="s">
        <v>40</v>
      </c>
      <c r="F7" s="1" t="s">
        <v>227</v>
      </c>
      <c r="G7" s="2">
        <v>45563</v>
      </c>
      <c r="H7" s="2">
        <v>45564</v>
      </c>
      <c r="I7" s="1" t="s">
        <v>29</v>
      </c>
      <c r="J7" s="1" t="s">
        <v>87</v>
      </c>
      <c r="K7" s="1" t="s">
        <v>81</v>
      </c>
      <c r="L7" s="1" t="s">
        <v>44</v>
      </c>
      <c r="M7" s="1" t="s">
        <v>2086</v>
      </c>
      <c r="N7">
        <v>0</v>
      </c>
      <c r="O7">
        <v>0</v>
      </c>
      <c r="P7">
        <v>50905.84</v>
      </c>
      <c r="Q7">
        <v>1</v>
      </c>
      <c r="R7">
        <v>150</v>
      </c>
      <c r="S7">
        <v>3.9</v>
      </c>
      <c r="T7" s="1" t="s">
        <v>46</v>
      </c>
      <c r="U7" s="1" t="s">
        <v>35</v>
      </c>
      <c r="V7" s="1" t="s">
        <v>130</v>
      </c>
      <c r="W7" s="1" t="s">
        <v>83</v>
      </c>
      <c r="X7">
        <v>50905.84</v>
      </c>
      <c r="Y7" s="1" t="s">
        <v>2079</v>
      </c>
      <c r="Z7" s="1" t="s">
        <v>2080</v>
      </c>
      <c r="AI7" s="3">
        <f>AI6/817</f>
        <v>0.36761055238363477</v>
      </c>
      <c r="AL7" t="str">
        <v>Cardiology</v>
      </c>
      <c r="AM7">
        <f>AVERAGEIFS(dirty_patient_hospital_dataset_1000_rows__2_1_1[[#All],[Patient_Rating]],dirty_patient_hospital_dataset_1000_rows__2_1_1[[#All],[Department]],"cardiology")</f>
        <v>3.7485714285714282</v>
      </c>
      <c r="AO7" t="str">
        <v>Dr. Okafor</v>
      </c>
      <c r="AP7" t="str">
        <f>INDEX(dirty_patient_hospital_dataset_1000_rows__2_1_1[[#All],[Department]],MATCH("Dr. Okafor",dirty_patient_hospital_dataset_1000_rows__2_1_1[[#All],[Doctor]]))</f>
        <v>Surgery</v>
      </c>
      <c r="AR7" t="str">
        <v>Dr. Okafor</v>
      </c>
      <c r="AS7">
        <f>COUNTIF(dirty_patient_hospital_dataset_1000_rows__2_1_1[[#All],[Doctor]],AR7)</f>
        <v>153</v>
      </c>
      <c r="AT7" t="str">
        <v>Dr. Adebayo</v>
      </c>
      <c r="AU7">
        <v>73</v>
      </c>
    </row>
    <row r="8" spans="1:47" x14ac:dyDescent="0.35">
      <c r="A8" s="1" t="s">
        <v>84</v>
      </c>
      <c r="B8" s="1" t="s">
        <v>85</v>
      </c>
      <c r="C8">
        <v>36</v>
      </c>
      <c r="D8" s="1" t="s">
        <v>119</v>
      </c>
      <c r="E8" s="1" t="s">
        <v>86</v>
      </c>
      <c r="F8" s="1" t="s">
        <v>87</v>
      </c>
      <c r="G8" s="2">
        <v>45988</v>
      </c>
      <c r="H8" s="2">
        <v>45990</v>
      </c>
      <c r="I8" s="1" t="s">
        <v>273</v>
      </c>
      <c r="J8" s="1" t="s">
        <v>90</v>
      </c>
      <c r="K8" s="1" t="s">
        <v>91</v>
      </c>
      <c r="L8" s="1" t="s">
        <v>32</v>
      </c>
      <c r="M8" s="1" t="s">
        <v>2087</v>
      </c>
      <c r="N8">
        <v>13006.92</v>
      </c>
      <c r="O8">
        <v>12003.89</v>
      </c>
      <c r="P8">
        <v>31180.84</v>
      </c>
      <c r="Q8">
        <v>2</v>
      </c>
      <c r="R8">
        <v>174</v>
      </c>
      <c r="S8">
        <v>4.0999999999999996</v>
      </c>
      <c r="T8" s="1" t="s">
        <v>34</v>
      </c>
      <c r="U8" s="1" t="s">
        <v>95</v>
      </c>
      <c r="V8" s="1" t="s">
        <v>75</v>
      </c>
      <c r="W8" s="1" t="s">
        <v>83</v>
      </c>
      <c r="X8">
        <v>56191.649999999994</v>
      </c>
      <c r="Y8" s="1" t="s">
        <v>2079</v>
      </c>
      <c r="Z8" s="1" t="s">
        <v>2080</v>
      </c>
      <c r="AF8" t="s">
        <v>2096</v>
      </c>
      <c r="AL8" t="str">
        <v>Orthopedics</v>
      </c>
      <c r="AM8">
        <f>AVERAGEIFS(dirty_patient_hospital_dataset_1000_rows__2_1_1[[#All],[Patient_Rating]],dirty_patient_hospital_dataset_1000_rows__2_1_1[[#All],[Department]],"orthopedics")</f>
        <v>3.6106060606060604</v>
      </c>
      <c r="AO8" t="str">
        <v>Dr. Yusuf</v>
      </c>
      <c r="AP8" t="str">
        <f>INDEX(dirty_patient_hospital_dataset_1000_rows__2_1_1[[#All],[Department]],MATCH("Dr. Yusuf",dirty_patient_hospital_dataset_1000_rows__2_1_1[[#All],[Doctor]]))</f>
        <v>Cardiology</v>
      </c>
      <c r="AR8" t="str">
        <v>Dr. Yusuf</v>
      </c>
      <c r="AS8">
        <f>COUNTIF(dirty_patient_hospital_dataset_1000_rows__2_1_1[[#All],[Doctor]],AR8)</f>
        <v>53</v>
      </c>
      <c r="AT8" t="str">
        <v>Dr. Musa</v>
      </c>
      <c r="AU8">
        <v>71</v>
      </c>
    </row>
    <row r="9" spans="1:47" x14ac:dyDescent="0.35">
      <c r="A9" s="1" t="s">
        <v>96</v>
      </c>
      <c r="B9" s="1" t="s">
        <v>97</v>
      </c>
      <c r="C9">
        <v>50</v>
      </c>
      <c r="D9" s="1" t="s">
        <v>119</v>
      </c>
      <c r="E9" s="1" t="s">
        <v>86</v>
      </c>
      <c r="F9" s="1" t="s">
        <v>120</v>
      </c>
      <c r="G9" s="2">
        <v>46028</v>
      </c>
      <c r="H9" s="2">
        <v>46029</v>
      </c>
      <c r="I9" s="1" t="s">
        <v>100</v>
      </c>
      <c r="J9" s="1" t="s">
        <v>54</v>
      </c>
      <c r="K9" s="1" t="s">
        <v>55</v>
      </c>
      <c r="L9" s="1" t="s">
        <v>32</v>
      </c>
      <c r="M9" s="1" t="s">
        <v>57</v>
      </c>
      <c r="N9">
        <v>166088.48000000001</v>
      </c>
      <c r="O9">
        <v>13076.95</v>
      </c>
      <c r="P9">
        <v>63350.29</v>
      </c>
      <c r="Q9">
        <v>1</v>
      </c>
      <c r="R9">
        <v>172</v>
      </c>
      <c r="S9">
        <v>4.9000000000000004</v>
      </c>
      <c r="T9" s="1" t="s">
        <v>46</v>
      </c>
      <c r="U9" s="1" t="s">
        <v>101</v>
      </c>
      <c r="V9" s="1" t="s">
        <v>102</v>
      </c>
      <c r="W9" s="1" t="s">
        <v>83</v>
      </c>
      <c r="X9">
        <v>242515.72000000003</v>
      </c>
      <c r="Y9" s="1" t="s">
        <v>2079</v>
      </c>
      <c r="Z9" s="1" t="s">
        <v>2080</v>
      </c>
      <c r="AF9">
        <f>AVERAGE(dirty_patient_hospital_dataset_1000_rows__2_1_1[[#All],[Length_of_Stay]])</f>
        <v>3.5801713586291308</v>
      </c>
      <c r="AL9" t="str">
        <v>Neurology</v>
      </c>
      <c r="AM9">
        <f>AVERAGEIFS(dirty_patient_hospital_dataset_1000_rows__2_1_1[[#All],[Patient_Rating]],dirty_patient_hospital_dataset_1000_rows__2_1_1[[#All],[Department]],"neurology")</f>
        <v>3.4656249999999997</v>
      </c>
      <c r="AO9" t="str">
        <v>Dr. Balogun</v>
      </c>
      <c r="AP9" t="str">
        <f>INDEX(dirty_patient_hospital_dataset_1000_rows__2_1_1[[#All],[Department]],MATCH("Dr. Balogun",dirty_patient_hospital_dataset_1000_rows__2_1_1[[#All],[Doctor]]))</f>
        <v>Maternity</v>
      </c>
      <c r="AR9" t="str">
        <v>Dr. Balogun</v>
      </c>
      <c r="AS9">
        <f>COUNTIF(dirty_patient_hospital_dataset_1000_rows__2_1_1[[#All],[Doctor]],AR9)</f>
        <v>74</v>
      </c>
      <c r="AT9" t="str">
        <v>Dr. Ibrahim</v>
      </c>
      <c r="AU9">
        <v>66</v>
      </c>
    </row>
    <row r="10" spans="1:47" x14ac:dyDescent="0.35">
      <c r="A10" s="1" t="s">
        <v>104</v>
      </c>
      <c r="B10" s="1" t="s">
        <v>105</v>
      </c>
      <c r="C10">
        <v>36</v>
      </c>
      <c r="D10" s="1" t="s">
        <v>25</v>
      </c>
      <c r="E10" s="1" t="s">
        <v>107</v>
      </c>
      <c r="F10" s="1" t="s">
        <v>108</v>
      </c>
      <c r="G10" s="2">
        <v>45406</v>
      </c>
      <c r="H10" s="2">
        <v>45407</v>
      </c>
      <c r="I10" s="1" t="s">
        <v>53</v>
      </c>
      <c r="J10" s="1" t="s">
        <v>30</v>
      </c>
      <c r="K10" s="1" t="s">
        <v>81</v>
      </c>
      <c r="L10" s="1" t="s">
        <v>44</v>
      </c>
      <c r="M10" s="1" t="s">
        <v>57</v>
      </c>
      <c r="N10">
        <v>266376.88</v>
      </c>
      <c r="O10">
        <v>54388.63</v>
      </c>
      <c r="P10">
        <v>30624.77</v>
      </c>
      <c r="Q10">
        <v>1</v>
      </c>
      <c r="R10">
        <v>81</v>
      </c>
      <c r="S10">
        <v>2.2999999999999998</v>
      </c>
      <c r="T10" s="1" t="s">
        <v>46</v>
      </c>
      <c r="U10" s="1" t="s">
        <v>101</v>
      </c>
      <c r="V10" s="1" t="s">
        <v>75</v>
      </c>
      <c r="W10" s="1" t="s">
        <v>83</v>
      </c>
      <c r="X10">
        <v>351390.28</v>
      </c>
      <c r="Y10" s="1" t="s">
        <v>2079</v>
      </c>
      <c r="Z10" s="1" t="s">
        <v>2080</v>
      </c>
      <c r="AL10" t="str">
        <v>Oncology</v>
      </c>
      <c r="AM10">
        <f>AVERAGEIFS(dirty_patient_hospital_dataset_1000_rows__2_1_1[[#All],[Patient_Rating]],dirty_patient_hospital_dataset_1000_rows__2_1_1[[#All],[Department]],"oncology")</f>
        <v>3.448051948051948</v>
      </c>
      <c r="AO10" t="str">
        <v>Dr. Eze</v>
      </c>
      <c r="AP10" t="str">
        <f>INDEX(dirty_patient_hospital_dataset_1000_rows__2_1_1[[#All],[Department]],MATCH("Dr. Eze",dirty_patient_hospital_dataset_1000_rows__2_1_1[[#All],[Doctor]]))</f>
        <v>Maternity</v>
      </c>
      <c r="AR10" t="str">
        <v>Dr. Eze</v>
      </c>
      <c r="AS10">
        <f>COUNTIF(dirty_patient_hospital_dataset_1000_rows__2_1_1[[#All],[Doctor]],AR10)</f>
        <v>64</v>
      </c>
      <c r="AT10" t="str">
        <v>Dr. Eze</v>
      </c>
      <c r="AU10">
        <v>64</v>
      </c>
    </row>
    <row r="11" spans="1:47" x14ac:dyDescent="0.35">
      <c r="A11" s="1" t="s">
        <v>110</v>
      </c>
      <c r="B11" s="1" t="s">
        <v>111</v>
      </c>
      <c r="C11">
        <v>60</v>
      </c>
      <c r="D11" s="1" t="s">
        <v>25</v>
      </c>
      <c r="E11" s="1" t="s">
        <v>112</v>
      </c>
      <c r="F11" s="1" t="s">
        <v>227</v>
      </c>
      <c r="G11" s="2">
        <v>45903</v>
      </c>
      <c r="H11" s="2">
        <v>45726</v>
      </c>
      <c r="I11" s="1" t="s">
        <v>114</v>
      </c>
      <c r="J11" s="1" t="s">
        <v>115</v>
      </c>
      <c r="K11" s="1" t="s">
        <v>148</v>
      </c>
      <c r="L11" s="1" t="s">
        <v>44</v>
      </c>
      <c r="M11" s="1" t="s">
        <v>2085</v>
      </c>
      <c r="N11">
        <v>409873.6</v>
      </c>
      <c r="O11">
        <v>28199.75</v>
      </c>
      <c r="P11">
        <v>75105.990000000005</v>
      </c>
      <c r="Q11">
        <v>1</v>
      </c>
      <c r="R11">
        <v>122</v>
      </c>
      <c r="S11">
        <v>3.8</v>
      </c>
      <c r="T11" s="1" t="s">
        <v>46</v>
      </c>
      <c r="U11" s="1" t="s">
        <v>101</v>
      </c>
      <c r="V11" s="1" t="s">
        <v>75</v>
      </c>
      <c r="W11" s="1" t="s">
        <v>59</v>
      </c>
      <c r="X11">
        <v>513179.33999999997</v>
      </c>
      <c r="Y11" s="1" t="s">
        <v>2088</v>
      </c>
      <c r="Z11" s="1" t="s">
        <v>2080</v>
      </c>
      <c r="AL11" t="str">
        <v>Maternity</v>
      </c>
      <c r="AM11">
        <f>AVERAGEIFS(dirty_patient_hospital_dataset_1000_rows__2_1_1[[#All],[Patient_Rating]],dirty_patient_hospital_dataset_1000_rows__2_1_1[[#All],[Department]],"maternity")</f>
        <v>3.8151898734177214</v>
      </c>
      <c r="AO11" t="str">
        <v>Dr. Adebayo</v>
      </c>
      <c r="AP11" t="str">
        <f>INDEX(dirty_patient_hospital_dataset_1000_rows__2_1_1[[#All],[Department]],MATCH("Dr. Adebayo",dirty_patient_hospital_dataset_1000_rows__2_1_1[[#All],[Doctor]]))</f>
        <v>Neurology</v>
      </c>
      <c r="AR11" t="str">
        <v>Dr. Adebayo</v>
      </c>
      <c r="AS11">
        <f>COUNTIF(dirty_patient_hospital_dataset_1000_rows__2_1_1[[#All],[Doctor]],AR11)</f>
        <v>73</v>
      </c>
      <c r="AT11" t="str">
        <v>Dr. Bello</v>
      </c>
      <c r="AU11">
        <v>63</v>
      </c>
    </row>
    <row r="12" spans="1:47" x14ac:dyDescent="0.35">
      <c r="A12" s="1" t="s">
        <v>117</v>
      </c>
      <c r="B12" s="1" t="s">
        <v>118</v>
      </c>
      <c r="C12">
        <v>76</v>
      </c>
      <c r="D12" s="1" t="s">
        <v>119</v>
      </c>
      <c r="E12" s="1" t="s">
        <v>40</v>
      </c>
      <c r="F12" s="1" t="s">
        <v>120</v>
      </c>
      <c r="G12" s="2">
        <v>46016</v>
      </c>
      <c r="H12" s="2">
        <v>46020</v>
      </c>
      <c r="I12" s="1" t="s">
        <v>53</v>
      </c>
      <c r="J12" s="1" t="s">
        <v>115</v>
      </c>
      <c r="K12" s="1" t="s">
        <v>122</v>
      </c>
      <c r="L12" s="1" t="s">
        <v>44</v>
      </c>
      <c r="M12" s="1" t="s">
        <v>2089</v>
      </c>
      <c r="N12">
        <v>214984.35</v>
      </c>
      <c r="O12">
        <v>69116.09</v>
      </c>
      <c r="P12">
        <v>0</v>
      </c>
      <c r="Q12">
        <v>4</v>
      </c>
      <c r="R12">
        <v>156</v>
      </c>
      <c r="S12">
        <v>3.8</v>
      </c>
      <c r="T12" s="1" t="s">
        <v>46</v>
      </c>
      <c r="U12" s="1" t="s">
        <v>95</v>
      </c>
      <c r="V12" s="1" t="s">
        <v>75</v>
      </c>
      <c r="W12" s="1" t="s">
        <v>59</v>
      </c>
      <c r="X12">
        <v>284100.44</v>
      </c>
      <c r="Y12" s="1" t="s">
        <v>2088</v>
      </c>
      <c r="Z12" s="1" t="s">
        <v>2080</v>
      </c>
      <c r="AO12" t="str">
        <v>Dr. Bello</v>
      </c>
      <c r="AP12" t="str">
        <f>INDEX(dirty_patient_hospital_dataset_1000_rows__2_1_1[[#All],[Department]],MATCH("Dr. Bello",dirty_patient_hospital_dataset_1000_rows__2_1_1[[#All],[Doctor]]))</f>
        <v>Maternity</v>
      </c>
      <c r="AR12" t="str">
        <v>Dr. Bello</v>
      </c>
      <c r="AS12">
        <f>COUNTIF(dirty_patient_hospital_dataset_1000_rows__2_1_1[[#All],[Doctor]],AR12)</f>
        <v>63</v>
      </c>
      <c r="AT12" t="str">
        <v>Dr. Yusuf</v>
      </c>
      <c r="AU12">
        <v>53</v>
      </c>
    </row>
    <row r="13" spans="1:47" x14ac:dyDescent="0.35">
      <c r="A13" s="1" t="s">
        <v>124</v>
      </c>
      <c r="B13" s="1" t="s">
        <v>125</v>
      </c>
      <c r="C13">
        <v>45</v>
      </c>
      <c r="D13" s="1" t="s">
        <v>119</v>
      </c>
      <c r="E13" s="1" t="s">
        <v>112</v>
      </c>
      <c r="F13" s="1" t="s">
        <v>120</v>
      </c>
      <c r="G13" s="2">
        <v>46118</v>
      </c>
      <c r="H13" s="2">
        <v>46120</v>
      </c>
      <c r="I13" s="1" t="s">
        <v>127</v>
      </c>
      <c r="J13" s="1" t="s">
        <v>141</v>
      </c>
      <c r="K13" s="1" t="s">
        <v>128</v>
      </c>
      <c r="L13" s="1" t="s">
        <v>66</v>
      </c>
      <c r="M13" s="1" t="s">
        <v>2086</v>
      </c>
      <c r="N13">
        <v>0</v>
      </c>
      <c r="O13">
        <v>24508.2</v>
      </c>
      <c r="P13">
        <v>55713.38</v>
      </c>
      <c r="Q13">
        <v>2</v>
      </c>
      <c r="R13">
        <v>205</v>
      </c>
      <c r="S13">
        <v>3</v>
      </c>
      <c r="T13" s="1" t="s">
        <v>34</v>
      </c>
      <c r="U13" s="1" t="s">
        <v>95</v>
      </c>
      <c r="V13" s="1" t="s">
        <v>130</v>
      </c>
      <c r="W13" s="1" t="s">
        <v>131</v>
      </c>
      <c r="X13">
        <v>80221.58</v>
      </c>
      <c r="Y13" s="1" t="s">
        <v>2079</v>
      </c>
      <c r="Z13" s="1" t="s">
        <v>2080</v>
      </c>
    </row>
    <row r="14" spans="1:47" x14ac:dyDescent="0.35">
      <c r="A14" s="1" t="s">
        <v>132</v>
      </c>
      <c r="B14" s="1" t="s">
        <v>133</v>
      </c>
      <c r="C14">
        <v>31</v>
      </c>
      <c r="D14" s="1" t="s">
        <v>119</v>
      </c>
      <c r="E14" s="1" t="s">
        <v>26</v>
      </c>
      <c r="F14" s="1" t="s">
        <v>135</v>
      </c>
      <c r="G14" s="2">
        <v>45751</v>
      </c>
      <c r="H14" s="2">
        <v>45752</v>
      </c>
      <c r="I14" s="1" t="s">
        <v>29</v>
      </c>
      <c r="J14" s="1" t="s">
        <v>137</v>
      </c>
      <c r="K14" s="1" t="s">
        <v>31</v>
      </c>
      <c r="L14" s="1" t="s">
        <v>66</v>
      </c>
      <c r="M14" s="1" t="s">
        <v>57</v>
      </c>
      <c r="N14">
        <v>348156.3</v>
      </c>
      <c r="O14">
        <v>38218.78</v>
      </c>
      <c r="P14">
        <v>29107.19</v>
      </c>
      <c r="Q14">
        <v>1</v>
      </c>
      <c r="R14">
        <v>133</v>
      </c>
      <c r="S14">
        <v>3.8</v>
      </c>
      <c r="T14" s="1" t="s">
        <v>34</v>
      </c>
      <c r="U14" s="1" t="s">
        <v>35</v>
      </c>
      <c r="V14" s="1" t="s">
        <v>130</v>
      </c>
      <c r="W14" s="1" t="s">
        <v>131</v>
      </c>
      <c r="X14">
        <v>415482.26999999996</v>
      </c>
      <c r="Y14" s="1" t="s">
        <v>2082</v>
      </c>
      <c r="Z14" s="1" t="s">
        <v>2080</v>
      </c>
      <c r="AI14" t="s">
        <v>2109</v>
      </c>
      <c r="AO14" t="s">
        <v>2112</v>
      </c>
    </row>
    <row r="15" spans="1:47" x14ac:dyDescent="0.35">
      <c r="A15" s="1" t="s">
        <v>138</v>
      </c>
      <c r="B15" s="1" t="s">
        <v>139</v>
      </c>
      <c r="C15">
        <v>27</v>
      </c>
      <c r="D15" s="1" t="s">
        <v>119</v>
      </c>
      <c r="E15" s="1" t="s">
        <v>51</v>
      </c>
      <c r="F15" s="1" t="s">
        <v>135</v>
      </c>
      <c r="G15" s="2">
        <v>46177</v>
      </c>
      <c r="H15" s="2">
        <v>46183</v>
      </c>
      <c r="I15" s="1" t="s">
        <v>273</v>
      </c>
      <c r="J15" s="1" t="s">
        <v>141</v>
      </c>
      <c r="K15" s="1" t="s">
        <v>128</v>
      </c>
      <c r="L15" s="1" t="s">
        <v>66</v>
      </c>
      <c r="M15" s="1" t="s">
        <v>2090</v>
      </c>
      <c r="N15">
        <v>174127.3</v>
      </c>
      <c r="O15">
        <v>20197.3</v>
      </c>
      <c r="P15">
        <v>1094.55</v>
      </c>
      <c r="Q15">
        <v>6</v>
      </c>
      <c r="R15">
        <v>117</v>
      </c>
      <c r="S15">
        <v>4</v>
      </c>
      <c r="T15" s="1" t="s">
        <v>46</v>
      </c>
      <c r="U15" s="1" t="s">
        <v>35</v>
      </c>
      <c r="V15" s="1" t="s">
        <v>130</v>
      </c>
      <c r="W15" s="1" t="s">
        <v>83</v>
      </c>
      <c r="X15">
        <v>195419.14999999997</v>
      </c>
      <c r="Y15" s="1" t="s">
        <v>2082</v>
      </c>
      <c r="Z15" s="1" t="s">
        <v>2080</v>
      </c>
      <c r="AE15" t="s">
        <v>2103</v>
      </c>
      <c r="AI15" t="str" cm="1">
        <f t="array" ref="AI15:AI24">_xlfn.UNIQUE(dirty_patient_hospital_dataset_1000_rows__2_1_1[[#All],[Department]])</f>
        <v>Department</v>
      </c>
      <c r="AO15" t="str" cm="1">
        <f t="array" ref="AO15:AO832">_xlfn._xlws.FILTER(dirty_patient_hospital_dataset_1000_rows__2_1_1[[#All],[Patient_ID]],dirty_patient_hospital_dataset_1000_rows__2_1_1[[#All],[Admission_Type]]&gt;500000)</f>
        <v>Patient_ID</v>
      </c>
    </row>
    <row r="16" spans="1:47" x14ac:dyDescent="0.35">
      <c r="A16" s="1" t="s">
        <v>143</v>
      </c>
      <c r="B16" s="1" t="s">
        <v>144</v>
      </c>
      <c r="C16">
        <v>37</v>
      </c>
      <c r="D16" s="1" t="s">
        <v>119</v>
      </c>
      <c r="E16" s="1" t="s">
        <v>51</v>
      </c>
      <c r="F16" s="1" t="s">
        <v>145</v>
      </c>
      <c r="G16" s="2">
        <v>45350</v>
      </c>
      <c r="H16" s="2">
        <v>45353</v>
      </c>
      <c r="I16" s="1" t="s">
        <v>273</v>
      </c>
      <c r="J16" s="1" t="s">
        <v>147</v>
      </c>
      <c r="K16" s="1" t="s">
        <v>148</v>
      </c>
      <c r="L16" s="1" t="s">
        <v>32</v>
      </c>
      <c r="M16" s="1" t="s">
        <v>57</v>
      </c>
      <c r="N16">
        <v>21848.1</v>
      </c>
      <c r="O16">
        <v>19483.87</v>
      </c>
      <c r="P16">
        <v>34718.559999999998</v>
      </c>
      <c r="Q16">
        <v>3</v>
      </c>
      <c r="R16">
        <v>34</v>
      </c>
      <c r="S16">
        <v>3.5</v>
      </c>
      <c r="T16" s="1" t="s">
        <v>46</v>
      </c>
      <c r="U16" s="1" t="s">
        <v>149</v>
      </c>
      <c r="V16" s="1" t="s">
        <v>75</v>
      </c>
      <c r="W16" s="1" t="s">
        <v>131</v>
      </c>
      <c r="X16">
        <v>76050.53</v>
      </c>
      <c r="Y16" s="1" t="s">
        <v>2079</v>
      </c>
      <c r="Z16" s="1" t="s">
        <v>2091</v>
      </c>
      <c r="AE16" t="s">
        <v>2097</v>
      </c>
      <c r="AF16">
        <f>COUNTIFS(dirty_patient_hospital_dataset_1000_rows__2_1_1[[#All],[Admission_Type]],"Emergency",dirty_patient_hospital_dataset_1000_rows__2_1_1[[#All],[Department]],"Oncology")</f>
        <v>29</v>
      </c>
      <c r="AI16" t="str">
        <v>General Medicine</v>
      </c>
      <c r="AJ16">
        <f>SUMIF(dirty_patient_hospital_dataset_1000_rows__2_1_1[[#All],[Department]],"general medicine",dirty_patient_hospital_dataset_1000_rows__2_1_1[[#All],[Billing_Amount]])</f>
        <v>36532129.330000006</v>
      </c>
      <c r="AO16" t="str">
        <v>P00001</v>
      </c>
    </row>
    <row r="17" spans="1:41" x14ac:dyDescent="0.35">
      <c r="A17" s="1" t="s">
        <v>155</v>
      </c>
      <c r="B17" s="1" t="s">
        <v>156</v>
      </c>
      <c r="C17">
        <v>92</v>
      </c>
      <c r="D17" s="1" t="s">
        <v>119</v>
      </c>
      <c r="E17" s="1" t="s">
        <v>157</v>
      </c>
      <c r="F17" s="1" t="s">
        <v>120</v>
      </c>
      <c r="G17" s="2">
        <v>45301</v>
      </c>
      <c r="H17" s="2">
        <v>45304</v>
      </c>
      <c r="I17" s="1" t="s">
        <v>159</v>
      </c>
      <c r="J17" s="1" t="s">
        <v>54</v>
      </c>
      <c r="K17" s="1" t="s">
        <v>153</v>
      </c>
      <c r="L17" s="1" t="s">
        <v>32</v>
      </c>
      <c r="M17" s="1" t="s">
        <v>2085</v>
      </c>
      <c r="N17">
        <v>193069.46</v>
      </c>
      <c r="O17">
        <v>37538.68</v>
      </c>
      <c r="P17">
        <v>43958.65</v>
      </c>
      <c r="Q17">
        <v>3</v>
      </c>
      <c r="R17">
        <v>7</v>
      </c>
      <c r="S17">
        <v>5</v>
      </c>
      <c r="T17" s="1" t="s">
        <v>46</v>
      </c>
      <c r="U17" s="1" t="s">
        <v>101</v>
      </c>
      <c r="V17" s="1" t="s">
        <v>102</v>
      </c>
      <c r="W17" s="1" t="s">
        <v>12</v>
      </c>
      <c r="X17">
        <v>274566.78999999998</v>
      </c>
      <c r="Y17" s="1" t="s">
        <v>2088</v>
      </c>
      <c r="Z17" s="1" t="s">
        <v>2083</v>
      </c>
      <c r="AE17" t="s">
        <v>2098</v>
      </c>
      <c r="AF17">
        <f>COUNTIFS(dirty_patient_hospital_dataset_1000_rows__2_1_1[[#All],[Admission_Type]],"Emergency",dirty_patient_hospital_dataset_1000_rows__2_1_1[[#All],[Department]],"cardiology")</f>
        <v>48</v>
      </c>
      <c r="AI17" t="str">
        <v>Dermatology</v>
      </c>
      <c r="AJ17">
        <f>SUMIF(dirty_patient_hospital_dataset_1000_rows__2_1_1[[#All],[Department]],"dermatology",dirty_patient_hospital_dataset_1000_rows__2_1_1[[#All],[Billing_Amount]])</f>
        <v>19184590.029999994</v>
      </c>
      <c r="AO17" t="str">
        <v>P00002</v>
      </c>
    </row>
    <row r="18" spans="1:41" x14ac:dyDescent="0.35">
      <c r="A18" s="1" t="s">
        <v>175</v>
      </c>
      <c r="B18" s="1" t="s">
        <v>176</v>
      </c>
      <c r="C18">
        <v>71</v>
      </c>
      <c r="D18" s="1" t="s">
        <v>25</v>
      </c>
      <c r="E18" s="1" t="s">
        <v>177</v>
      </c>
      <c r="F18" s="1" t="s">
        <v>108</v>
      </c>
      <c r="G18" s="2">
        <v>46187</v>
      </c>
      <c r="H18" s="2">
        <v>46190</v>
      </c>
      <c r="I18" s="1" t="s">
        <v>100</v>
      </c>
      <c r="J18" s="1" t="s">
        <v>2081</v>
      </c>
      <c r="K18" s="1" t="s">
        <v>153</v>
      </c>
      <c r="L18" s="1" t="s">
        <v>32</v>
      </c>
      <c r="M18" s="1" t="s">
        <v>2086</v>
      </c>
      <c r="N18">
        <v>0</v>
      </c>
      <c r="O18">
        <v>34615.85</v>
      </c>
      <c r="P18">
        <v>52796.480000000003</v>
      </c>
      <c r="Q18">
        <v>3</v>
      </c>
      <c r="R18">
        <v>153</v>
      </c>
      <c r="S18">
        <v>4</v>
      </c>
      <c r="T18" s="1" t="s">
        <v>34</v>
      </c>
      <c r="U18" s="1" t="s">
        <v>149</v>
      </c>
      <c r="V18" s="1" t="s">
        <v>102</v>
      </c>
      <c r="W18" s="1" t="s">
        <v>131</v>
      </c>
      <c r="X18">
        <v>87412.33</v>
      </c>
      <c r="Y18" s="1" t="s">
        <v>2088</v>
      </c>
      <c r="Z18" s="1" t="s">
        <v>2080</v>
      </c>
      <c r="AE18" t="s">
        <v>2099</v>
      </c>
      <c r="AF18">
        <f>COUNTIFS(dirty_patient_hospital_dataset_1000_rows__2_1_1[[#All],[Admission_Type]],"Emergency",dirty_patient_hospital_dataset_1000_rows__2_1_1[[#All],[Department]],"general medicine")</f>
        <v>73</v>
      </c>
      <c r="AI18" t="str">
        <v>Pediatrics</v>
      </c>
      <c r="AJ18">
        <f>SUMIF(dirty_patient_hospital_dataset_1000_rows__2_1_1[[#All],[Department]],"pediatrics",dirty_patient_hospital_dataset_1000_rows__2_1_1[[#All],[Billing_Amount]])</f>
        <v>17069563.23</v>
      </c>
      <c r="AO18" t="str">
        <v>P00003</v>
      </c>
    </row>
    <row r="19" spans="1:41" x14ac:dyDescent="0.35">
      <c r="A19" s="1" t="s">
        <v>180</v>
      </c>
      <c r="B19" s="1" t="s">
        <v>181</v>
      </c>
      <c r="C19">
        <v>54</v>
      </c>
      <c r="D19" s="1" t="s">
        <v>25</v>
      </c>
      <c r="E19" s="1" t="s">
        <v>112</v>
      </c>
      <c r="F19" s="1" t="s">
        <v>108</v>
      </c>
      <c r="G19" s="2">
        <v>45773</v>
      </c>
      <c r="H19" s="2">
        <v>45774</v>
      </c>
      <c r="I19" s="1" t="s">
        <v>53</v>
      </c>
      <c r="J19" s="1" t="s">
        <v>152</v>
      </c>
      <c r="K19" s="1" t="s">
        <v>153</v>
      </c>
      <c r="L19" s="1" t="s">
        <v>32</v>
      </c>
      <c r="M19" s="1" t="s">
        <v>2092</v>
      </c>
      <c r="N19">
        <v>261577.85</v>
      </c>
      <c r="O19">
        <v>36262.32</v>
      </c>
      <c r="P19">
        <v>55393.45</v>
      </c>
      <c r="Q19">
        <v>1</v>
      </c>
      <c r="R19">
        <v>43</v>
      </c>
      <c r="S19">
        <v>4</v>
      </c>
      <c r="T19" s="1" t="s">
        <v>34</v>
      </c>
      <c r="U19" s="1" t="s">
        <v>95</v>
      </c>
      <c r="V19" s="1" t="s">
        <v>130</v>
      </c>
      <c r="W19" s="1" t="s">
        <v>131</v>
      </c>
      <c r="X19">
        <v>353233.62</v>
      </c>
      <c r="Y19" s="1" t="s">
        <v>2079</v>
      </c>
      <c r="Z19" s="1" t="s">
        <v>2091</v>
      </c>
      <c r="AE19" t="s">
        <v>2100</v>
      </c>
      <c r="AF19">
        <f>COUNTIFS(dirty_patient_hospital_dataset_1000_rows__2_1_1[[#All],[Admission_Type]],"Emergency",dirty_patient_hospital_dataset_1000_rows__2_1_1[[#All],[Department]],"pediatrics")</f>
        <v>34</v>
      </c>
      <c r="AI19" t="str">
        <v>Surgery</v>
      </c>
      <c r="AJ19">
        <f>SUMIF(dirty_patient_hospital_dataset_1000_rows__2_1_1[[#All],[Department]],"surgery",dirty_patient_hospital_dataset_1000_rows__2_1_1[[#All],[Billing_Amount]])</f>
        <v>15117155.359999996</v>
      </c>
      <c r="AO19" t="str">
        <v>P00004</v>
      </c>
    </row>
    <row r="20" spans="1:41" x14ac:dyDescent="0.35">
      <c r="A20" s="1" t="s">
        <v>184</v>
      </c>
      <c r="B20" s="1" t="s">
        <v>185</v>
      </c>
      <c r="C20">
        <v>27</v>
      </c>
      <c r="D20" s="1" t="s">
        <v>25</v>
      </c>
      <c r="E20" s="1" t="s">
        <v>26</v>
      </c>
      <c r="F20" s="1" t="s">
        <v>120</v>
      </c>
      <c r="G20" s="2">
        <v>45987</v>
      </c>
      <c r="H20" s="2">
        <v>45990</v>
      </c>
      <c r="I20" s="1" t="s">
        <v>29</v>
      </c>
      <c r="J20" s="1" t="s">
        <v>147</v>
      </c>
      <c r="K20" s="1" t="s">
        <v>81</v>
      </c>
      <c r="L20" s="1" t="s">
        <v>66</v>
      </c>
      <c r="M20" s="1" t="s">
        <v>2089</v>
      </c>
      <c r="N20">
        <v>481208.43</v>
      </c>
      <c r="O20">
        <v>41845.82</v>
      </c>
      <c r="P20">
        <v>9260.9</v>
      </c>
      <c r="Q20">
        <v>3</v>
      </c>
      <c r="R20">
        <v>144</v>
      </c>
      <c r="S20">
        <v>5</v>
      </c>
      <c r="T20" s="1" t="s">
        <v>46</v>
      </c>
      <c r="U20" s="1" t="s">
        <v>95</v>
      </c>
      <c r="V20" s="1" t="s">
        <v>102</v>
      </c>
      <c r="W20" s="1" t="s">
        <v>83</v>
      </c>
      <c r="X20">
        <v>532315.15</v>
      </c>
      <c r="Y20" s="1" t="s">
        <v>2082</v>
      </c>
      <c r="Z20" s="1" t="s">
        <v>2080</v>
      </c>
      <c r="AE20" t="s">
        <v>2101</v>
      </c>
      <c r="AF20">
        <f>COUNTIFS(dirty_patient_hospital_dataset_1000_rows__2_1_1[[#All],[Admission_Type]],"Emergency",dirty_patient_hospital_dataset_1000_rows__2_1_1[[#All],[Department]],"neurology")</f>
        <v>27</v>
      </c>
      <c r="AI20" t="str">
        <v>Cardiology</v>
      </c>
      <c r="AJ20">
        <f>SUMIF(dirty_patient_hospital_dataset_1000_rows__2_1_1[[#All],[Department]],"cardiology",dirty_patient_hospital_dataset_1000_rows__2_1_1[[#All],[Billing_Amount]])</f>
        <v>29862558.259999994</v>
      </c>
      <c r="AO20" t="str">
        <v>P00005</v>
      </c>
    </row>
    <row r="21" spans="1:41" x14ac:dyDescent="0.35">
      <c r="A21" s="1" t="s">
        <v>187</v>
      </c>
      <c r="B21" s="1" t="s">
        <v>188</v>
      </c>
      <c r="C21">
        <v>68</v>
      </c>
      <c r="D21" s="1" t="s">
        <v>119</v>
      </c>
      <c r="E21" s="1" t="s">
        <v>26</v>
      </c>
      <c r="F21" s="1" t="s">
        <v>120</v>
      </c>
      <c r="G21" s="2">
        <v>45738</v>
      </c>
      <c r="H21" s="2">
        <v>45743</v>
      </c>
      <c r="I21" s="1" t="s">
        <v>159</v>
      </c>
      <c r="J21" s="1" t="s">
        <v>152</v>
      </c>
      <c r="K21" s="1" t="s">
        <v>128</v>
      </c>
      <c r="L21" s="1" t="s">
        <v>44</v>
      </c>
      <c r="M21" s="1" t="s">
        <v>2089</v>
      </c>
      <c r="N21">
        <v>105104.48</v>
      </c>
      <c r="O21">
        <v>54084.4</v>
      </c>
      <c r="P21">
        <v>57383.43</v>
      </c>
      <c r="Q21">
        <v>5</v>
      </c>
      <c r="R21">
        <v>156</v>
      </c>
      <c r="S21">
        <v>5</v>
      </c>
      <c r="T21" s="1" t="s">
        <v>46</v>
      </c>
      <c r="U21" s="1" t="s">
        <v>35</v>
      </c>
      <c r="V21" s="1" t="s">
        <v>75</v>
      </c>
      <c r="W21" s="1" t="s">
        <v>12</v>
      </c>
      <c r="X21">
        <v>216572.31</v>
      </c>
      <c r="Y21" s="1" t="s">
        <v>2088</v>
      </c>
      <c r="Z21" s="1" t="s">
        <v>2080</v>
      </c>
      <c r="AE21" t="s">
        <v>56</v>
      </c>
      <c r="AF21">
        <f>COUNTIFS(dirty_patient_hospital_dataset_1000_rows__2_1_1[[#All],[Admission_Type]],"Emergency",dirty_patient_hospital_dataset_1000_rows__2_1_1[[#All],[Department]],"Emergency")</f>
        <v>0</v>
      </c>
      <c r="AI21" t="str">
        <v>Orthopedics</v>
      </c>
      <c r="AJ21">
        <f>SUMIF(dirty_patient_hospital_dataset_1000_rows__2_1_1[[#All],[Department]],"orthopedics",dirty_patient_hospital_dataset_1000_rows__2_1_1[[#All],[Billing_Amount]])</f>
        <v>14493047.760000002</v>
      </c>
      <c r="AO21" t="str">
        <v>P00006</v>
      </c>
    </row>
    <row r="22" spans="1:41" x14ac:dyDescent="0.35">
      <c r="A22" s="1" t="s">
        <v>190</v>
      </c>
      <c r="B22" s="1" t="s">
        <v>191</v>
      </c>
      <c r="C22">
        <v>26</v>
      </c>
      <c r="D22" s="1" t="s">
        <v>119</v>
      </c>
      <c r="E22" s="1" t="s">
        <v>192</v>
      </c>
      <c r="F22" s="1" t="s">
        <v>193</v>
      </c>
      <c r="G22" s="2">
        <v>45722</v>
      </c>
      <c r="H22" s="2">
        <v>45724</v>
      </c>
      <c r="I22" s="1" t="s">
        <v>114</v>
      </c>
      <c r="J22" s="1" t="s">
        <v>115</v>
      </c>
      <c r="K22" s="1" t="s">
        <v>174</v>
      </c>
      <c r="L22" s="1" t="s">
        <v>44</v>
      </c>
      <c r="M22" s="1" t="s">
        <v>2089</v>
      </c>
      <c r="N22">
        <v>95467.98</v>
      </c>
      <c r="O22">
        <v>9604.74</v>
      </c>
      <c r="P22">
        <v>42686.95</v>
      </c>
      <c r="Q22">
        <v>2</v>
      </c>
      <c r="R22">
        <v>120</v>
      </c>
      <c r="S22">
        <v>4.0999999999999996</v>
      </c>
      <c r="T22" s="1" t="s">
        <v>46</v>
      </c>
      <c r="U22" s="1" t="s">
        <v>95</v>
      </c>
      <c r="V22" s="1" t="s">
        <v>130</v>
      </c>
      <c r="W22" s="1" t="s">
        <v>131</v>
      </c>
      <c r="X22">
        <v>147759.66999999998</v>
      </c>
      <c r="Y22" s="1" t="s">
        <v>2082</v>
      </c>
      <c r="Z22" s="1" t="s">
        <v>2080</v>
      </c>
      <c r="AE22" t="s">
        <v>2102</v>
      </c>
      <c r="AF22">
        <f>COUNTIFS(dirty_patient_hospital_dataset_1000_rows__2_1_1[[#All],[Admission_Type]],"Emergency",dirty_patient_hospital_dataset_1000_rows__2_1_1[[#All],[Department]],"orthopedics")</f>
        <v>21</v>
      </c>
      <c r="AI22" t="str">
        <v>Neurology</v>
      </c>
      <c r="AJ22">
        <f>SUMIF(dirty_patient_hospital_dataset_1000_rows__2_1_1[[#All],[Department]],"neurology",dirty_patient_hospital_dataset_1000_rows__2_1_1[[#All],[Billing_Amount]])</f>
        <v>15146886.98</v>
      </c>
      <c r="AO22" t="str">
        <v>P00007</v>
      </c>
    </row>
    <row r="23" spans="1:41" x14ac:dyDescent="0.35">
      <c r="A23" s="1" t="s">
        <v>195</v>
      </c>
      <c r="B23" s="1" t="s">
        <v>196</v>
      </c>
      <c r="C23">
        <v>43</v>
      </c>
      <c r="D23" s="1" t="s">
        <v>119</v>
      </c>
      <c r="E23" s="1" t="s">
        <v>86</v>
      </c>
      <c r="F23" s="1" t="s">
        <v>63</v>
      </c>
      <c r="G23" s="2">
        <v>46104</v>
      </c>
      <c r="H23" s="2">
        <v>46109</v>
      </c>
      <c r="I23" s="1" t="s">
        <v>114</v>
      </c>
      <c r="J23" s="1" t="s">
        <v>141</v>
      </c>
      <c r="K23" s="1" t="s">
        <v>148</v>
      </c>
      <c r="L23" s="1" t="s">
        <v>32</v>
      </c>
      <c r="M23" s="1" t="s">
        <v>2085</v>
      </c>
      <c r="N23">
        <v>423494.77</v>
      </c>
      <c r="O23">
        <v>23383.58</v>
      </c>
      <c r="P23">
        <v>126605.07</v>
      </c>
      <c r="Q23">
        <v>5</v>
      </c>
      <c r="R23">
        <v>141</v>
      </c>
      <c r="S23">
        <v>2.6</v>
      </c>
      <c r="T23" s="1" t="s">
        <v>46</v>
      </c>
      <c r="U23" s="1" t="s">
        <v>101</v>
      </c>
      <c r="V23" s="1" t="s">
        <v>75</v>
      </c>
      <c r="W23" s="1" t="s">
        <v>59</v>
      </c>
      <c r="X23">
        <v>573483.42000000004</v>
      </c>
      <c r="Y23" s="1" t="s">
        <v>2079</v>
      </c>
      <c r="Z23" s="1" t="s">
        <v>2080</v>
      </c>
      <c r="AE23" t="s">
        <v>193</v>
      </c>
      <c r="AF23">
        <f>COUNTIFS(dirty_patient_hospital_dataset_1000_rows__2_1_1[[#All],[Admission_Type]],"Emergency",dirty_patient_hospital_dataset_1000_rows__2_1_1[[#All],[Department]],"maternity")</f>
        <v>34</v>
      </c>
      <c r="AI23" t="str">
        <v>Oncology</v>
      </c>
      <c r="AJ23">
        <f>SUMIF(dirty_patient_hospital_dataset_1000_rows__2_1_1[[#All],[Department]],"oncology",dirty_patient_hospital_dataset_1000_rows__2_1_1[[#All],[Billing_Amount]])</f>
        <v>18343187.039999999</v>
      </c>
      <c r="AO23" t="str">
        <v>P00008</v>
      </c>
    </row>
    <row r="24" spans="1:41" x14ac:dyDescent="0.35">
      <c r="A24" s="1" t="s">
        <v>198</v>
      </c>
      <c r="B24" s="1" t="s">
        <v>199</v>
      </c>
      <c r="C24">
        <v>53</v>
      </c>
      <c r="D24" s="1" t="s">
        <v>25</v>
      </c>
      <c r="E24" s="1" t="s">
        <v>112</v>
      </c>
      <c r="F24" s="1" t="s">
        <v>227</v>
      </c>
      <c r="G24" s="2">
        <v>45758</v>
      </c>
      <c r="H24" s="2">
        <v>45759</v>
      </c>
      <c r="I24" s="1" t="s">
        <v>273</v>
      </c>
      <c r="J24" s="1" t="s">
        <v>137</v>
      </c>
      <c r="K24" s="1" t="s">
        <v>128</v>
      </c>
      <c r="L24" s="1" t="s">
        <v>32</v>
      </c>
      <c r="M24" s="1" t="s">
        <v>2078</v>
      </c>
      <c r="N24">
        <v>188715.21</v>
      </c>
      <c r="O24">
        <v>47850.01</v>
      </c>
      <c r="P24">
        <v>59197.13</v>
      </c>
      <c r="Q24">
        <v>1</v>
      </c>
      <c r="R24">
        <v>89</v>
      </c>
      <c r="S24">
        <v>2.6</v>
      </c>
      <c r="T24" s="1" t="s">
        <v>46</v>
      </c>
      <c r="U24" s="1" t="s">
        <v>95</v>
      </c>
      <c r="V24" s="1" t="s">
        <v>75</v>
      </c>
      <c r="W24" s="1" t="s">
        <v>131</v>
      </c>
      <c r="X24">
        <v>295762.34999999998</v>
      </c>
      <c r="Y24" s="1" t="s">
        <v>2079</v>
      </c>
      <c r="Z24" s="1" t="s">
        <v>2080</v>
      </c>
      <c r="AE24" t="s">
        <v>2105</v>
      </c>
      <c r="AF24">
        <f>COUNTIFS(dirty_patient_hospital_dataset_1000_rows__2_1_1[[#All],[Admission_Type]],"Emergency",dirty_patient_hospital_dataset_1000_rows__2_1_1[[#All],[Department]],"dermatology")</f>
        <v>26</v>
      </c>
      <c r="AI24" t="str">
        <v>Maternity</v>
      </c>
      <c r="AJ24">
        <f>SUMIF(dirty_patient_hospital_dataset_1000_rows__2_1_1[[#All],[Department]],"maternity",dirty_patient_hospital_dataset_1000_rows__2_1_1[[#All],[Billing_Amount]])</f>
        <v>17516734.919999998</v>
      </c>
      <c r="AO24" t="str">
        <v>P00009</v>
      </c>
    </row>
    <row r="25" spans="1:41" x14ac:dyDescent="0.35">
      <c r="A25" s="1" t="s">
        <v>201</v>
      </c>
      <c r="B25" s="1" t="s">
        <v>202</v>
      </c>
      <c r="C25">
        <v>33</v>
      </c>
      <c r="D25" s="1" t="s">
        <v>25</v>
      </c>
      <c r="E25" s="1" t="s">
        <v>86</v>
      </c>
      <c r="F25" s="1" t="s">
        <v>135</v>
      </c>
      <c r="G25" s="2">
        <v>46160</v>
      </c>
      <c r="H25" s="2">
        <v>46161</v>
      </c>
      <c r="I25" s="1" t="s">
        <v>53</v>
      </c>
      <c r="J25" s="1" t="s">
        <v>141</v>
      </c>
      <c r="K25" s="1" t="s">
        <v>174</v>
      </c>
      <c r="L25" s="1" t="s">
        <v>32</v>
      </c>
      <c r="M25" s="1" t="s">
        <v>2086</v>
      </c>
      <c r="N25">
        <v>339895.83</v>
      </c>
      <c r="O25">
        <v>35352.339999999997</v>
      </c>
      <c r="P25">
        <v>7627.84</v>
      </c>
      <c r="Q25">
        <v>1</v>
      </c>
      <c r="R25">
        <v>107</v>
      </c>
      <c r="S25">
        <v>4.2</v>
      </c>
      <c r="T25" s="1" t="s">
        <v>46</v>
      </c>
      <c r="U25" s="1" t="s">
        <v>95</v>
      </c>
      <c r="V25" s="1" t="s">
        <v>75</v>
      </c>
      <c r="W25" s="1" t="s">
        <v>131</v>
      </c>
      <c r="X25">
        <v>382876.01000000007</v>
      </c>
      <c r="Y25" s="1" t="s">
        <v>2082</v>
      </c>
      <c r="Z25" s="1" t="s">
        <v>2080</v>
      </c>
      <c r="AE25" t="s">
        <v>2108</v>
      </c>
      <c r="AF25">
        <f>COUNTIFS(dirty_patient_hospital_dataset_1000_rows__2_1_1[[#All],[Admission_Type]],"Emergency",dirty_patient_hospital_dataset_1000_rows__2_1_1[[#All],[Department]],"surgery")</f>
        <v>26</v>
      </c>
      <c r="AO25" t="str">
        <v>P00010</v>
      </c>
    </row>
    <row r="26" spans="1:41" x14ac:dyDescent="0.35">
      <c r="A26" s="1" t="s">
        <v>205</v>
      </c>
      <c r="B26" s="1" t="s">
        <v>206</v>
      </c>
      <c r="C26">
        <v>46</v>
      </c>
      <c r="D26" s="1" t="s">
        <v>25</v>
      </c>
      <c r="E26" s="1" t="s">
        <v>40</v>
      </c>
      <c r="F26" s="1" t="s">
        <v>63</v>
      </c>
      <c r="G26" s="2">
        <v>45575</v>
      </c>
      <c r="H26" s="2">
        <v>45576</v>
      </c>
      <c r="I26" s="1" t="s">
        <v>53</v>
      </c>
      <c r="J26" s="1" t="s">
        <v>87</v>
      </c>
      <c r="K26" s="1" t="s">
        <v>55</v>
      </c>
      <c r="L26" s="1" t="s">
        <v>66</v>
      </c>
      <c r="M26" s="1" t="s">
        <v>2092</v>
      </c>
      <c r="N26">
        <v>228149.22</v>
      </c>
      <c r="O26">
        <v>1425.74</v>
      </c>
      <c r="P26">
        <v>55733.62</v>
      </c>
      <c r="Q26">
        <v>1</v>
      </c>
      <c r="R26">
        <v>137</v>
      </c>
      <c r="S26">
        <v>5</v>
      </c>
      <c r="T26" s="1" t="s">
        <v>34</v>
      </c>
      <c r="U26" s="1" t="s">
        <v>35</v>
      </c>
      <c r="V26" s="1" t="s">
        <v>102</v>
      </c>
      <c r="W26" s="1" t="s">
        <v>131</v>
      </c>
      <c r="X26">
        <v>285308.58</v>
      </c>
      <c r="Y26" s="1" t="s">
        <v>2079</v>
      </c>
      <c r="Z26" s="1" t="s">
        <v>2080</v>
      </c>
      <c r="AI26" t="s">
        <v>2113</v>
      </c>
      <c r="AO26" t="str">
        <v>P00011</v>
      </c>
    </row>
    <row r="27" spans="1:41" x14ac:dyDescent="0.35">
      <c r="A27" s="1" t="s">
        <v>209</v>
      </c>
      <c r="B27" s="1" t="s">
        <v>210</v>
      </c>
      <c r="C27">
        <v>12</v>
      </c>
      <c r="D27" s="1" t="s">
        <v>25</v>
      </c>
      <c r="E27" s="1" t="s">
        <v>86</v>
      </c>
      <c r="F27" s="1" t="s">
        <v>87</v>
      </c>
      <c r="G27" s="2">
        <v>45709</v>
      </c>
      <c r="H27" s="2">
        <v>45715</v>
      </c>
      <c r="I27" s="1" t="s">
        <v>53</v>
      </c>
      <c r="J27" s="1" t="s">
        <v>30</v>
      </c>
      <c r="K27" s="1" t="s">
        <v>91</v>
      </c>
      <c r="L27" s="1" t="s">
        <v>44</v>
      </c>
      <c r="M27" s="1" t="s">
        <v>2086</v>
      </c>
      <c r="N27">
        <v>88704.49</v>
      </c>
      <c r="O27">
        <v>42875.88</v>
      </c>
      <c r="P27">
        <v>60413.58</v>
      </c>
      <c r="Q27">
        <v>6</v>
      </c>
      <c r="R27">
        <v>133</v>
      </c>
      <c r="S27">
        <v>5</v>
      </c>
      <c r="T27" s="1" t="s">
        <v>34</v>
      </c>
      <c r="U27" s="1" t="s">
        <v>95</v>
      </c>
      <c r="V27" s="1" t="s">
        <v>102</v>
      </c>
      <c r="W27" s="1" t="s">
        <v>131</v>
      </c>
      <c r="X27">
        <v>191993.95</v>
      </c>
      <c r="Y27" s="1" t="s">
        <v>2093</v>
      </c>
      <c r="Z27" s="1" t="s">
        <v>2080</v>
      </c>
      <c r="AI27" t="str" cm="1">
        <f t="array" ref="AI27:AI39">_xlfn.UNIQUE(dirty_patient_hospital_dataset_1000_rows__2_1_1[[#All],[Diagnosis]])</f>
        <v>Diagnosis</v>
      </c>
      <c r="AO27" t="str">
        <v>P00012</v>
      </c>
    </row>
    <row r="28" spans="1:41" x14ac:dyDescent="0.35">
      <c r="A28" s="1" t="s">
        <v>212</v>
      </c>
      <c r="B28" s="1" t="s">
        <v>185</v>
      </c>
      <c r="C28">
        <v>67</v>
      </c>
      <c r="D28" s="1" t="s">
        <v>25</v>
      </c>
      <c r="E28" s="1" t="s">
        <v>86</v>
      </c>
      <c r="F28" s="1" t="s">
        <v>108</v>
      </c>
      <c r="G28" s="2">
        <v>46114</v>
      </c>
      <c r="H28" s="2">
        <v>46061</v>
      </c>
      <c r="I28" s="1" t="s">
        <v>29</v>
      </c>
      <c r="J28" s="1" t="s">
        <v>115</v>
      </c>
      <c r="K28" s="1" t="s">
        <v>91</v>
      </c>
      <c r="L28" s="1" t="s">
        <v>44</v>
      </c>
      <c r="M28" s="1" t="s">
        <v>2086</v>
      </c>
      <c r="N28">
        <v>353560.25</v>
      </c>
      <c r="O28">
        <v>46284.78</v>
      </c>
      <c r="P28">
        <v>35541.919999999998</v>
      </c>
      <c r="Q28">
        <v>4</v>
      </c>
      <c r="R28">
        <v>151</v>
      </c>
      <c r="S28">
        <v>1.6</v>
      </c>
      <c r="T28" s="1" t="s">
        <v>46</v>
      </c>
      <c r="U28" s="1" t="s">
        <v>95</v>
      </c>
      <c r="V28" s="1" t="s">
        <v>102</v>
      </c>
      <c r="W28" s="1" t="s">
        <v>131</v>
      </c>
      <c r="X28">
        <v>435386.95</v>
      </c>
      <c r="Y28" s="1" t="s">
        <v>2088</v>
      </c>
      <c r="Z28" s="1" t="s">
        <v>2080</v>
      </c>
      <c r="AE28" t="s">
        <v>2104</v>
      </c>
      <c r="AI28" t="str">
        <v>Gastritis</v>
      </c>
      <c r="AO28" t="str">
        <v>P00013</v>
      </c>
    </row>
    <row r="29" spans="1:41" x14ac:dyDescent="0.35">
      <c r="A29" s="1" t="s">
        <v>214</v>
      </c>
      <c r="B29" s="1" t="s">
        <v>215</v>
      </c>
      <c r="C29">
        <v>32</v>
      </c>
      <c r="D29" s="1" t="s">
        <v>119</v>
      </c>
      <c r="E29" s="1" t="s">
        <v>177</v>
      </c>
      <c r="F29" s="1" t="s">
        <v>108</v>
      </c>
      <c r="G29" s="2">
        <v>45950</v>
      </c>
      <c r="H29" s="2">
        <v>45952</v>
      </c>
      <c r="I29" s="1" t="s">
        <v>53</v>
      </c>
      <c r="J29" s="1" t="s">
        <v>147</v>
      </c>
      <c r="K29" s="1" t="s">
        <v>148</v>
      </c>
      <c r="L29" s="1" t="s">
        <v>66</v>
      </c>
      <c r="M29" s="1" t="s">
        <v>2086</v>
      </c>
      <c r="N29">
        <v>231462.38</v>
      </c>
      <c r="O29">
        <v>87866.46</v>
      </c>
      <c r="P29">
        <v>0</v>
      </c>
      <c r="Q29">
        <v>2</v>
      </c>
      <c r="R29">
        <v>146</v>
      </c>
      <c r="S29">
        <v>1.6</v>
      </c>
      <c r="T29" s="1" t="s">
        <v>34</v>
      </c>
      <c r="U29" s="1" t="s">
        <v>101</v>
      </c>
      <c r="V29" s="1" t="s">
        <v>102</v>
      </c>
      <c r="W29" s="1" t="s">
        <v>83</v>
      </c>
      <c r="X29">
        <v>319328.84000000003</v>
      </c>
      <c r="Y29" s="1" t="s">
        <v>2082</v>
      </c>
      <c r="Z29" s="1" t="s">
        <v>2080</v>
      </c>
      <c r="AE29">
        <f>SUM(dirty_patient_hospital_dataset_1000_rows__2_1_1[[#All],[Total_Treatment_cost]])</f>
        <v>244440167.28</v>
      </c>
      <c r="AI29" t="str">
        <v>Pneumonia</v>
      </c>
      <c r="AO29" t="str">
        <v>P00014</v>
      </c>
    </row>
    <row r="30" spans="1:41" x14ac:dyDescent="0.35">
      <c r="A30" s="1" t="s">
        <v>217</v>
      </c>
      <c r="B30" s="1" t="s">
        <v>218</v>
      </c>
      <c r="C30">
        <v>66</v>
      </c>
      <c r="D30" s="1" t="s">
        <v>119</v>
      </c>
      <c r="E30" s="1" t="s">
        <v>219</v>
      </c>
      <c r="F30" s="1" t="s">
        <v>108</v>
      </c>
      <c r="G30" s="2">
        <v>45311</v>
      </c>
      <c r="H30" s="2">
        <v>45313</v>
      </c>
      <c r="I30" s="1" t="s">
        <v>221</v>
      </c>
      <c r="J30" s="1" t="s">
        <v>2081</v>
      </c>
      <c r="K30" s="1" t="s">
        <v>148</v>
      </c>
      <c r="L30" s="1" t="s">
        <v>44</v>
      </c>
      <c r="M30" s="1" t="s">
        <v>2089</v>
      </c>
      <c r="N30">
        <v>228999.2</v>
      </c>
      <c r="O30">
        <v>3056.38</v>
      </c>
      <c r="P30">
        <v>23540.89</v>
      </c>
      <c r="Q30">
        <v>2</v>
      </c>
      <c r="R30">
        <v>145</v>
      </c>
      <c r="S30">
        <v>2.8</v>
      </c>
      <c r="T30" s="1" t="s">
        <v>46</v>
      </c>
      <c r="U30" s="1" t="s">
        <v>101</v>
      </c>
      <c r="V30" s="1" t="s">
        <v>130</v>
      </c>
      <c r="W30" s="1" t="s">
        <v>83</v>
      </c>
      <c r="X30">
        <v>255596.47000000003</v>
      </c>
      <c r="Y30" s="1" t="s">
        <v>2088</v>
      </c>
      <c r="Z30" s="1" t="s">
        <v>2080</v>
      </c>
      <c r="AI30" t="str">
        <v>Hypertension</v>
      </c>
      <c r="AO30" t="str">
        <v>P00015</v>
      </c>
    </row>
    <row r="31" spans="1:41" x14ac:dyDescent="0.35">
      <c r="A31" s="1" t="s">
        <v>222</v>
      </c>
      <c r="B31" s="1" t="s">
        <v>223</v>
      </c>
      <c r="C31">
        <v>44</v>
      </c>
      <c r="D31" s="1" t="s">
        <v>25</v>
      </c>
      <c r="E31" s="1" t="s">
        <v>192</v>
      </c>
      <c r="F31" s="1" t="s">
        <v>193</v>
      </c>
      <c r="G31" s="2">
        <v>46077</v>
      </c>
      <c r="H31" s="2">
        <v>46080</v>
      </c>
      <c r="I31" s="1" t="s">
        <v>127</v>
      </c>
      <c r="J31" s="1" t="s">
        <v>2081</v>
      </c>
      <c r="K31" s="1" t="s">
        <v>122</v>
      </c>
      <c r="L31" s="1" t="s">
        <v>32</v>
      </c>
      <c r="M31" s="1" t="s">
        <v>2087</v>
      </c>
      <c r="N31">
        <v>128775.95</v>
      </c>
      <c r="O31">
        <v>83598.600000000006</v>
      </c>
      <c r="P31">
        <v>64017.57</v>
      </c>
      <c r="Q31">
        <v>3</v>
      </c>
      <c r="R31">
        <v>0</v>
      </c>
      <c r="S31">
        <v>3.9</v>
      </c>
      <c r="T31" s="1" t="s">
        <v>46</v>
      </c>
      <c r="U31" s="1" t="s">
        <v>95</v>
      </c>
      <c r="V31" s="1" t="s">
        <v>75</v>
      </c>
      <c r="W31" s="1" t="s">
        <v>131</v>
      </c>
      <c r="X31">
        <v>276392.12</v>
      </c>
      <c r="Y31" s="1" t="s">
        <v>2079</v>
      </c>
      <c r="Z31" s="1" t="s">
        <v>2083</v>
      </c>
      <c r="AI31" t="str">
        <v>Appendicitis</v>
      </c>
      <c r="AO31" t="str">
        <v>P00017</v>
      </c>
    </row>
    <row r="32" spans="1:41" x14ac:dyDescent="0.35">
      <c r="A32" s="1" t="s">
        <v>225</v>
      </c>
      <c r="B32" s="1" t="s">
        <v>226</v>
      </c>
      <c r="C32">
        <v>61</v>
      </c>
      <c r="D32" s="1" t="s">
        <v>25</v>
      </c>
      <c r="E32" s="1" t="s">
        <v>51</v>
      </c>
      <c r="F32" s="1" t="s">
        <v>227</v>
      </c>
      <c r="G32" s="2">
        <v>45600</v>
      </c>
      <c r="H32" s="2">
        <v>45601</v>
      </c>
      <c r="I32" s="1" t="s">
        <v>273</v>
      </c>
      <c r="J32" s="1" t="s">
        <v>141</v>
      </c>
      <c r="K32" s="1" t="s">
        <v>122</v>
      </c>
      <c r="L32" s="1" t="s">
        <v>44</v>
      </c>
      <c r="M32" s="1" t="s">
        <v>2089</v>
      </c>
      <c r="N32">
        <v>109047.1</v>
      </c>
      <c r="O32">
        <v>27131.59</v>
      </c>
      <c r="P32">
        <v>60149.62</v>
      </c>
      <c r="Q32">
        <v>1</v>
      </c>
      <c r="R32">
        <v>159</v>
      </c>
      <c r="S32">
        <v>2.1</v>
      </c>
      <c r="T32" s="1" t="s">
        <v>46</v>
      </c>
      <c r="U32" s="1" t="s">
        <v>35</v>
      </c>
      <c r="V32" s="1" t="s">
        <v>130</v>
      </c>
      <c r="W32" s="1" t="s">
        <v>131</v>
      </c>
      <c r="X32">
        <v>196328.31</v>
      </c>
      <c r="Y32" s="1" t="s">
        <v>2088</v>
      </c>
      <c r="Z32" s="1" t="s">
        <v>2080</v>
      </c>
      <c r="AI32" t="str">
        <v>Heart Disease</v>
      </c>
      <c r="AO32" t="str">
        <v>P00021</v>
      </c>
    </row>
    <row r="33" spans="1:41" x14ac:dyDescent="0.35">
      <c r="A33" s="1" t="s">
        <v>239</v>
      </c>
      <c r="B33" s="1" t="s">
        <v>240</v>
      </c>
      <c r="C33">
        <v>11</v>
      </c>
      <c r="D33" s="1" t="s">
        <v>25</v>
      </c>
      <c r="E33" s="1" t="s">
        <v>86</v>
      </c>
      <c r="F33" s="1" t="s">
        <v>63</v>
      </c>
      <c r="G33" s="2">
        <v>45630</v>
      </c>
      <c r="H33" s="2">
        <v>45639</v>
      </c>
      <c r="I33" s="1" t="s">
        <v>114</v>
      </c>
      <c r="J33" s="1" t="s">
        <v>2081</v>
      </c>
      <c r="K33" s="1" t="s">
        <v>31</v>
      </c>
      <c r="L33" s="1" t="s">
        <v>44</v>
      </c>
      <c r="M33" s="1" t="s">
        <v>2078</v>
      </c>
      <c r="N33">
        <v>158393.76999999999</v>
      </c>
      <c r="O33">
        <v>33268.51</v>
      </c>
      <c r="P33">
        <v>88238.2</v>
      </c>
      <c r="Q33">
        <v>9</v>
      </c>
      <c r="R33">
        <v>0</v>
      </c>
      <c r="S33">
        <v>5</v>
      </c>
      <c r="T33" s="1" t="s">
        <v>34</v>
      </c>
      <c r="U33" s="1" t="s">
        <v>35</v>
      </c>
      <c r="V33" s="1" t="s">
        <v>75</v>
      </c>
      <c r="W33" s="1" t="s">
        <v>59</v>
      </c>
      <c r="X33">
        <v>279900.48</v>
      </c>
      <c r="Y33" s="1" t="s">
        <v>2093</v>
      </c>
      <c r="Z33" s="1" t="s">
        <v>2083</v>
      </c>
      <c r="AI33" t="str">
        <v>Fracture</v>
      </c>
      <c r="AO33" t="str">
        <v>P00022</v>
      </c>
    </row>
    <row r="34" spans="1:41" x14ac:dyDescent="0.35">
      <c r="A34" s="1" t="s">
        <v>243</v>
      </c>
      <c r="B34" s="1" t="s">
        <v>244</v>
      </c>
      <c r="C34">
        <v>21</v>
      </c>
      <c r="D34" s="1" t="s">
        <v>119</v>
      </c>
      <c r="E34" s="1" t="s">
        <v>157</v>
      </c>
      <c r="F34" s="1" t="s">
        <v>63</v>
      </c>
      <c r="G34" s="2">
        <v>45829</v>
      </c>
      <c r="H34" s="2">
        <v>45832</v>
      </c>
      <c r="I34" s="1" t="s">
        <v>159</v>
      </c>
      <c r="J34" s="1" t="s">
        <v>2081</v>
      </c>
      <c r="K34" s="1" t="s">
        <v>31</v>
      </c>
      <c r="L34" s="1" t="s">
        <v>66</v>
      </c>
      <c r="M34" s="1" t="s">
        <v>2078</v>
      </c>
      <c r="N34">
        <v>284694.49</v>
      </c>
      <c r="O34">
        <v>34976.49</v>
      </c>
      <c r="P34">
        <v>26993.49</v>
      </c>
      <c r="Q34">
        <v>3</v>
      </c>
      <c r="R34">
        <v>100</v>
      </c>
      <c r="S34">
        <v>3.2</v>
      </c>
      <c r="T34" s="1" t="s">
        <v>34</v>
      </c>
      <c r="U34" s="1" t="s">
        <v>95</v>
      </c>
      <c r="V34" s="1" t="s">
        <v>102</v>
      </c>
      <c r="W34" s="1" t="s">
        <v>12</v>
      </c>
      <c r="X34">
        <v>346664.47</v>
      </c>
      <c r="Y34" s="1" t="s">
        <v>2082</v>
      </c>
      <c r="Z34" s="1" t="s">
        <v>2080</v>
      </c>
      <c r="AI34" t="str">
        <v>Asthma</v>
      </c>
      <c r="AO34" t="str">
        <v>P00023</v>
      </c>
    </row>
    <row r="35" spans="1:41" x14ac:dyDescent="0.35">
      <c r="A35" s="1" t="s">
        <v>246</v>
      </c>
      <c r="B35" s="1" t="s">
        <v>77</v>
      </c>
      <c r="C35">
        <v>57</v>
      </c>
      <c r="D35" s="1" t="s">
        <v>119</v>
      </c>
      <c r="E35" s="1" t="s">
        <v>107</v>
      </c>
      <c r="F35" s="1" t="s">
        <v>41</v>
      </c>
      <c r="G35" s="2">
        <v>45397</v>
      </c>
      <c r="H35" s="2">
        <v>45400</v>
      </c>
      <c r="I35" s="1" t="s">
        <v>159</v>
      </c>
      <c r="J35" s="1" t="s">
        <v>137</v>
      </c>
      <c r="K35" s="1" t="s">
        <v>122</v>
      </c>
      <c r="L35" s="1" t="s">
        <v>32</v>
      </c>
      <c r="M35" s="1" t="s">
        <v>2089</v>
      </c>
      <c r="N35">
        <v>442042.35</v>
      </c>
      <c r="O35">
        <v>0</v>
      </c>
      <c r="P35">
        <v>108991</v>
      </c>
      <c r="Q35">
        <v>3</v>
      </c>
      <c r="R35">
        <v>0</v>
      </c>
      <c r="S35">
        <v>3.5</v>
      </c>
      <c r="T35" s="1" t="s">
        <v>46</v>
      </c>
      <c r="U35" s="1" t="s">
        <v>95</v>
      </c>
      <c r="V35" s="1" t="s">
        <v>75</v>
      </c>
      <c r="W35" s="1" t="s">
        <v>131</v>
      </c>
      <c r="X35">
        <v>551033.35</v>
      </c>
      <c r="Y35" s="1" t="s">
        <v>2079</v>
      </c>
      <c r="Z35" s="1" t="s">
        <v>2083</v>
      </c>
      <c r="AI35" t="str">
        <v>Diabetes</v>
      </c>
      <c r="AO35" t="str">
        <v>P00024</v>
      </c>
    </row>
    <row r="36" spans="1:41" x14ac:dyDescent="0.35">
      <c r="A36" s="1" t="s">
        <v>248</v>
      </c>
      <c r="B36" s="1" t="s">
        <v>249</v>
      </c>
      <c r="C36">
        <v>49</v>
      </c>
      <c r="D36" s="1" t="s">
        <v>119</v>
      </c>
      <c r="E36" s="1" t="s">
        <v>86</v>
      </c>
      <c r="F36" s="1" t="s">
        <v>108</v>
      </c>
      <c r="G36" s="2">
        <v>46263</v>
      </c>
      <c r="H36" s="2">
        <v>46267</v>
      </c>
      <c r="I36" s="1" t="s">
        <v>127</v>
      </c>
      <c r="J36" s="1" t="s">
        <v>54</v>
      </c>
      <c r="K36" s="1" t="s">
        <v>148</v>
      </c>
      <c r="L36" s="1" t="s">
        <v>44</v>
      </c>
      <c r="M36" s="1" t="s">
        <v>2086</v>
      </c>
      <c r="N36">
        <v>132822.07</v>
      </c>
      <c r="O36">
        <v>24796.94</v>
      </c>
      <c r="P36">
        <v>30209.97</v>
      </c>
      <c r="Q36">
        <v>4</v>
      </c>
      <c r="R36">
        <v>50</v>
      </c>
      <c r="S36">
        <v>4.8</v>
      </c>
      <c r="T36" s="1" t="s">
        <v>46</v>
      </c>
      <c r="U36" s="1" t="s">
        <v>101</v>
      </c>
      <c r="V36" s="1" t="s">
        <v>75</v>
      </c>
      <c r="W36" s="1" t="s">
        <v>131</v>
      </c>
      <c r="X36">
        <v>187828.98</v>
      </c>
      <c r="Y36" s="1" t="s">
        <v>2079</v>
      </c>
      <c r="Z36" s="1" t="s">
        <v>2091</v>
      </c>
      <c r="AI36" t="str">
        <v>Migraine</v>
      </c>
      <c r="AO36" t="str">
        <v>P00025</v>
      </c>
    </row>
    <row r="37" spans="1:41" x14ac:dyDescent="0.35">
      <c r="A37" s="1" t="s">
        <v>258</v>
      </c>
      <c r="B37" s="1" t="s">
        <v>259</v>
      </c>
      <c r="C37">
        <v>38</v>
      </c>
      <c r="D37" s="1" t="s">
        <v>119</v>
      </c>
      <c r="E37" s="1" t="s">
        <v>107</v>
      </c>
      <c r="F37" s="1" t="s">
        <v>41</v>
      </c>
      <c r="G37" s="2">
        <v>46103</v>
      </c>
      <c r="H37" s="2">
        <v>46107</v>
      </c>
      <c r="I37" s="1" t="s">
        <v>127</v>
      </c>
      <c r="J37" s="1" t="s">
        <v>137</v>
      </c>
      <c r="K37" s="1" t="s">
        <v>55</v>
      </c>
      <c r="L37" s="1" t="s">
        <v>66</v>
      </c>
      <c r="M37" s="1" t="s">
        <v>2090</v>
      </c>
      <c r="N37">
        <v>189524.63</v>
      </c>
      <c r="O37">
        <v>57469.42</v>
      </c>
      <c r="P37">
        <v>69762.490000000005</v>
      </c>
      <c r="Q37">
        <v>4</v>
      </c>
      <c r="R37">
        <v>156</v>
      </c>
      <c r="S37">
        <v>4.5</v>
      </c>
      <c r="T37" s="1" t="s">
        <v>34</v>
      </c>
      <c r="U37" s="1" t="s">
        <v>95</v>
      </c>
      <c r="V37" s="1" t="s">
        <v>75</v>
      </c>
      <c r="W37" s="1" t="s">
        <v>131</v>
      </c>
      <c r="X37">
        <v>316756.53999999998</v>
      </c>
      <c r="Y37" s="1" t="s">
        <v>2079</v>
      </c>
      <c r="Z37" s="1" t="s">
        <v>2080</v>
      </c>
      <c r="AI37" t="str">
        <v>Kidney Infection</v>
      </c>
      <c r="AO37" t="str">
        <v>P00026</v>
      </c>
    </row>
    <row r="38" spans="1:41" x14ac:dyDescent="0.35">
      <c r="A38" s="1" t="s">
        <v>261</v>
      </c>
      <c r="B38" s="1" t="s">
        <v>262</v>
      </c>
      <c r="C38">
        <v>58</v>
      </c>
      <c r="D38" s="1" t="s">
        <v>119</v>
      </c>
      <c r="E38" s="1" t="s">
        <v>263</v>
      </c>
      <c r="F38" s="1" t="s">
        <v>193</v>
      </c>
      <c r="G38" s="2">
        <v>45526</v>
      </c>
      <c r="H38" s="2">
        <v>45529</v>
      </c>
      <c r="I38" s="1" t="s">
        <v>53</v>
      </c>
      <c r="J38" s="1" t="s">
        <v>2081</v>
      </c>
      <c r="K38" s="1" t="s">
        <v>91</v>
      </c>
      <c r="L38" s="1" t="s">
        <v>32</v>
      </c>
      <c r="M38" s="1" t="s">
        <v>2090</v>
      </c>
      <c r="N38">
        <v>176562.65</v>
      </c>
      <c r="O38">
        <v>38104.160000000003</v>
      </c>
      <c r="P38">
        <v>41095.71</v>
      </c>
      <c r="Q38">
        <v>3</v>
      </c>
      <c r="R38">
        <v>102</v>
      </c>
      <c r="S38">
        <v>4.5</v>
      </c>
      <c r="T38" s="1" t="s">
        <v>34</v>
      </c>
      <c r="U38" s="1" t="s">
        <v>95</v>
      </c>
      <c r="V38" s="1" t="s">
        <v>75</v>
      </c>
      <c r="W38" s="1" t="s">
        <v>83</v>
      </c>
      <c r="X38">
        <v>255762.52</v>
      </c>
      <c r="Y38" s="1" t="s">
        <v>2079</v>
      </c>
      <c r="Z38" s="1" t="s">
        <v>2080</v>
      </c>
      <c r="AI38" t="str">
        <v>Anemia</v>
      </c>
      <c r="AO38" t="str">
        <v>P00027</v>
      </c>
    </row>
    <row r="39" spans="1:41" x14ac:dyDescent="0.35">
      <c r="A39" s="1" t="s">
        <v>265</v>
      </c>
      <c r="B39" s="1" t="s">
        <v>266</v>
      </c>
      <c r="C39">
        <v>89</v>
      </c>
      <c r="D39" s="1" t="s">
        <v>25</v>
      </c>
      <c r="E39" s="1" t="s">
        <v>192</v>
      </c>
      <c r="F39" s="1" t="s">
        <v>227</v>
      </c>
      <c r="G39" s="2">
        <v>45620</v>
      </c>
      <c r="H39" s="2">
        <v>45621</v>
      </c>
      <c r="I39" s="1" t="s">
        <v>273</v>
      </c>
      <c r="J39" s="1" t="s">
        <v>87</v>
      </c>
      <c r="K39" s="1" t="s">
        <v>91</v>
      </c>
      <c r="L39" s="1" t="s">
        <v>66</v>
      </c>
      <c r="M39" s="1" t="s">
        <v>2090</v>
      </c>
      <c r="N39">
        <v>79157.570000000007</v>
      </c>
      <c r="O39">
        <v>0</v>
      </c>
      <c r="P39">
        <v>79743.33</v>
      </c>
      <c r="Q39">
        <v>1</v>
      </c>
      <c r="R39">
        <v>154</v>
      </c>
      <c r="S39">
        <v>4.5</v>
      </c>
      <c r="T39" s="1" t="s">
        <v>34</v>
      </c>
      <c r="U39" s="1" t="s">
        <v>95</v>
      </c>
      <c r="V39" s="1" t="s">
        <v>75</v>
      </c>
      <c r="W39" s="1" t="s">
        <v>131</v>
      </c>
      <c r="X39">
        <v>158900.90000000002</v>
      </c>
      <c r="Y39" s="1" t="s">
        <v>2088</v>
      </c>
      <c r="Z39" s="1" t="s">
        <v>2080</v>
      </c>
      <c r="AI39" t="str">
        <v>Malaria</v>
      </c>
      <c r="AO39" t="str">
        <v>P00028</v>
      </c>
    </row>
    <row r="40" spans="1:41" x14ac:dyDescent="0.35">
      <c r="A40" s="1" t="s">
        <v>271</v>
      </c>
      <c r="B40" s="1" t="s">
        <v>218</v>
      </c>
      <c r="C40">
        <v>35</v>
      </c>
      <c r="D40" s="1" t="s">
        <v>25</v>
      </c>
      <c r="E40" s="1" t="s">
        <v>192</v>
      </c>
      <c r="F40" s="1" t="s">
        <v>63</v>
      </c>
      <c r="G40" s="2">
        <v>45937</v>
      </c>
      <c r="H40" s="2">
        <v>45938</v>
      </c>
      <c r="I40" s="1" t="s">
        <v>273</v>
      </c>
      <c r="J40" s="1" t="s">
        <v>54</v>
      </c>
      <c r="K40" s="1" t="s">
        <v>128</v>
      </c>
      <c r="L40" s="1" t="s">
        <v>44</v>
      </c>
      <c r="M40" s="1" t="s">
        <v>2092</v>
      </c>
      <c r="N40">
        <v>277810.40000000002</v>
      </c>
      <c r="O40">
        <v>15906.89</v>
      </c>
      <c r="P40">
        <v>20333.39</v>
      </c>
      <c r="Q40">
        <v>1</v>
      </c>
      <c r="R40">
        <v>113</v>
      </c>
      <c r="S40">
        <v>4</v>
      </c>
      <c r="T40" s="1" t="s">
        <v>34</v>
      </c>
      <c r="U40" s="1" t="s">
        <v>35</v>
      </c>
      <c r="V40" s="1" t="s">
        <v>130</v>
      </c>
      <c r="W40" s="1" t="s">
        <v>131</v>
      </c>
      <c r="X40">
        <v>314050.68000000005</v>
      </c>
      <c r="Y40" s="1" t="s">
        <v>2082</v>
      </c>
      <c r="Z40" s="1" t="s">
        <v>2080</v>
      </c>
      <c r="AO40" t="str">
        <v>P00029</v>
      </c>
    </row>
    <row r="41" spans="1:41" x14ac:dyDescent="0.35">
      <c r="A41" s="1" t="s">
        <v>274</v>
      </c>
      <c r="B41" s="1" t="s">
        <v>275</v>
      </c>
      <c r="C41">
        <v>32</v>
      </c>
      <c r="D41" s="1" t="s">
        <v>25</v>
      </c>
      <c r="E41" s="1" t="s">
        <v>40</v>
      </c>
      <c r="F41" s="1" t="s">
        <v>41</v>
      </c>
      <c r="G41" s="2">
        <v>45786</v>
      </c>
      <c r="H41" s="2">
        <v>45788</v>
      </c>
      <c r="I41" s="1" t="s">
        <v>277</v>
      </c>
      <c r="J41" s="1" t="s">
        <v>115</v>
      </c>
      <c r="K41" s="1" t="s">
        <v>31</v>
      </c>
      <c r="L41" s="1" t="s">
        <v>32</v>
      </c>
      <c r="M41" s="1" t="s">
        <v>2089</v>
      </c>
      <c r="N41">
        <v>252486.99</v>
      </c>
      <c r="O41">
        <v>0</v>
      </c>
      <c r="P41">
        <v>2776.09</v>
      </c>
      <c r="Q41">
        <v>2</v>
      </c>
      <c r="R41">
        <v>41</v>
      </c>
      <c r="S41">
        <v>3.4</v>
      </c>
      <c r="T41" s="1" t="s">
        <v>46</v>
      </c>
      <c r="U41" s="1" t="s">
        <v>149</v>
      </c>
      <c r="V41" s="1" t="s">
        <v>75</v>
      </c>
      <c r="W41" s="1" t="s">
        <v>12</v>
      </c>
      <c r="X41">
        <v>255263.08</v>
      </c>
      <c r="Y41" s="1" t="s">
        <v>2082</v>
      </c>
      <c r="Z41" s="1" t="s">
        <v>2091</v>
      </c>
      <c r="AO41" t="str">
        <v>P00030</v>
      </c>
    </row>
    <row r="42" spans="1:41" x14ac:dyDescent="0.35">
      <c r="A42" s="1" t="s">
        <v>278</v>
      </c>
      <c r="B42" s="1" t="s">
        <v>279</v>
      </c>
      <c r="C42">
        <v>75</v>
      </c>
      <c r="D42" s="1" t="s">
        <v>25</v>
      </c>
      <c r="E42" s="1" t="s">
        <v>177</v>
      </c>
      <c r="F42" s="1" t="s">
        <v>41</v>
      </c>
      <c r="G42" s="2">
        <v>46149</v>
      </c>
      <c r="H42" s="2">
        <v>46152</v>
      </c>
      <c r="I42" s="1" t="s">
        <v>277</v>
      </c>
      <c r="J42" s="1" t="s">
        <v>152</v>
      </c>
      <c r="K42" s="1" t="s">
        <v>122</v>
      </c>
      <c r="L42" s="1" t="s">
        <v>32</v>
      </c>
      <c r="M42" s="1" t="s">
        <v>2089</v>
      </c>
      <c r="N42">
        <v>340072.35</v>
      </c>
      <c r="O42">
        <v>26001.54</v>
      </c>
      <c r="P42">
        <v>44429.51</v>
      </c>
      <c r="Q42">
        <v>3</v>
      </c>
      <c r="R42">
        <v>19</v>
      </c>
      <c r="S42">
        <v>3.7</v>
      </c>
      <c r="T42" s="1" t="s">
        <v>46</v>
      </c>
      <c r="U42" s="1" t="s">
        <v>149</v>
      </c>
      <c r="V42" s="1" t="s">
        <v>102</v>
      </c>
      <c r="W42" s="1" t="s">
        <v>59</v>
      </c>
      <c r="X42">
        <v>410503.39999999997</v>
      </c>
      <c r="Y42" s="1" t="s">
        <v>2088</v>
      </c>
      <c r="Z42" s="1" t="s">
        <v>2083</v>
      </c>
      <c r="AO42" t="str">
        <v>P00031</v>
      </c>
    </row>
    <row r="43" spans="1:41" x14ac:dyDescent="0.35">
      <c r="A43" s="1" t="s">
        <v>284</v>
      </c>
      <c r="B43" s="1" t="s">
        <v>285</v>
      </c>
      <c r="C43">
        <v>34</v>
      </c>
      <c r="D43" s="1" t="s">
        <v>25</v>
      </c>
      <c r="E43" s="1" t="s">
        <v>26</v>
      </c>
      <c r="F43" s="1" t="s">
        <v>120</v>
      </c>
      <c r="G43" s="2">
        <v>45450</v>
      </c>
      <c r="H43" s="2">
        <v>45455</v>
      </c>
      <c r="I43" s="1" t="s">
        <v>29</v>
      </c>
      <c r="J43" s="1" t="s">
        <v>152</v>
      </c>
      <c r="K43" s="1" t="s">
        <v>81</v>
      </c>
      <c r="L43" s="1" t="s">
        <v>32</v>
      </c>
      <c r="M43" s="1" t="s">
        <v>2086</v>
      </c>
      <c r="N43">
        <v>251372.95</v>
      </c>
      <c r="O43">
        <v>30314.81</v>
      </c>
      <c r="P43">
        <v>47930.28</v>
      </c>
      <c r="Q43">
        <v>5</v>
      </c>
      <c r="R43">
        <v>37</v>
      </c>
      <c r="S43">
        <v>3.9</v>
      </c>
      <c r="T43" s="1" t="s">
        <v>46</v>
      </c>
      <c r="U43" s="1" t="s">
        <v>35</v>
      </c>
      <c r="V43" s="1" t="s">
        <v>102</v>
      </c>
      <c r="W43" s="1" t="s">
        <v>59</v>
      </c>
      <c r="X43">
        <v>329618.04000000004</v>
      </c>
      <c r="Y43" s="1" t="s">
        <v>2082</v>
      </c>
      <c r="Z43" s="1" t="s">
        <v>2091</v>
      </c>
      <c r="AO43" t="str">
        <v>P00032</v>
      </c>
    </row>
    <row r="44" spans="1:41" x14ac:dyDescent="0.35">
      <c r="A44" s="1" t="s">
        <v>287</v>
      </c>
      <c r="B44" s="1" t="s">
        <v>288</v>
      </c>
      <c r="C44">
        <v>74</v>
      </c>
      <c r="D44" s="1" t="s">
        <v>25</v>
      </c>
      <c r="E44" s="1" t="s">
        <v>107</v>
      </c>
      <c r="F44" s="1" t="s">
        <v>108</v>
      </c>
      <c r="G44" s="2">
        <v>45599</v>
      </c>
      <c r="H44" s="2">
        <v>45366</v>
      </c>
      <c r="I44" s="1" t="s">
        <v>221</v>
      </c>
      <c r="J44" s="1" t="s">
        <v>115</v>
      </c>
      <c r="K44" s="1" t="s">
        <v>55</v>
      </c>
      <c r="L44" s="1" t="s">
        <v>32</v>
      </c>
      <c r="M44" s="1" t="s">
        <v>2078</v>
      </c>
      <c r="N44">
        <v>354297.92</v>
      </c>
      <c r="O44">
        <v>83829.56</v>
      </c>
      <c r="P44">
        <v>21979.57</v>
      </c>
      <c r="Q44">
        <v>4</v>
      </c>
      <c r="R44">
        <v>160</v>
      </c>
      <c r="S44">
        <v>3.9</v>
      </c>
      <c r="T44" s="1" t="s">
        <v>46</v>
      </c>
      <c r="U44" s="1" t="s">
        <v>35</v>
      </c>
      <c r="V44" s="1" t="s">
        <v>102</v>
      </c>
      <c r="W44" s="1" t="s">
        <v>83</v>
      </c>
      <c r="X44">
        <v>460107.05</v>
      </c>
      <c r="Y44" s="1" t="s">
        <v>2088</v>
      </c>
      <c r="Z44" s="1" t="s">
        <v>2080</v>
      </c>
      <c r="AO44" t="str">
        <v>P00033</v>
      </c>
    </row>
    <row r="45" spans="1:41" x14ac:dyDescent="0.35">
      <c r="A45" s="1" t="s">
        <v>290</v>
      </c>
      <c r="B45" s="1" t="s">
        <v>291</v>
      </c>
      <c r="C45">
        <v>25</v>
      </c>
      <c r="D45" s="1" t="s">
        <v>119</v>
      </c>
      <c r="E45" s="1" t="s">
        <v>40</v>
      </c>
      <c r="F45" s="1" t="s">
        <v>145</v>
      </c>
      <c r="G45" s="2">
        <v>45733</v>
      </c>
      <c r="H45" s="2">
        <v>45747</v>
      </c>
      <c r="I45" s="1" t="s">
        <v>273</v>
      </c>
      <c r="J45" s="1" t="s">
        <v>90</v>
      </c>
      <c r="K45" s="1" t="s">
        <v>148</v>
      </c>
      <c r="L45" s="1" t="s">
        <v>32</v>
      </c>
      <c r="M45" s="1" t="s">
        <v>2078</v>
      </c>
      <c r="N45">
        <v>102438.94</v>
      </c>
      <c r="O45">
        <v>15015.18</v>
      </c>
      <c r="P45">
        <v>0</v>
      </c>
      <c r="Q45">
        <v>14</v>
      </c>
      <c r="R45">
        <v>55</v>
      </c>
      <c r="S45">
        <v>2.7</v>
      </c>
      <c r="T45" s="1" t="s">
        <v>46</v>
      </c>
      <c r="U45" s="1" t="s">
        <v>149</v>
      </c>
      <c r="V45" s="1" t="s">
        <v>75</v>
      </c>
      <c r="W45" s="1" t="s">
        <v>131</v>
      </c>
      <c r="X45">
        <v>117454.12</v>
      </c>
      <c r="Y45" s="1" t="s">
        <v>2082</v>
      </c>
      <c r="Z45" s="1" t="s">
        <v>2091</v>
      </c>
      <c r="AO45" t="str">
        <v>P00034</v>
      </c>
    </row>
    <row r="46" spans="1:41" x14ac:dyDescent="0.35">
      <c r="A46" s="1" t="s">
        <v>293</v>
      </c>
      <c r="B46" s="1" t="s">
        <v>294</v>
      </c>
      <c r="C46">
        <v>50</v>
      </c>
      <c r="D46" s="1" t="s">
        <v>119</v>
      </c>
      <c r="E46" s="1" t="s">
        <v>86</v>
      </c>
      <c r="F46" s="1" t="s">
        <v>63</v>
      </c>
      <c r="G46" s="2">
        <v>45553</v>
      </c>
      <c r="H46" s="2">
        <v>45556</v>
      </c>
      <c r="I46" s="1" t="s">
        <v>100</v>
      </c>
      <c r="J46" s="1" t="s">
        <v>87</v>
      </c>
      <c r="K46" s="1" t="s">
        <v>91</v>
      </c>
      <c r="L46" s="1" t="s">
        <v>66</v>
      </c>
      <c r="M46" s="1" t="s">
        <v>2086</v>
      </c>
      <c r="N46">
        <v>482663.92</v>
      </c>
      <c r="O46">
        <v>53760.6</v>
      </c>
      <c r="P46">
        <v>27692.89</v>
      </c>
      <c r="Q46">
        <v>3</v>
      </c>
      <c r="R46">
        <v>27</v>
      </c>
      <c r="S46">
        <v>4.3</v>
      </c>
      <c r="T46" s="1" t="s">
        <v>34</v>
      </c>
      <c r="U46" s="1" t="s">
        <v>149</v>
      </c>
      <c r="V46" s="1" t="s">
        <v>75</v>
      </c>
      <c r="W46" s="1" t="s">
        <v>131</v>
      </c>
      <c r="X46">
        <v>564117.41</v>
      </c>
      <c r="Y46" s="1" t="s">
        <v>2079</v>
      </c>
      <c r="Z46" s="1" t="s">
        <v>2083</v>
      </c>
      <c r="AO46" t="str">
        <v>P00035</v>
      </c>
    </row>
    <row r="47" spans="1:41" x14ac:dyDescent="0.35">
      <c r="A47" s="1" t="s">
        <v>296</v>
      </c>
      <c r="B47" s="1" t="s">
        <v>297</v>
      </c>
      <c r="C47">
        <v>83</v>
      </c>
      <c r="D47" s="1" t="s">
        <v>119</v>
      </c>
      <c r="E47" s="1" t="s">
        <v>26</v>
      </c>
      <c r="F47" s="1" t="s">
        <v>63</v>
      </c>
      <c r="G47" s="2">
        <v>45594</v>
      </c>
      <c r="H47" s="2">
        <v>45595</v>
      </c>
      <c r="I47" s="1" t="s">
        <v>273</v>
      </c>
      <c r="J47" s="1" t="s">
        <v>2081</v>
      </c>
      <c r="K47" s="1" t="s">
        <v>148</v>
      </c>
      <c r="L47" s="1" t="s">
        <v>32</v>
      </c>
      <c r="M47" s="1" t="s">
        <v>2089</v>
      </c>
      <c r="N47">
        <v>385121.62</v>
      </c>
      <c r="O47">
        <v>18270.61</v>
      </c>
      <c r="P47">
        <v>0</v>
      </c>
      <c r="Q47">
        <v>1</v>
      </c>
      <c r="R47">
        <v>196</v>
      </c>
      <c r="S47">
        <v>3.6</v>
      </c>
      <c r="T47" s="1" t="s">
        <v>46</v>
      </c>
      <c r="U47" s="1" t="s">
        <v>95</v>
      </c>
      <c r="V47" s="1" t="s">
        <v>75</v>
      </c>
      <c r="W47" s="1" t="s">
        <v>12</v>
      </c>
      <c r="X47">
        <v>403392.23</v>
      </c>
      <c r="Y47" s="1" t="s">
        <v>2088</v>
      </c>
      <c r="Z47" s="1" t="s">
        <v>2080</v>
      </c>
      <c r="AO47" t="str">
        <v>P00039</v>
      </c>
    </row>
    <row r="48" spans="1:41" x14ac:dyDescent="0.35">
      <c r="A48" s="1" t="s">
        <v>302</v>
      </c>
      <c r="B48" s="1" t="s">
        <v>303</v>
      </c>
      <c r="C48">
        <v>39</v>
      </c>
      <c r="D48" s="1" t="s">
        <v>119</v>
      </c>
      <c r="E48" s="1" t="s">
        <v>192</v>
      </c>
      <c r="F48" s="1" t="s">
        <v>63</v>
      </c>
      <c r="G48" s="2">
        <v>45666</v>
      </c>
      <c r="H48" s="2">
        <v>45667</v>
      </c>
      <c r="I48" s="1" t="s">
        <v>53</v>
      </c>
      <c r="J48" s="1" t="s">
        <v>2081</v>
      </c>
      <c r="K48" s="1" t="s">
        <v>153</v>
      </c>
      <c r="L48" s="1" t="s">
        <v>44</v>
      </c>
      <c r="M48" s="1" t="s">
        <v>2085</v>
      </c>
      <c r="N48">
        <v>236841.39</v>
      </c>
      <c r="O48">
        <v>42860.97</v>
      </c>
      <c r="P48">
        <v>66348.45</v>
      </c>
      <c r="Q48">
        <v>1</v>
      </c>
      <c r="R48">
        <v>10</v>
      </c>
      <c r="S48">
        <v>1.7</v>
      </c>
      <c r="T48" s="1" t="s">
        <v>46</v>
      </c>
      <c r="U48" s="1" t="s">
        <v>35</v>
      </c>
      <c r="V48" s="1" t="s">
        <v>102</v>
      </c>
      <c r="W48" s="1" t="s">
        <v>131</v>
      </c>
      <c r="X48">
        <v>346050.81</v>
      </c>
      <c r="Y48" s="1" t="s">
        <v>2079</v>
      </c>
      <c r="Z48" s="1" t="s">
        <v>2083</v>
      </c>
      <c r="AO48" t="str">
        <v>P00040</v>
      </c>
    </row>
    <row r="49" spans="1:41" x14ac:dyDescent="0.35">
      <c r="A49" s="1" t="s">
        <v>305</v>
      </c>
      <c r="B49" s="1" t="s">
        <v>306</v>
      </c>
      <c r="C49">
        <v>50</v>
      </c>
      <c r="D49" s="1" t="s">
        <v>25</v>
      </c>
      <c r="E49" s="1" t="s">
        <v>86</v>
      </c>
      <c r="F49" s="1" t="s">
        <v>120</v>
      </c>
      <c r="G49" s="2">
        <v>45862</v>
      </c>
      <c r="H49" s="2">
        <v>45869</v>
      </c>
      <c r="I49" s="1" t="s">
        <v>273</v>
      </c>
      <c r="J49" s="1" t="s">
        <v>141</v>
      </c>
      <c r="K49" s="1" t="s">
        <v>153</v>
      </c>
      <c r="L49" s="1" t="s">
        <v>32</v>
      </c>
      <c r="M49" s="1" t="s">
        <v>57</v>
      </c>
      <c r="N49">
        <v>115211.88</v>
      </c>
      <c r="O49">
        <v>68778.8</v>
      </c>
      <c r="P49">
        <v>48470.239999999998</v>
      </c>
      <c r="Q49">
        <v>7</v>
      </c>
      <c r="R49">
        <v>183</v>
      </c>
      <c r="S49">
        <v>3.8</v>
      </c>
      <c r="T49" s="1" t="s">
        <v>46</v>
      </c>
      <c r="U49" s="1" t="s">
        <v>35</v>
      </c>
      <c r="V49" s="1" t="s">
        <v>75</v>
      </c>
      <c r="W49" s="1" t="s">
        <v>131</v>
      </c>
      <c r="X49">
        <v>232460.91999999998</v>
      </c>
      <c r="Y49" s="1" t="s">
        <v>2079</v>
      </c>
      <c r="Z49" s="1" t="s">
        <v>2080</v>
      </c>
      <c r="AO49" t="str">
        <v>P00041</v>
      </c>
    </row>
    <row r="50" spans="1:41" x14ac:dyDescent="0.35">
      <c r="A50" s="1" t="s">
        <v>311</v>
      </c>
      <c r="B50" s="1" t="s">
        <v>312</v>
      </c>
      <c r="C50">
        <v>66</v>
      </c>
      <c r="D50" s="1" t="s">
        <v>25</v>
      </c>
      <c r="E50" s="1" t="s">
        <v>177</v>
      </c>
      <c r="F50" s="1" t="s">
        <v>87</v>
      </c>
      <c r="G50" s="2">
        <v>45671</v>
      </c>
      <c r="H50" s="2">
        <v>45676</v>
      </c>
      <c r="I50" s="1" t="s">
        <v>127</v>
      </c>
      <c r="J50" s="1" t="s">
        <v>141</v>
      </c>
      <c r="K50" s="1" t="s">
        <v>91</v>
      </c>
      <c r="L50" s="1" t="s">
        <v>32</v>
      </c>
      <c r="M50" s="1" t="s">
        <v>2086</v>
      </c>
      <c r="N50">
        <v>0</v>
      </c>
      <c r="O50">
        <v>418.54</v>
      </c>
      <c r="P50">
        <v>0</v>
      </c>
      <c r="Q50">
        <v>5</v>
      </c>
      <c r="R50">
        <v>74</v>
      </c>
      <c r="S50">
        <v>4.5999999999999996</v>
      </c>
      <c r="T50" s="1" t="s">
        <v>46</v>
      </c>
      <c r="U50" s="1" t="s">
        <v>95</v>
      </c>
      <c r="V50" s="1" t="s">
        <v>102</v>
      </c>
      <c r="W50" s="1" t="s">
        <v>59</v>
      </c>
      <c r="X50">
        <v>418.54</v>
      </c>
      <c r="Y50" s="1" t="s">
        <v>2088</v>
      </c>
      <c r="Z50" s="1" t="s">
        <v>2080</v>
      </c>
      <c r="AO50" t="str">
        <v>P00042</v>
      </c>
    </row>
    <row r="51" spans="1:41" x14ac:dyDescent="0.35">
      <c r="A51" s="1" t="s">
        <v>314</v>
      </c>
      <c r="B51" s="1" t="s">
        <v>315</v>
      </c>
      <c r="C51">
        <v>44</v>
      </c>
      <c r="D51" s="1" t="s">
        <v>25</v>
      </c>
      <c r="E51" s="1" t="s">
        <v>51</v>
      </c>
      <c r="F51" s="1" t="s">
        <v>87</v>
      </c>
      <c r="G51" s="2">
        <v>45952</v>
      </c>
      <c r="H51" s="2">
        <v>45961</v>
      </c>
      <c r="I51" s="1" t="s">
        <v>29</v>
      </c>
      <c r="J51" s="1" t="s">
        <v>30</v>
      </c>
      <c r="K51" s="1" t="s">
        <v>55</v>
      </c>
      <c r="L51" s="1" t="s">
        <v>32</v>
      </c>
      <c r="M51" s="1" t="s">
        <v>2090</v>
      </c>
      <c r="N51">
        <v>448006.18</v>
      </c>
      <c r="O51">
        <v>0</v>
      </c>
      <c r="P51">
        <v>0</v>
      </c>
      <c r="Q51">
        <v>9</v>
      </c>
      <c r="R51">
        <v>90</v>
      </c>
      <c r="S51">
        <v>4.2</v>
      </c>
      <c r="T51" s="1" t="s">
        <v>34</v>
      </c>
      <c r="U51" s="1" t="s">
        <v>101</v>
      </c>
      <c r="V51" s="1" t="s">
        <v>130</v>
      </c>
      <c r="W51" s="1" t="s">
        <v>36</v>
      </c>
      <c r="X51">
        <v>448006.18</v>
      </c>
      <c r="Y51" s="1" t="s">
        <v>2079</v>
      </c>
      <c r="Z51" s="1" t="s">
        <v>2080</v>
      </c>
      <c r="AO51" t="str">
        <v>P00045</v>
      </c>
    </row>
    <row r="52" spans="1:41" x14ac:dyDescent="0.35">
      <c r="A52" s="1" t="s">
        <v>317</v>
      </c>
      <c r="B52" s="1" t="s">
        <v>318</v>
      </c>
      <c r="C52">
        <v>0</v>
      </c>
      <c r="D52" s="1" t="s">
        <v>25</v>
      </c>
      <c r="E52" s="1" t="s">
        <v>40</v>
      </c>
      <c r="F52" s="1" t="s">
        <v>227</v>
      </c>
      <c r="G52" s="2">
        <v>45892</v>
      </c>
      <c r="H52" s="2">
        <v>45895</v>
      </c>
      <c r="I52" s="1" t="s">
        <v>277</v>
      </c>
      <c r="J52" s="1" t="s">
        <v>2081</v>
      </c>
      <c r="K52" s="1" t="s">
        <v>81</v>
      </c>
      <c r="L52" s="1" t="s">
        <v>44</v>
      </c>
      <c r="M52" s="1" t="s">
        <v>2087</v>
      </c>
      <c r="N52">
        <v>207523.19</v>
      </c>
      <c r="O52">
        <v>0</v>
      </c>
      <c r="P52">
        <v>65090.18</v>
      </c>
      <c r="Q52">
        <v>3</v>
      </c>
      <c r="R52">
        <v>122</v>
      </c>
      <c r="S52">
        <v>2.5</v>
      </c>
      <c r="T52" s="1" t="s">
        <v>34</v>
      </c>
      <c r="U52" s="1" t="s">
        <v>149</v>
      </c>
      <c r="V52" s="1" t="s">
        <v>102</v>
      </c>
      <c r="W52" s="1" t="s">
        <v>36</v>
      </c>
      <c r="X52">
        <v>272613.37</v>
      </c>
      <c r="Y52" s="1" t="s">
        <v>2093</v>
      </c>
      <c r="Z52" s="1" t="s">
        <v>2080</v>
      </c>
      <c r="AO52" t="str">
        <v>P00046</v>
      </c>
    </row>
    <row r="53" spans="1:41" x14ac:dyDescent="0.35">
      <c r="A53" s="1" t="s">
        <v>320</v>
      </c>
      <c r="B53" s="1" t="s">
        <v>321</v>
      </c>
      <c r="C53">
        <v>19</v>
      </c>
      <c r="D53" s="1" t="s">
        <v>25</v>
      </c>
      <c r="E53" s="1" t="s">
        <v>26</v>
      </c>
      <c r="F53" s="1" t="s">
        <v>135</v>
      </c>
      <c r="G53" s="2">
        <v>45535</v>
      </c>
      <c r="H53" s="2">
        <v>45537</v>
      </c>
      <c r="I53" s="1" t="s">
        <v>29</v>
      </c>
      <c r="J53" s="1" t="s">
        <v>141</v>
      </c>
      <c r="K53" s="1" t="s">
        <v>163</v>
      </c>
      <c r="L53" s="1" t="s">
        <v>44</v>
      </c>
      <c r="M53" s="1" t="s">
        <v>2086</v>
      </c>
      <c r="N53">
        <v>211224.93</v>
      </c>
      <c r="O53">
        <v>53878.559999999998</v>
      </c>
      <c r="P53">
        <v>15428.22</v>
      </c>
      <c r="Q53">
        <v>2</v>
      </c>
      <c r="R53">
        <v>132</v>
      </c>
      <c r="S53">
        <v>3</v>
      </c>
      <c r="T53" s="1" t="s">
        <v>46</v>
      </c>
      <c r="U53" s="1" t="s">
        <v>35</v>
      </c>
      <c r="V53" s="1" t="s">
        <v>75</v>
      </c>
      <c r="W53" s="1" t="s">
        <v>36</v>
      </c>
      <c r="X53">
        <v>280531.70999999996</v>
      </c>
      <c r="Y53" s="1" t="s">
        <v>2082</v>
      </c>
      <c r="Z53" s="1" t="s">
        <v>2080</v>
      </c>
      <c r="AO53" t="str">
        <v>P00047</v>
      </c>
    </row>
    <row r="54" spans="1:41" x14ac:dyDescent="0.35">
      <c r="A54" s="1" t="s">
        <v>325</v>
      </c>
      <c r="B54" s="1" t="s">
        <v>294</v>
      </c>
      <c r="C54">
        <v>47</v>
      </c>
      <c r="D54" s="1" t="s">
        <v>25</v>
      </c>
      <c r="E54" s="1" t="s">
        <v>26</v>
      </c>
      <c r="F54" s="1" t="s">
        <v>193</v>
      </c>
      <c r="G54" s="2">
        <v>45853</v>
      </c>
      <c r="H54" s="2">
        <v>45854</v>
      </c>
      <c r="I54" s="1" t="s">
        <v>273</v>
      </c>
      <c r="J54" s="1" t="s">
        <v>2081</v>
      </c>
      <c r="K54" s="1" t="s">
        <v>91</v>
      </c>
      <c r="L54" s="1" t="s">
        <v>32</v>
      </c>
      <c r="M54" s="1" t="s">
        <v>2086</v>
      </c>
      <c r="N54">
        <v>204274.07</v>
      </c>
      <c r="O54">
        <v>24475.759999999998</v>
      </c>
      <c r="P54">
        <v>63425</v>
      </c>
      <c r="Q54">
        <v>1</v>
      </c>
      <c r="R54">
        <v>151</v>
      </c>
      <c r="S54">
        <v>3</v>
      </c>
      <c r="T54" s="1" t="s">
        <v>34</v>
      </c>
      <c r="U54" s="1" t="s">
        <v>35</v>
      </c>
      <c r="V54" s="1" t="s">
        <v>75</v>
      </c>
      <c r="W54" s="1" t="s">
        <v>36</v>
      </c>
      <c r="X54">
        <v>292174.83</v>
      </c>
      <c r="Y54" s="1" t="s">
        <v>2079</v>
      </c>
      <c r="Z54" s="1" t="s">
        <v>2080</v>
      </c>
      <c r="AO54" t="str">
        <v>P00049</v>
      </c>
    </row>
    <row r="55" spans="1:41" x14ac:dyDescent="0.35">
      <c r="A55" s="1" t="s">
        <v>327</v>
      </c>
      <c r="B55" s="1" t="s">
        <v>328</v>
      </c>
      <c r="C55">
        <v>36</v>
      </c>
      <c r="D55" s="1" t="s">
        <v>25</v>
      </c>
      <c r="E55" s="1" t="s">
        <v>2084</v>
      </c>
      <c r="F55" s="1" t="s">
        <v>87</v>
      </c>
      <c r="G55" s="2">
        <v>45717</v>
      </c>
      <c r="H55" s="2">
        <v>45719</v>
      </c>
      <c r="I55" s="1" t="s">
        <v>235</v>
      </c>
      <c r="J55" s="1" t="s">
        <v>141</v>
      </c>
      <c r="K55" s="1" t="s">
        <v>153</v>
      </c>
      <c r="L55" s="1" t="s">
        <v>66</v>
      </c>
      <c r="M55" s="1" t="s">
        <v>2078</v>
      </c>
      <c r="N55">
        <v>0</v>
      </c>
      <c r="O55">
        <v>0</v>
      </c>
      <c r="P55">
        <v>86006.23</v>
      </c>
      <c r="Q55">
        <v>2</v>
      </c>
      <c r="R55">
        <v>218</v>
      </c>
      <c r="S55">
        <v>3.4</v>
      </c>
      <c r="T55" s="1" t="s">
        <v>34</v>
      </c>
      <c r="U55" s="1" t="s">
        <v>35</v>
      </c>
      <c r="V55" s="1" t="s">
        <v>75</v>
      </c>
      <c r="W55" s="1" t="s">
        <v>131</v>
      </c>
      <c r="X55">
        <v>86006.23</v>
      </c>
      <c r="Y55" s="1" t="s">
        <v>2079</v>
      </c>
      <c r="Z55" s="1" t="s">
        <v>2080</v>
      </c>
      <c r="AO55" t="str">
        <v>P00050</v>
      </c>
    </row>
    <row r="56" spans="1:41" x14ac:dyDescent="0.35">
      <c r="A56" s="1" t="s">
        <v>330</v>
      </c>
      <c r="B56" s="1" t="s">
        <v>331</v>
      </c>
      <c r="C56">
        <v>49</v>
      </c>
      <c r="D56" s="1" t="s">
        <v>25</v>
      </c>
      <c r="E56" s="1" t="s">
        <v>157</v>
      </c>
      <c r="F56" s="1" t="s">
        <v>87</v>
      </c>
      <c r="G56" s="2">
        <v>45892</v>
      </c>
      <c r="H56" s="2">
        <v>45896</v>
      </c>
      <c r="I56" s="1" t="s">
        <v>173</v>
      </c>
      <c r="J56" s="1" t="s">
        <v>141</v>
      </c>
      <c r="K56" s="1" t="s">
        <v>148</v>
      </c>
      <c r="L56" s="1" t="s">
        <v>66</v>
      </c>
      <c r="M56" s="1" t="s">
        <v>2086</v>
      </c>
      <c r="N56">
        <v>651043.31000000006</v>
      </c>
      <c r="O56">
        <v>57989.37</v>
      </c>
      <c r="P56">
        <v>41162.47</v>
      </c>
      <c r="Q56">
        <v>4</v>
      </c>
      <c r="R56">
        <v>23</v>
      </c>
      <c r="S56">
        <v>1.6</v>
      </c>
      <c r="T56" s="1" t="s">
        <v>34</v>
      </c>
      <c r="U56" s="1" t="s">
        <v>95</v>
      </c>
      <c r="V56" s="1" t="s">
        <v>75</v>
      </c>
      <c r="W56" s="1" t="s">
        <v>12</v>
      </c>
      <c r="X56">
        <v>750195.15</v>
      </c>
      <c r="Y56" s="1" t="s">
        <v>2079</v>
      </c>
      <c r="Z56" s="1" t="s">
        <v>2083</v>
      </c>
      <c r="AO56" t="str">
        <v>P00051</v>
      </c>
    </row>
    <row r="57" spans="1:41" x14ac:dyDescent="0.35">
      <c r="A57" s="1" t="s">
        <v>332</v>
      </c>
      <c r="B57" s="1" t="s">
        <v>333</v>
      </c>
      <c r="C57">
        <v>26</v>
      </c>
      <c r="D57" s="1" t="s">
        <v>25</v>
      </c>
      <c r="E57" s="1" t="s">
        <v>157</v>
      </c>
      <c r="F57" s="1" t="s">
        <v>120</v>
      </c>
      <c r="G57" s="2">
        <v>45650</v>
      </c>
      <c r="H57" s="2">
        <v>45653</v>
      </c>
      <c r="I57" s="1" t="s">
        <v>29</v>
      </c>
      <c r="J57" s="1" t="s">
        <v>90</v>
      </c>
      <c r="K57" s="1" t="s">
        <v>31</v>
      </c>
      <c r="L57" s="1" t="s">
        <v>66</v>
      </c>
      <c r="M57" s="1" t="s">
        <v>2086</v>
      </c>
      <c r="N57">
        <v>20884.48</v>
      </c>
      <c r="O57">
        <v>13835.68</v>
      </c>
      <c r="P57">
        <v>12553.56</v>
      </c>
      <c r="Q57">
        <v>3</v>
      </c>
      <c r="R57">
        <v>221</v>
      </c>
      <c r="S57">
        <v>4.8</v>
      </c>
      <c r="T57" s="1" t="s">
        <v>46</v>
      </c>
      <c r="U57" s="1" t="s">
        <v>95</v>
      </c>
      <c r="V57" s="1" t="s">
        <v>75</v>
      </c>
      <c r="W57" s="1" t="s">
        <v>36</v>
      </c>
      <c r="X57">
        <v>47273.72</v>
      </c>
      <c r="Y57" s="1" t="s">
        <v>2082</v>
      </c>
      <c r="Z57" s="1" t="s">
        <v>2080</v>
      </c>
      <c r="AO57" t="str">
        <v>P00053</v>
      </c>
    </row>
    <row r="58" spans="1:41" x14ac:dyDescent="0.35">
      <c r="A58" s="1" t="s">
        <v>335</v>
      </c>
      <c r="B58" s="1" t="s">
        <v>210</v>
      </c>
      <c r="C58">
        <v>75</v>
      </c>
      <c r="D58" s="1" t="s">
        <v>119</v>
      </c>
      <c r="E58" s="1" t="s">
        <v>86</v>
      </c>
      <c r="F58" s="1" t="s">
        <v>135</v>
      </c>
      <c r="G58" s="2">
        <v>45438</v>
      </c>
      <c r="H58" s="2">
        <v>45441</v>
      </c>
      <c r="I58" s="1" t="s">
        <v>273</v>
      </c>
      <c r="J58" s="1" t="s">
        <v>87</v>
      </c>
      <c r="K58" s="1" t="s">
        <v>55</v>
      </c>
      <c r="L58" s="1" t="s">
        <v>32</v>
      </c>
      <c r="M58" s="1" t="s">
        <v>2092</v>
      </c>
      <c r="N58">
        <v>230831.56</v>
      </c>
      <c r="O58">
        <v>8467.89</v>
      </c>
      <c r="P58">
        <v>90693.72</v>
      </c>
      <c r="Q58">
        <v>3</v>
      </c>
      <c r="R58">
        <v>135</v>
      </c>
      <c r="S58">
        <v>2.4</v>
      </c>
      <c r="T58" s="1" t="s">
        <v>46</v>
      </c>
      <c r="U58" s="1" t="s">
        <v>95</v>
      </c>
      <c r="V58" s="1" t="s">
        <v>75</v>
      </c>
      <c r="W58" s="1" t="s">
        <v>83</v>
      </c>
      <c r="X58">
        <v>329993.17000000004</v>
      </c>
      <c r="Y58" s="1" t="s">
        <v>2088</v>
      </c>
      <c r="Z58" s="1" t="s">
        <v>2080</v>
      </c>
      <c r="AO58" t="str">
        <v>P00054</v>
      </c>
    </row>
    <row r="59" spans="1:41" x14ac:dyDescent="0.35">
      <c r="A59" s="1" t="s">
        <v>337</v>
      </c>
      <c r="B59" s="1" t="s">
        <v>338</v>
      </c>
      <c r="C59">
        <v>23</v>
      </c>
      <c r="D59" s="1" t="s">
        <v>119</v>
      </c>
      <c r="E59" s="1" t="s">
        <v>192</v>
      </c>
      <c r="F59" s="1" t="s">
        <v>120</v>
      </c>
      <c r="G59" s="2">
        <v>45345</v>
      </c>
      <c r="H59" s="2">
        <v>45347</v>
      </c>
      <c r="I59" s="1" t="s">
        <v>53</v>
      </c>
      <c r="J59" s="1" t="s">
        <v>141</v>
      </c>
      <c r="K59" s="1" t="s">
        <v>55</v>
      </c>
      <c r="L59" s="1" t="s">
        <v>66</v>
      </c>
      <c r="M59" s="1" t="s">
        <v>2090</v>
      </c>
      <c r="N59">
        <v>26408.04</v>
      </c>
      <c r="O59">
        <v>53154.44</v>
      </c>
      <c r="P59">
        <v>102282.5</v>
      </c>
      <c r="Q59">
        <v>2</v>
      </c>
      <c r="R59">
        <v>0</v>
      </c>
      <c r="S59">
        <v>4.4000000000000004</v>
      </c>
      <c r="T59" s="1" t="s">
        <v>46</v>
      </c>
      <c r="U59" s="1" t="s">
        <v>95</v>
      </c>
      <c r="V59" s="1" t="s">
        <v>75</v>
      </c>
      <c r="W59" s="1" t="s">
        <v>83</v>
      </c>
      <c r="X59">
        <v>181844.98</v>
      </c>
      <c r="Y59" s="1" t="s">
        <v>2082</v>
      </c>
      <c r="Z59" s="1" t="s">
        <v>2083</v>
      </c>
      <c r="AO59" t="str">
        <v>P00055</v>
      </c>
    </row>
    <row r="60" spans="1:41" x14ac:dyDescent="0.35">
      <c r="A60" s="1" t="s">
        <v>346</v>
      </c>
      <c r="B60" s="1" t="s">
        <v>347</v>
      </c>
      <c r="C60">
        <v>59</v>
      </c>
      <c r="D60" s="1" t="s">
        <v>25</v>
      </c>
      <c r="E60" s="1" t="s">
        <v>26</v>
      </c>
      <c r="F60" s="1" t="s">
        <v>63</v>
      </c>
      <c r="G60" s="2">
        <v>45879</v>
      </c>
      <c r="H60" s="2">
        <v>45882</v>
      </c>
      <c r="I60" s="1" t="s">
        <v>127</v>
      </c>
      <c r="J60" s="1" t="s">
        <v>115</v>
      </c>
      <c r="K60" s="1" t="s">
        <v>148</v>
      </c>
      <c r="L60" s="1" t="s">
        <v>66</v>
      </c>
      <c r="M60" s="1" t="s">
        <v>2078</v>
      </c>
      <c r="N60">
        <v>0</v>
      </c>
      <c r="O60">
        <v>43584</v>
      </c>
      <c r="P60">
        <v>25121.29</v>
      </c>
      <c r="Q60">
        <v>3</v>
      </c>
      <c r="R60">
        <v>137</v>
      </c>
      <c r="S60">
        <v>2.7</v>
      </c>
      <c r="T60" s="1" t="s">
        <v>46</v>
      </c>
      <c r="U60" s="1" t="s">
        <v>35</v>
      </c>
      <c r="V60" s="1" t="s">
        <v>102</v>
      </c>
      <c r="W60" s="1" t="s">
        <v>131</v>
      </c>
      <c r="X60">
        <v>68705.290000000008</v>
      </c>
      <c r="Y60" s="1" t="s">
        <v>2079</v>
      </c>
      <c r="Z60" s="1" t="s">
        <v>2080</v>
      </c>
      <c r="AO60" t="str">
        <v>P00056</v>
      </c>
    </row>
    <row r="61" spans="1:41" x14ac:dyDescent="0.35">
      <c r="A61" s="1" t="s">
        <v>349</v>
      </c>
      <c r="B61" s="1" t="s">
        <v>350</v>
      </c>
      <c r="C61">
        <v>7</v>
      </c>
      <c r="D61" s="1" t="s">
        <v>25</v>
      </c>
      <c r="E61" s="1" t="s">
        <v>40</v>
      </c>
      <c r="F61" s="1" t="s">
        <v>227</v>
      </c>
      <c r="G61" s="2">
        <v>46055</v>
      </c>
      <c r="H61" s="2">
        <v>46056</v>
      </c>
      <c r="I61" s="1" t="s">
        <v>100</v>
      </c>
      <c r="J61" s="1" t="s">
        <v>87</v>
      </c>
      <c r="K61" s="1" t="s">
        <v>174</v>
      </c>
      <c r="L61" s="1" t="s">
        <v>66</v>
      </c>
      <c r="M61" s="1" t="s">
        <v>57</v>
      </c>
      <c r="N61">
        <v>226731.89</v>
      </c>
      <c r="O61">
        <v>36493.06</v>
      </c>
      <c r="P61">
        <v>17870.5</v>
      </c>
      <c r="Q61">
        <v>1</v>
      </c>
      <c r="R61">
        <v>142</v>
      </c>
      <c r="S61">
        <v>1.5</v>
      </c>
      <c r="T61" s="1" t="s">
        <v>46</v>
      </c>
      <c r="U61" s="1" t="s">
        <v>101</v>
      </c>
      <c r="V61" s="1" t="s">
        <v>102</v>
      </c>
      <c r="W61" s="1" t="s">
        <v>83</v>
      </c>
      <c r="X61">
        <v>281095.45</v>
      </c>
      <c r="Y61" s="1" t="s">
        <v>2093</v>
      </c>
      <c r="Z61" s="1" t="s">
        <v>2080</v>
      </c>
      <c r="AO61" t="str">
        <v>P00057</v>
      </c>
    </row>
    <row r="62" spans="1:41" x14ac:dyDescent="0.35">
      <c r="A62" s="1" t="s">
        <v>352</v>
      </c>
      <c r="B62" s="1" t="s">
        <v>353</v>
      </c>
      <c r="C62">
        <v>16</v>
      </c>
      <c r="D62" s="1" t="s">
        <v>25</v>
      </c>
      <c r="E62" s="1" t="s">
        <v>192</v>
      </c>
      <c r="F62" s="1" t="s">
        <v>120</v>
      </c>
      <c r="G62" s="2">
        <v>46069</v>
      </c>
      <c r="H62" s="2">
        <v>46072</v>
      </c>
      <c r="I62" s="1" t="s">
        <v>100</v>
      </c>
      <c r="J62" s="1" t="s">
        <v>137</v>
      </c>
      <c r="K62" s="1" t="s">
        <v>148</v>
      </c>
      <c r="L62" s="1" t="s">
        <v>32</v>
      </c>
      <c r="M62" s="1" t="s">
        <v>2086</v>
      </c>
      <c r="N62">
        <v>128742.94</v>
      </c>
      <c r="O62">
        <v>31184.97</v>
      </c>
      <c r="P62">
        <v>19187.599999999999</v>
      </c>
      <c r="Q62">
        <v>3</v>
      </c>
      <c r="R62">
        <v>66</v>
      </c>
      <c r="S62">
        <v>5</v>
      </c>
      <c r="T62" s="1" t="s">
        <v>46</v>
      </c>
      <c r="U62" s="1" t="s">
        <v>35</v>
      </c>
      <c r="V62" s="1" t="s">
        <v>102</v>
      </c>
      <c r="W62" s="1" t="s">
        <v>83</v>
      </c>
      <c r="X62">
        <v>179115.51</v>
      </c>
      <c r="Y62" s="1" t="s">
        <v>2093</v>
      </c>
      <c r="Z62" s="1" t="s">
        <v>2080</v>
      </c>
      <c r="AO62" t="str">
        <v>P00059</v>
      </c>
    </row>
    <row r="63" spans="1:41" x14ac:dyDescent="0.35">
      <c r="A63" s="1" t="s">
        <v>355</v>
      </c>
      <c r="B63" s="1" t="s">
        <v>97</v>
      </c>
      <c r="C63">
        <v>61</v>
      </c>
      <c r="D63" s="1" t="s">
        <v>25</v>
      </c>
      <c r="E63" s="1" t="s">
        <v>107</v>
      </c>
      <c r="F63" s="1" t="s">
        <v>41</v>
      </c>
      <c r="G63" s="2">
        <v>45811</v>
      </c>
      <c r="H63" s="2">
        <v>45813</v>
      </c>
      <c r="I63" s="1" t="s">
        <v>53</v>
      </c>
      <c r="J63" s="1" t="s">
        <v>141</v>
      </c>
      <c r="K63" s="1" t="s">
        <v>148</v>
      </c>
      <c r="L63" s="1" t="s">
        <v>66</v>
      </c>
      <c r="M63" s="1" t="s">
        <v>2087</v>
      </c>
      <c r="N63">
        <v>61841.04</v>
      </c>
      <c r="O63">
        <v>43245.1</v>
      </c>
      <c r="P63">
        <v>88247.06</v>
      </c>
      <c r="Q63">
        <v>2</v>
      </c>
      <c r="R63">
        <v>0</v>
      </c>
      <c r="S63">
        <v>2.7</v>
      </c>
      <c r="T63" s="1" t="s">
        <v>46</v>
      </c>
      <c r="U63" s="1" t="s">
        <v>35</v>
      </c>
      <c r="V63" s="1" t="s">
        <v>102</v>
      </c>
      <c r="W63" s="1" t="s">
        <v>83</v>
      </c>
      <c r="X63">
        <v>193333.2</v>
      </c>
      <c r="Y63" s="1" t="s">
        <v>2088</v>
      </c>
      <c r="Z63" s="1" t="s">
        <v>2083</v>
      </c>
      <c r="AO63" t="str">
        <v>P00060</v>
      </c>
    </row>
    <row r="64" spans="1:41" x14ac:dyDescent="0.35">
      <c r="A64" s="1" t="s">
        <v>357</v>
      </c>
      <c r="B64" s="1" t="s">
        <v>358</v>
      </c>
      <c r="C64">
        <v>38</v>
      </c>
      <c r="D64" s="1" t="s">
        <v>25</v>
      </c>
      <c r="E64" s="1" t="s">
        <v>107</v>
      </c>
      <c r="F64" s="1" t="s">
        <v>145</v>
      </c>
      <c r="G64" s="2">
        <v>45484</v>
      </c>
      <c r="H64" s="2">
        <v>45488</v>
      </c>
      <c r="I64" s="1" t="s">
        <v>277</v>
      </c>
      <c r="J64" s="1" t="s">
        <v>141</v>
      </c>
      <c r="K64" s="1" t="s">
        <v>91</v>
      </c>
      <c r="L64" s="1" t="s">
        <v>44</v>
      </c>
      <c r="M64" s="1" t="s">
        <v>2085</v>
      </c>
      <c r="N64">
        <v>271960.42</v>
      </c>
      <c r="O64">
        <v>14900.37</v>
      </c>
      <c r="P64">
        <v>47597.69</v>
      </c>
      <c r="Q64">
        <v>4</v>
      </c>
      <c r="R64">
        <v>83</v>
      </c>
      <c r="S64">
        <v>5</v>
      </c>
      <c r="T64" s="1" t="s">
        <v>46</v>
      </c>
      <c r="U64" s="1" t="s">
        <v>35</v>
      </c>
      <c r="V64" s="1" t="s">
        <v>102</v>
      </c>
      <c r="W64" s="1" t="s">
        <v>36</v>
      </c>
      <c r="X64">
        <v>334458.48</v>
      </c>
      <c r="Y64" s="1" t="s">
        <v>2079</v>
      </c>
      <c r="Z64" s="1" t="s">
        <v>2080</v>
      </c>
      <c r="AO64" t="str">
        <v>P00062</v>
      </c>
    </row>
    <row r="65" spans="1:41" x14ac:dyDescent="0.35">
      <c r="A65" s="1" t="s">
        <v>362</v>
      </c>
      <c r="B65" s="1" t="s">
        <v>363</v>
      </c>
      <c r="C65">
        <v>88</v>
      </c>
      <c r="D65" s="1" t="s">
        <v>25</v>
      </c>
      <c r="E65" s="1" t="s">
        <v>86</v>
      </c>
      <c r="F65" s="1" t="s">
        <v>193</v>
      </c>
      <c r="G65" s="2">
        <v>45445</v>
      </c>
      <c r="H65" s="2">
        <v>45448</v>
      </c>
      <c r="I65" s="1" t="s">
        <v>277</v>
      </c>
      <c r="J65" s="1" t="s">
        <v>2081</v>
      </c>
      <c r="K65" s="1" t="s">
        <v>122</v>
      </c>
      <c r="L65" s="1" t="s">
        <v>66</v>
      </c>
      <c r="M65" s="1" t="s">
        <v>2078</v>
      </c>
      <c r="N65">
        <v>341957.46</v>
      </c>
      <c r="O65">
        <v>21849.41</v>
      </c>
      <c r="P65">
        <v>81036.42</v>
      </c>
      <c r="Q65">
        <v>3</v>
      </c>
      <c r="R65">
        <v>64</v>
      </c>
      <c r="S65">
        <v>1.1000000000000001</v>
      </c>
      <c r="T65" s="1" t="s">
        <v>34</v>
      </c>
      <c r="U65" s="1" t="s">
        <v>35</v>
      </c>
      <c r="V65" s="1" t="s">
        <v>102</v>
      </c>
      <c r="W65" s="1" t="s">
        <v>131</v>
      </c>
      <c r="X65">
        <v>444843.29</v>
      </c>
      <c r="Y65" s="1" t="s">
        <v>2088</v>
      </c>
      <c r="Z65" s="1" t="s">
        <v>2080</v>
      </c>
      <c r="AO65" t="str">
        <v>P00063</v>
      </c>
    </row>
    <row r="66" spans="1:41" x14ac:dyDescent="0.35">
      <c r="A66" s="1" t="s">
        <v>365</v>
      </c>
      <c r="B66" s="1" t="s">
        <v>206</v>
      </c>
      <c r="C66">
        <v>1</v>
      </c>
      <c r="D66" s="1" t="s">
        <v>25</v>
      </c>
      <c r="E66" s="1" t="s">
        <v>26</v>
      </c>
      <c r="F66" s="1" t="s">
        <v>145</v>
      </c>
      <c r="G66" s="2">
        <v>46261</v>
      </c>
      <c r="H66" s="2">
        <v>46262</v>
      </c>
      <c r="I66" s="1" t="s">
        <v>173</v>
      </c>
      <c r="J66" s="1" t="s">
        <v>141</v>
      </c>
      <c r="K66" s="1" t="s">
        <v>122</v>
      </c>
      <c r="L66" s="1" t="s">
        <v>66</v>
      </c>
      <c r="M66" s="1" t="s">
        <v>2078</v>
      </c>
      <c r="N66">
        <v>170788.11</v>
      </c>
      <c r="O66">
        <v>30460.46</v>
      </c>
      <c r="P66">
        <v>95293.119999999995</v>
      </c>
      <c r="Q66">
        <v>1</v>
      </c>
      <c r="R66">
        <v>119</v>
      </c>
      <c r="S66">
        <v>3.4</v>
      </c>
      <c r="T66" s="1" t="s">
        <v>46</v>
      </c>
      <c r="U66" s="1" t="s">
        <v>35</v>
      </c>
      <c r="V66" s="1" t="s">
        <v>102</v>
      </c>
      <c r="W66" s="1" t="s">
        <v>59</v>
      </c>
      <c r="X66">
        <v>296541.68999999994</v>
      </c>
      <c r="Y66" s="1" t="s">
        <v>2093</v>
      </c>
      <c r="Z66" s="1" t="s">
        <v>2080</v>
      </c>
      <c r="AO66" t="str">
        <v>P00064</v>
      </c>
    </row>
    <row r="67" spans="1:41" x14ac:dyDescent="0.35">
      <c r="A67" s="1" t="s">
        <v>367</v>
      </c>
      <c r="B67" s="1" t="s">
        <v>368</v>
      </c>
      <c r="C67">
        <v>0</v>
      </c>
      <c r="D67" s="1" t="s">
        <v>119</v>
      </c>
      <c r="E67" s="1" t="s">
        <v>2084</v>
      </c>
      <c r="F67" s="1" t="s">
        <v>120</v>
      </c>
      <c r="G67" s="2">
        <v>46147</v>
      </c>
      <c r="H67" s="2">
        <v>46152</v>
      </c>
      <c r="I67" s="1" t="s">
        <v>277</v>
      </c>
      <c r="J67" s="1" t="s">
        <v>90</v>
      </c>
      <c r="K67" s="1" t="s">
        <v>128</v>
      </c>
      <c r="L67" s="1" t="s">
        <v>32</v>
      </c>
      <c r="M67" s="1" t="s">
        <v>2078</v>
      </c>
      <c r="N67">
        <v>252986.04</v>
      </c>
      <c r="O67">
        <v>49271.63</v>
      </c>
      <c r="P67">
        <v>642.41</v>
      </c>
      <c r="Q67">
        <v>5</v>
      </c>
      <c r="R67">
        <v>180</v>
      </c>
      <c r="S67">
        <v>4.0999999999999996</v>
      </c>
      <c r="T67" s="1" t="s">
        <v>46</v>
      </c>
      <c r="U67" s="1" t="s">
        <v>149</v>
      </c>
      <c r="V67" s="1" t="s">
        <v>102</v>
      </c>
      <c r="W67" s="1" t="s">
        <v>36</v>
      </c>
      <c r="X67">
        <v>302900.07999999996</v>
      </c>
      <c r="Y67" s="1" t="s">
        <v>2093</v>
      </c>
      <c r="Z67" s="1" t="s">
        <v>2080</v>
      </c>
      <c r="AO67" t="str">
        <v>P00065</v>
      </c>
    </row>
    <row r="68" spans="1:41" x14ac:dyDescent="0.35">
      <c r="A68" s="1" t="s">
        <v>370</v>
      </c>
      <c r="B68" s="1" t="s">
        <v>371</v>
      </c>
      <c r="C68">
        <v>56</v>
      </c>
      <c r="D68" s="1" t="s">
        <v>119</v>
      </c>
      <c r="E68" s="1" t="s">
        <v>40</v>
      </c>
      <c r="F68" s="1" t="s">
        <v>145</v>
      </c>
      <c r="G68" s="2">
        <v>46094</v>
      </c>
      <c r="H68" s="2">
        <v>46096</v>
      </c>
      <c r="I68" s="1" t="s">
        <v>257</v>
      </c>
      <c r="J68" s="1" t="s">
        <v>2081</v>
      </c>
      <c r="K68" s="1" t="s">
        <v>122</v>
      </c>
      <c r="L68" s="1" t="s">
        <v>32</v>
      </c>
      <c r="M68" s="1" t="s">
        <v>2090</v>
      </c>
      <c r="N68">
        <v>537897</v>
      </c>
      <c r="O68">
        <v>34546.660000000003</v>
      </c>
      <c r="P68">
        <v>52446.62</v>
      </c>
      <c r="Q68">
        <v>2</v>
      </c>
      <c r="R68">
        <v>60</v>
      </c>
      <c r="S68">
        <v>2.6</v>
      </c>
      <c r="T68" s="1" t="s">
        <v>46</v>
      </c>
      <c r="U68" s="1" t="s">
        <v>101</v>
      </c>
      <c r="V68" s="1" t="s">
        <v>102</v>
      </c>
      <c r="W68" s="1" t="s">
        <v>36</v>
      </c>
      <c r="X68">
        <v>624890.28</v>
      </c>
      <c r="Y68" s="1" t="s">
        <v>2079</v>
      </c>
      <c r="Z68" s="1" t="s">
        <v>2080</v>
      </c>
      <c r="AO68" t="str">
        <v>P00067</v>
      </c>
    </row>
    <row r="69" spans="1:41" x14ac:dyDescent="0.35">
      <c r="A69" s="1" t="s">
        <v>383</v>
      </c>
      <c r="B69" s="1" t="s">
        <v>384</v>
      </c>
      <c r="C69">
        <v>58</v>
      </c>
      <c r="D69" s="1" t="s">
        <v>119</v>
      </c>
      <c r="E69" s="1" t="s">
        <v>219</v>
      </c>
      <c r="F69" s="1" t="s">
        <v>108</v>
      </c>
      <c r="G69" s="2">
        <v>45731</v>
      </c>
      <c r="H69" s="2">
        <v>45734</v>
      </c>
      <c r="I69" s="1" t="s">
        <v>273</v>
      </c>
      <c r="J69" s="1" t="s">
        <v>147</v>
      </c>
      <c r="K69" s="1" t="s">
        <v>148</v>
      </c>
      <c r="L69" s="1" t="s">
        <v>44</v>
      </c>
      <c r="M69" s="1" t="s">
        <v>57</v>
      </c>
      <c r="N69">
        <v>287341.28999999998</v>
      </c>
      <c r="O69">
        <v>35597.1</v>
      </c>
      <c r="P69">
        <v>21285.77</v>
      </c>
      <c r="Q69">
        <v>3</v>
      </c>
      <c r="R69">
        <v>130</v>
      </c>
      <c r="S69">
        <v>5</v>
      </c>
      <c r="T69" s="1" t="s">
        <v>46</v>
      </c>
      <c r="U69" s="1" t="s">
        <v>35</v>
      </c>
      <c r="V69" s="1" t="s">
        <v>75</v>
      </c>
      <c r="W69" s="1" t="s">
        <v>131</v>
      </c>
      <c r="X69">
        <v>344224.16</v>
      </c>
      <c r="Y69" s="1" t="s">
        <v>2079</v>
      </c>
      <c r="Z69" s="1" t="s">
        <v>2080</v>
      </c>
      <c r="AO69" t="str">
        <v>P00068</v>
      </c>
    </row>
    <row r="70" spans="1:41" x14ac:dyDescent="0.35">
      <c r="A70" s="1" t="s">
        <v>386</v>
      </c>
      <c r="B70" s="1" t="s">
        <v>321</v>
      </c>
      <c r="C70">
        <v>78</v>
      </c>
      <c r="D70" s="1" t="s">
        <v>119</v>
      </c>
      <c r="E70" s="1" t="s">
        <v>219</v>
      </c>
      <c r="F70" s="1" t="s">
        <v>63</v>
      </c>
      <c r="G70" s="2">
        <v>45942</v>
      </c>
      <c r="H70" s="2">
        <v>45950</v>
      </c>
      <c r="I70" s="1" t="s">
        <v>273</v>
      </c>
      <c r="J70" s="1" t="s">
        <v>152</v>
      </c>
      <c r="K70" s="1" t="s">
        <v>55</v>
      </c>
      <c r="L70" s="1" t="s">
        <v>44</v>
      </c>
      <c r="M70" s="1" t="s">
        <v>2085</v>
      </c>
      <c r="N70">
        <v>148429.81</v>
      </c>
      <c r="O70">
        <v>5259.88</v>
      </c>
      <c r="P70">
        <v>41226.39</v>
      </c>
      <c r="Q70">
        <v>8</v>
      </c>
      <c r="R70">
        <v>99</v>
      </c>
      <c r="S70">
        <v>5</v>
      </c>
      <c r="T70" s="1" t="s">
        <v>34</v>
      </c>
      <c r="U70" s="1" t="s">
        <v>35</v>
      </c>
      <c r="V70" s="1" t="s">
        <v>102</v>
      </c>
      <c r="W70" s="1" t="s">
        <v>83</v>
      </c>
      <c r="X70">
        <v>194916.08000000002</v>
      </c>
      <c r="Y70" s="1" t="s">
        <v>2088</v>
      </c>
      <c r="Z70" s="1" t="s">
        <v>2080</v>
      </c>
      <c r="AO70" t="str">
        <v>P00069</v>
      </c>
    </row>
    <row r="71" spans="1:41" x14ac:dyDescent="0.35">
      <c r="A71" s="1" t="s">
        <v>388</v>
      </c>
      <c r="B71" s="1" t="s">
        <v>389</v>
      </c>
      <c r="C71">
        <v>76</v>
      </c>
      <c r="D71" s="1" t="s">
        <v>119</v>
      </c>
      <c r="E71" s="1" t="s">
        <v>192</v>
      </c>
      <c r="F71" s="1" t="s">
        <v>120</v>
      </c>
      <c r="G71" s="2">
        <v>46004</v>
      </c>
      <c r="H71" s="2">
        <v>46005</v>
      </c>
      <c r="I71" s="1" t="s">
        <v>277</v>
      </c>
      <c r="J71" s="1" t="s">
        <v>87</v>
      </c>
      <c r="K71" s="1" t="s">
        <v>55</v>
      </c>
      <c r="L71" s="1" t="s">
        <v>44</v>
      </c>
      <c r="M71" s="1" t="s">
        <v>2090</v>
      </c>
      <c r="N71">
        <v>197878.89</v>
      </c>
      <c r="O71">
        <v>19327.97</v>
      </c>
      <c r="P71">
        <v>14636.87</v>
      </c>
      <c r="Q71">
        <v>1</v>
      </c>
      <c r="R71">
        <v>0</v>
      </c>
      <c r="S71">
        <v>4.8</v>
      </c>
      <c r="T71" s="1" t="s">
        <v>46</v>
      </c>
      <c r="U71" s="1" t="s">
        <v>95</v>
      </c>
      <c r="V71" s="1" t="s">
        <v>130</v>
      </c>
      <c r="W71" s="1" t="s">
        <v>36</v>
      </c>
      <c r="X71">
        <v>231843.73</v>
      </c>
      <c r="Y71" s="1" t="s">
        <v>2088</v>
      </c>
      <c r="Z71" s="1" t="s">
        <v>2083</v>
      </c>
      <c r="AO71" t="str">
        <v>P00070</v>
      </c>
    </row>
    <row r="72" spans="1:41" x14ac:dyDescent="0.35">
      <c r="A72" s="1" t="s">
        <v>391</v>
      </c>
      <c r="B72" s="1" t="s">
        <v>125</v>
      </c>
      <c r="C72">
        <v>14</v>
      </c>
      <c r="D72" s="1" t="s">
        <v>119</v>
      </c>
      <c r="E72" s="1" t="s">
        <v>112</v>
      </c>
      <c r="F72" s="1" t="s">
        <v>63</v>
      </c>
      <c r="G72" s="2">
        <v>45551</v>
      </c>
      <c r="H72" s="2">
        <v>45554</v>
      </c>
      <c r="I72" s="1" t="s">
        <v>173</v>
      </c>
      <c r="J72" s="1" t="s">
        <v>87</v>
      </c>
      <c r="K72" s="1" t="s">
        <v>91</v>
      </c>
      <c r="L72" s="1" t="s">
        <v>44</v>
      </c>
      <c r="M72" s="1" t="s">
        <v>2092</v>
      </c>
      <c r="N72">
        <v>38688.97</v>
      </c>
      <c r="O72">
        <v>21605.38</v>
      </c>
      <c r="P72">
        <v>95070.65</v>
      </c>
      <c r="Q72">
        <v>3</v>
      </c>
      <c r="R72">
        <v>75</v>
      </c>
      <c r="S72">
        <v>1.7</v>
      </c>
      <c r="T72" s="1" t="s">
        <v>46</v>
      </c>
      <c r="U72" s="1" t="s">
        <v>95</v>
      </c>
      <c r="V72" s="1" t="s">
        <v>75</v>
      </c>
      <c r="W72" s="1" t="s">
        <v>83</v>
      </c>
      <c r="X72">
        <v>155365</v>
      </c>
      <c r="Y72" s="1" t="s">
        <v>2093</v>
      </c>
      <c r="Z72" s="1" t="s">
        <v>2080</v>
      </c>
      <c r="AO72" t="str">
        <v>P00071</v>
      </c>
    </row>
    <row r="73" spans="1:41" x14ac:dyDescent="0.35">
      <c r="A73" s="1" t="s">
        <v>393</v>
      </c>
      <c r="B73" s="1" t="s">
        <v>394</v>
      </c>
      <c r="C73">
        <v>37</v>
      </c>
      <c r="D73" s="1" t="s">
        <v>119</v>
      </c>
      <c r="E73" s="1" t="s">
        <v>219</v>
      </c>
      <c r="F73" s="1" t="s">
        <v>120</v>
      </c>
      <c r="G73" s="2">
        <v>46000</v>
      </c>
      <c r="H73" s="2">
        <v>46002</v>
      </c>
      <c r="I73" s="1" t="s">
        <v>173</v>
      </c>
      <c r="J73" s="1" t="s">
        <v>2081</v>
      </c>
      <c r="K73" s="1" t="s">
        <v>91</v>
      </c>
      <c r="L73" s="1" t="s">
        <v>44</v>
      </c>
      <c r="M73" s="1" t="s">
        <v>2092</v>
      </c>
      <c r="N73">
        <v>0</v>
      </c>
      <c r="O73">
        <v>28642.63</v>
      </c>
      <c r="P73">
        <v>38071.96</v>
      </c>
      <c r="Q73">
        <v>2</v>
      </c>
      <c r="R73">
        <v>147</v>
      </c>
      <c r="S73">
        <v>5</v>
      </c>
      <c r="T73" s="1" t="s">
        <v>46</v>
      </c>
      <c r="U73" s="1" t="s">
        <v>35</v>
      </c>
      <c r="V73" s="1" t="s">
        <v>75</v>
      </c>
      <c r="W73" s="1" t="s">
        <v>83</v>
      </c>
      <c r="X73">
        <v>66714.59</v>
      </c>
      <c r="Y73" s="1" t="s">
        <v>2079</v>
      </c>
      <c r="Z73" s="1" t="s">
        <v>2080</v>
      </c>
      <c r="AO73" t="str">
        <v>P00072</v>
      </c>
    </row>
    <row r="74" spans="1:41" x14ac:dyDescent="0.35">
      <c r="A74" s="1" t="s">
        <v>396</v>
      </c>
      <c r="B74" s="1" t="s">
        <v>397</v>
      </c>
      <c r="C74">
        <v>37</v>
      </c>
      <c r="D74" s="1" t="s">
        <v>119</v>
      </c>
      <c r="E74" s="1" t="s">
        <v>192</v>
      </c>
      <c r="F74" s="1" t="s">
        <v>227</v>
      </c>
      <c r="G74" s="2">
        <v>46026</v>
      </c>
      <c r="H74" s="2">
        <v>46032</v>
      </c>
      <c r="I74" s="1" t="s">
        <v>53</v>
      </c>
      <c r="J74" s="1" t="s">
        <v>152</v>
      </c>
      <c r="K74" s="1" t="s">
        <v>91</v>
      </c>
      <c r="L74" s="1" t="s">
        <v>44</v>
      </c>
      <c r="M74" s="1" t="s">
        <v>2092</v>
      </c>
      <c r="N74">
        <v>65086.37</v>
      </c>
      <c r="O74">
        <v>94334</v>
      </c>
      <c r="P74">
        <v>46776.55</v>
      </c>
      <c r="Q74">
        <v>6</v>
      </c>
      <c r="R74">
        <v>96</v>
      </c>
      <c r="S74">
        <v>3.7</v>
      </c>
      <c r="T74" s="1" t="s">
        <v>46</v>
      </c>
      <c r="U74" s="1" t="s">
        <v>35</v>
      </c>
      <c r="V74" s="1" t="s">
        <v>75</v>
      </c>
      <c r="W74" s="1" t="s">
        <v>12</v>
      </c>
      <c r="X74">
        <v>206196.91999999998</v>
      </c>
      <c r="Y74" s="1" t="s">
        <v>2079</v>
      </c>
      <c r="Z74" s="1" t="s">
        <v>2080</v>
      </c>
      <c r="AO74" t="str">
        <v>P00075</v>
      </c>
    </row>
    <row r="75" spans="1:41" x14ac:dyDescent="0.35">
      <c r="A75" s="1" t="s">
        <v>399</v>
      </c>
      <c r="B75" s="1" t="s">
        <v>400</v>
      </c>
      <c r="C75">
        <v>39</v>
      </c>
      <c r="D75" s="1" t="s">
        <v>119</v>
      </c>
      <c r="E75" s="1" t="s">
        <v>177</v>
      </c>
      <c r="F75" s="1" t="s">
        <v>227</v>
      </c>
      <c r="G75" s="2">
        <v>45455</v>
      </c>
      <c r="H75" s="2">
        <v>45458</v>
      </c>
      <c r="I75" s="1" t="s">
        <v>53</v>
      </c>
      <c r="J75" s="1" t="s">
        <v>141</v>
      </c>
      <c r="K75" s="1" t="s">
        <v>163</v>
      </c>
      <c r="L75" s="1" t="s">
        <v>44</v>
      </c>
      <c r="M75" s="1" t="s">
        <v>2092</v>
      </c>
      <c r="N75">
        <v>139687.32</v>
      </c>
      <c r="O75">
        <v>16328.53</v>
      </c>
      <c r="P75">
        <v>44017.4</v>
      </c>
      <c r="Q75">
        <v>3</v>
      </c>
      <c r="R75">
        <v>54</v>
      </c>
      <c r="S75">
        <v>2.8</v>
      </c>
      <c r="T75" s="1" t="s">
        <v>46</v>
      </c>
      <c r="U75" s="1" t="s">
        <v>35</v>
      </c>
      <c r="V75" s="1" t="s">
        <v>102</v>
      </c>
      <c r="W75" s="1" t="s">
        <v>131</v>
      </c>
      <c r="X75">
        <v>200033.25</v>
      </c>
      <c r="Y75" s="1" t="s">
        <v>2079</v>
      </c>
      <c r="Z75" s="1" t="s">
        <v>2091</v>
      </c>
      <c r="AO75" t="str">
        <v>P00076</v>
      </c>
    </row>
    <row r="76" spans="1:41" x14ac:dyDescent="0.35">
      <c r="A76" s="1" t="s">
        <v>402</v>
      </c>
      <c r="B76" s="1" t="s">
        <v>403</v>
      </c>
      <c r="C76">
        <v>37</v>
      </c>
      <c r="D76" s="1" t="s">
        <v>119</v>
      </c>
      <c r="E76" s="1" t="s">
        <v>177</v>
      </c>
      <c r="F76" s="1" t="s">
        <v>227</v>
      </c>
      <c r="G76" s="2">
        <v>45370</v>
      </c>
      <c r="H76" s="2">
        <v>45373</v>
      </c>
      <c r="I76" s="1" t="s">
        <v>273</v>
      </c>
      <c r="J76" s="1" t="s">
        <v>152</v>
      </c>
      <c r="K76" s="1" t="s">
        <v>148</v>
      </c>
      <c r="L76" s="1" t="s">
        <v>66</v>
      </c>
      <c r="M76" s="1" t="s">
        <v>2092</v>
      </c>
      <c r="N76">
        <v>430559.02</v>
      </c>
      <c r="O76">
        <v>0</v>
      </c>
      <c r="P76">
        <v>77745.210000000006</v>
      </c>
      <c r="Q76">
        <v>3</v>
      </c>
      <c r="R76">
        <v>188</v>
      </c>
      <c r="S76">
        <v>1</v>
      </c>
      <c r="T76" s="1" t="s">
        <v>46</v>
      </c>
      <c r="U76" s="1" t="s">
        <v>95</v>
      </c>
      <c r="V76" s="1" t="s">
        <v>102</v>
      </c>
      <c r="W76" s="1" t="s">
        <v>131</v>
      </c>
      <c r="X76">
        <v>508304.23000000004</v>
      </c>
      <c r="Y76" s="1" t="s">
        <v>2079</v>
      </c>
      <c r="Z76" s="1" t="s">
        <v>2080</v>
      </c>
      <c r="AO76" t="str">
        <v>P00077</v>
      </c>
    </row>
    <row r="77" spans="1:41" x14ac:dyDescent="0.35">
      <c r="A77" s="1" t="s">
        <v>405</v>
      </c>
      <c r="B77" s="1" t="s">
        <v>406</v>
      </c>
      <c r="C77">
        <v>34</v>
      </c>
      <c r="D77" s="1" t="s">
        <v>119</v>
      </c>
      <c r="E77" s="1" t="s">
        <v>177</v>
      </c>
      <c r="F77" s="1" t="s">
        <v>108</v>
      </c>
      <c r="G77" s="2">
        <v>45918</v>
      </c>
      <c r="H77" s="2">
        <v>45920</v>
      </c>
      <c r="I77" s="1" t="s">
        <v>127</v>
      </c>
      <c r="J77" s="1" t="s">
        <v>147</v>
      </c>
      <c r="K77" s="1" t="s">
        <v>31</v>
      </c>
      <c r="L77" s="1" t="s">
        <v>44</v>
      </c>
      <c r="M77" s="1" t="s">
        <v>2090</v>
      </c>
      <c r="N77">
        <v>22948.36</v>
      </c>
      <c r="O77">
        <v>10554.58</v>
      </c>
      <c r="P77">
        <v>11682.72</v>
      </c>
      <c r="Q77">
        <v>2</v>
      </c>
      <c r="R77">
        <v>226</v>
      </c>
      <c r="S77">
        <v>4.9000000000000004</v>
      </c>
      <c r="T77" s="1" t="s">
        <v>46</v>
      </c>
      <c r="U77" s="1" t="s">
        <v>95</v>
      </c>
      <c r="V77" s="1" t="s">
        <v>75</v>
      </c>
      <c r="W77" s="1" t="s">
        <v>83</v>
      </c>
      <c r="X77">
        <v>45185.66</v>
      </c>
      <c r="Y77" s="1" t="s">
        <v>2082</v>
      </c>
      <c r="Z77" s="1" t="s">
        <v>2080</v>
      </c>
      <c r="AO77" t="str">
        <v>P00078</v>
      </c>
    </row>
    <row r="78" spans="1:41" x14ac:dyDescent="0.35">
      <c r="A78" s="1" t="s">
        <v>408</v>
      </c>
      <c r="B78" s="1" t="s">
        <v>237</v>
      </c>
      <c r="C78">
        <v>58</v>
      </c>
      <c r="D78" s="1" t="s">
        <v>119</v>
      </c>
      <c r="E78" s="1" t="s">
        <v>219</v>
      </c>
      <c r="F78" s="1" t="s">
        <v>145</v>
      </c>
      <c r="G78" s="2">
        <v>46020</v>
      </c>
      <c r="H78" s="2">
        <v>46027</v>
      </c>
      <c r="I78" s="1" t="s">
        <v>257</v>
      </c>
      <c r="J78" s="1" t="s">
        <v>87</v>
      </c>
      <c r="K78" s="1" t="s">
        <v>31</v>
      </c>
      <c r="L78" s="1" t="s">
        <v>44</v>
      </c>
      <c r="M78" s="1" t="s">
        <v>2078</v>
      </c>
      <c r="N78">
        <v>61932.75</v>
      </c>
      <c r="O78">
        <v>16886.990000000002</v>
      </c>
      <c r="P78">
        <v>59681.24</v>
      </c>
      <c r="Q78">
        <v>7</v>
      </c>
      <c r="R78">
        <v>3</v>
      </c>
      <c r="S78">
        <v>4.5999999999999996</v>
      </c>
      <c r="T78" s="1" t="s">
        <v>46</v>
      </c>
      <c r="U78" s="1" t="s">
        <v>95</v>
      </c>
      <c r="V78" s="1" t="s">
        <v>130</v>
      </c>
      <c r="W78" s="1" t="s">
        <v>83</v>
      </c>
      <c r="X78">
        <v>138500.98000000001</v>
      </c>
      <c r="Y78" s="1" t="s">
        <v>2079</v>
      </c>
      <c r="Z78" s="1" t="s">
        <v>2083</v>
      </c>
      <c r="AO78" t="str">
        <v>P00079</v>
      </c>
    </row>
    <row r="79" spans="1:41" x14ac:dyDescent="0.35">
      <c r="A79" s="1" t="s">
        <v>410</v>
      </c>
      <c r="B79" s="1" t="s">
        <v>353</v>
      </c>
      <c r="C79">
        <v>34</v>
      </c>
      <c r="D79" s="1" t="s">
        <v>119</v>
      </c>
      <c r="E79" s="1" t="s">
        <v>26</v>
      </c>
      <c r="F79" s="1" t="s">
        <v>227</v>
      </c>
      <c r="G79" s="2">
        <v>45359</v>
      </c>
      <c r="H79" s="2">
        <v>45361</v>
      </c>
      <c r="I79" s="1" t="s">
        <v>257</v>
      </c>
      <c r="J79" s="1" t="s">
        <v>54</v>
      </c>
      <c r="K79" s="1" t="s">
        <v>128</v>
      </c>
      <c r="L79" s="1" t="s">
        <v>44</v>
      </c>
      <c r="M79" s="1" t="s">
        <v>2086</v>
      </c>
      <c r="N79">
        <v>319534.40000000002</v>
      </c>
      <c r="O79">
        <v>41106.58</v>
      </c>
      <c r="P79">
        <v>34171.019999999997</v>
      </c>
      <c r="Q79">
        <v>2</v>
      </c>
      <c r="R79">
        <v>181</v>
      </c>
      <c r="S79">
        <v>2.2999999999999998</v>
      </c>
      <c r="T79" s="1" t="s">
        <v>46</v>
      </c>
      <c r="U79" s="1" t="s">
        <v>35</v>
      </c>
      <c r="V79" s="1" t="s">
        <v>102</v>
      </c>
      <c r="W79" s="1" t="s">
        <v>83</v>
      </c>
      <c r="X79">
        <v>394812.00000000006</v>
      </c>
      <c r="Y79" s="1" t="s">
        <v>2082</v>
      </c>
      <c r="Z79" s="1" t="s">
        <v>2080</v>
      </c>
      <c r="AO79" t="str">
        <v>P00081</v>
      </c>
    </row>
    <row r="80" spans="1:41" x14ac:dyDescent="0.35">
      <c r="A80" s="1" t="s">
        <v>412</v>
      </c>
      <c r="B80" s="1" t="s">
        <v>275</v>
      </c>
      <c r="C80">
        <v>56</v>
      </c>
      <c r="D80" s="1" t="s">
        <v>119</v>
      </c>
      <c r="E80" s="1" t="s">
        <v>177</v>
      </c>
      <c r="F80" s="1" t="s">
        <v>87</v>
      </c>
      <c r="G80" s="2">
        <v>45856</v>
      </c>
      <c r="H80" s="2">
        <v>45860</v>
      </c>
      <c r="I80" s="1" t="s">
        <v>257</v>
      </c>
      <c r="J80" s="1" t="s">
        <v>54</v>
      </c>
      <c r="K80" s="1" t="s">
        <v>148</v>
      </c>
      <c r="L80" s="1" t="s">
        <v>44</v>
      </c>
      <c r="M80" s="1" t="s">
        <v>57</v>
      </c>
      <c r="N80">
        <v>176663.5</v>
      </c>
      <c r="O80">
        <v>38153.33</v>
      </c>
      <c r="P80">
        <v>7466.59</v>
      </c>
      <c r="Q80">
        <v>4</v>
      </c>
      <c r="R80">
        <v>164</v>
      </c>
      <c r="S80">
        <v>3.5</v>
      </c>
      <c r="T80" s="1" t="s">
        <v>46</v>
      </c>
      <c r="U80" s="1" t="s">
        <v>149</v>
      </c>
      <c r="V80" s="1" t="s">
        <v>75</v>
      </c>
      <c r="W80" s="1" t="s">
        <v>83</v>
      </c>
      <c r="X80">
        <v>222283.42</v>
      </c>
      <c r="Y80" s="1" t="s">
        <v>2079</v>
      </c>
      <c r="Z80" s="1" t="s">
        <v>2080</v>
      </c>
      <c r="AO80" t="str">
        <v>P00082</v>
      </c>
    </row>
    <row r="81" spans="1:41" x14ac:dyDescent="0.35">
      <c r="A81" s="1" t="s">
        <v>414</v>
      </c>
      <c r="B81" s="1" t="s">
        <v>415</v>
      </c>
      <c r="C81">
        <v>66</v>
      </c>
      <c r="D81" s="1" t="s">
        <v>25</v>
      </c>
      <c r="E81" s="1" t="s">
        <v>263</v>
      </c>
      <c r="F81" s="1" t="s">
        <v>108</v>
      </c>
      <c r="G81" s="2">
        <v>46158</v>
      </c>
      <c r="H81" s="2">
        <v>46160</v>
      </c>
      <c r="I81" s="1" t="s">
        <v>29</v>
      </c>
      <c r="J81" s="1" t="s">
        <v>147</v>
      </c>
      <c r="K81" s="1" t="s">
        <v>148</v>
      </c>
      <c r="L81" s="1" t="s">
        <v>66</v>
      </c>
      <c r="M81" s="1" t="s">
        <v>2086</v>
      </c>
      <c r="N81">
        <v>121391.88</v>
      </c>
      <c r="O81">
        <v>0</v>
      </c>
      <c r="P81">
        <v>0</v>
      </c>
      <c r="Q81">
        <v>2</v>
      </c>
      <c r="R81">
        <v>140</v>
      </c>
      <c r="S81">
        <v>4.2</v>
      </c>
      <c r="T81" s="1" t="s">
        <v>46</v>
      </c>
      <c r="U81" s="1" t="s">
        <v>35</v>
      </c>
      <c r="V81" s="1" t="s">
        <v>102</v>
      </c>
      <c r="W81" s="1" t="s">
        <v>83</v>
      </c>
      <c r="X81">
        <v>121391.88</v>
      </c>
      <c r="Y81" s="1" t="s">
        <v>2088</v>
      </c>
      <c r="Z81" s="1" t="s">
        <v>2080</v>
      </c>
      <c r="AO81" t="str">
        <v>P00083</v>
      </c>
    </row>
    <row r="82" spans="1:41" x14ac:dyDescent="0.35">
      <c r="A82" s="1" t="s">
        <v>419</v>
      </c>
      <c r="B82" s="1" t="s">
        <v>420</v>
      </c>
      <c r="C82">
        <v>67</v>
      </c>
      <c r="D82" s="1" t="s">
        <v>119</v>
      </c>
      <c r="E82" s="1" t="s">
        <v>192</v>
      </c>
      <c r="F82" s="1" t="s">
        <v>41</v>
      </c>
      <c r="G82" s="2">
        <v>45997</v>
      </c>
      <c r="H82" s="2">
        <v>46000</v>
      </c>
      <c r="I82" s="1" t="s">
        <v>273</v>
      </c>
      <c r="J82" s="1" t="s">
        <v>137</v>
      </c>
      <c r="K82" s="1" t="s">
        <v>91</v>
      </c>
      <c r="L82" s="1" t="s">
        <v>32</v>
      </c>
      <c r="M82" s="1" t="s">
        <v>2085</v>
      </c>
      <c r="N82">
        <v>235991.87</v>
      </c>
      <c r="O82">
        <v>33757.54</v>
      </c>
      <c r="P82">
        <v>34091.629999999997</v>
      </c>
      <c r="Q82">
        <v>3</v>
      </c>
      <c r="R82">
        <v>90</v>
      </c>
      <c r="S82">
        <v>4.0999999999999996</v>
      </c>
      <c r="T82" s="1" t="s">
        <v>34</v>
      </c>
      <c r="U82" s="1" t="s">
        <v>149</v>
      </c>
      <c r="V82" s="1" t="s">
        <v>102</v>
      </c>
      <c r="W82" s="1" t="s">
        <v>83</v>
      </c>
      <c r="X82">
        <v>303841.03999999998</v>
      </c>
      <c r="Y82" s="1" t="s">
        <v>2088</v>
      </c>
      <c r="Z82" s="1" t="s">
        <v>2080</v>
      </c>
      <c r="AO82" t="str">
        <v>P00084</v>
      </c>
    </row>
    <row r="83" spans="1:41" x14ac:dyDescent="0.35">
      <c r="A83" s="1" t="s">
        <v>422</v>
      </c>
      <c r="B83" s="1" t="s">
        <v>423</v>
      </c>
      <c r="C83">
        <v>13</v>
      </c>
      <c r="D83" s="1" t="s">
        <v>25</v>
      </c>
      <c r="E83" s="1" t="s">
        <v>263</v>
      </c>
      <c r="F83" s="1" t="s">
        <v>41</v>
      </c>
      <c r="G83" s="2">
        <v>45769</v>
      </c>
      <c r="H83" s="2">
        <v>45770</v>
      </c>
      <c r="I83" s="1" t="s">
        <v>257</v>
      </c>
      <c r="J83" s="1" t="s">
        <v>147</v>
      </c>
      <c r="K83" s="1" t="s">
        <v>55</v>
      </c>
      <c r="L83" s="1" t="s">
        <v>44</v>
      </c>
      <c r="M83" s="1" t="s">
        <v>2087</v>
      </c>
      <c r="N83">
        <v>324056.96999999997</v>
      </c>
      <c r="O83">
        <v>34271.64</v>
      </c>
      <c r="P83">
        <v>39480.5</v>
      </c>
      <c r="Q83">
        <v>1</v>
      </c>
      <c r="R83">
        <v>96</v>
      </c>
      <c r="S83">
        <v>4.2</v>
      </c>
      <c r="T83" s="1" t="s">
        <v>34</v>
      </c>
      <c r="U83" s="1" t="s">
        <v>149</v>
      </c>
      <c r="V83" s="1" t="s">
        <v>130</v>
      </c>
      <c r="W83" s="1" t="s">
        <v>83</v>
      </c>
      <c r="X83">
        <v>397809.11</v>
      </c>
      <c r="Y83" s="1" t="s">
        <v>2093</v>
      </c>
      <c r="Z83" s="1" t="s">
        <v>2080</v>
      </c>
      <c r="AO83" t="str">
        <v>P00089</v>
      </c>
    </row>
    <row r="84" spans="1:41" x14ac:dyDescent="0.35">
      <c r="A84" s="1" t="s">
        <v>428</v>
      </c>
      <c r="B84" s="1" t="s">
        <v>429</v>
      </c>
      <c r="C84">
        <v>48</v>
      </c>
      <c r="D84" s="1" t="s">
        <v>25</v>
      </c>
      <c r="E84" s="1" t="s">
        <v>26</v>
      </c>
      <c r="F84" s="1" t="s">
        <v>135</v>
      </c>
      <c r="G84" s="2">
        <v>46159</v>
      </c>
      <c r="H84" s="2">
        <v>46163</v>
      </c>
      <c r="I84" s="1" t="s">
        <v>29</v>
      </c>
      <c r="J84" s="1" t="s">
        <v>87</v>
      </c>
      <c r="K84" s="1" t="s">
        <v>122</v>
      </c>
      <c r="L84" s="1" t="s">
        <v>44</v>
      </c>
      <c r="M84" s="1" t="s">
        <v>2086</v>
      </c>
      <c r="N84">
        <v>357576.74</v>
      </c>
      <c r="O84">
        <v>71636.86</v>
      </c>
      <c r="P84">
        <v>75431.100000000006</v>
      </c>
      <c r="Q84">
        <v>4</v>
      </c>
      <c r="R84">
        <v>0</v>
      </c>
      <c r="S84">
        <v>2</v>
      </c>
      <c r="T84" s="1" t="s">
        <v>34</v>
      </c>
      <c r="U84" s="1" t="s">
        <v>95</v>
      </c>
      <c r="V84" s="1" t="s">
        <v>130</v>
      </c>
      <c r="W84" s="1" t="s">
        <v>36</v>
      </c>
      <c r="X84">
        <v>504644.69999999995</v>
      </c>
      <c r="Y84" s="1" t="s">
        <v>2079</v>
      </c>
      <c r="Z84" s="1" t="s">
        <v>2083</v>
      </c>
      <c r="AO84" t="str">
        <v>P00090</v>
      </c>
    </row>
    <row r="85" spans="1:41" x14ac:dyDescent="0.35">
      <c r="A85" s="1" t="s">
        <v>431</v>
      </c>
      <c r="B85" s="1" t="s">
        <v>432</v>
      </c>
      <c r="C85">
        <v>43</v>
      </c>
      <c r="D85" s="1" t="s">
        <v>119</v>
      </c>
      <c r="E85" s="1" t="s">
        <v>157</v>
      </c>
      <c r="F85" s="1" t="s">
        <v>135</v>
      </c>
      <c r="G85" s="2">
        <v>45855</v>
      </c>
      <c r="H85" s="2">
        <v>45857</v>
      </c>
      <c r="I85" s="1" t="s">
        <v>127</v>
      </c>
      <c r="J85" s="1" t="s">
        <v>115</v>
      </c>
      <c r="K85" s="1" t="s">
        <v>122</v>
      </c>
      <c r="L85" s="1" t="s">
        <v>44</v>
      </c>
      <c r="M85" s="1" t="s">
        <v>2085</v>
      </c>
      <c r="N85">
        <v>292472.26</v>
      </c>
      <c r="O85">
        <v>11856.4</v>
      </c>
      <c r="P85">
        <v>50603</v>
      </c>
      <c r="Q85">
        <v>2</v>
      </c>
      <c r="R85">
        <v>38</v>
      </c>
      <c r="S85">
        <v>2.9</v>
      </c>
      <c r="T85" s="1" t="s">
        <v>34</v>
      </c>
      <c r="U85" s="1" t="s">
        <v>35</v>
      </c>
      <c r="V85" s="1" t="s">
        <v>102</v>
      </c>
      <c r="W85" s="1" t="s">
        <v>59</v>
      </c>
      <c r="X85">
        <v>354931.66000000003</v>
      </c>
      <c r="Y85" s="1" t="s">
        <v>2079</v>
      </c>
      <c r="Z85" s="1" t="s">
        <v>2091</v>
      </c>
      <c r="AO85" t="str">
        <v>P00091</v>
      </c>
    </row>
    <row r="86" spans="1:41" x14ac:dyDescent="0.35">
      <c r="A86" s="1" t="s">
        <v>434</v>
      </c>
      <c r="B86" s="1" t="s">
        <v>435</v>
      </c>
      <c r="C86">
        <v>22</v>
      </c>
      <c r="D86" s="1" t="s">
        <v>25</v>
      </c>
      <c r="E86" s="1" t="s">
        <v>177</v>
      </c>
      <c r="F86" s="1" t="s">
        <v>193</v>
      </c>
      <c r="G86" s="2">
        <v>45777</v>
      </c>
      <c r="H86" s="2">
        <v>45778</v>
      </c>
      <c r="I86" s="1" t="s">
        <v>127</v>
      </c>
      <c r="J86" s="1" t="s">
        <v>147</v>
      </c>
      <c r="K86" s="1" t="s">
        <v>122</v>
      </c>
      <c r="L86" s="1" t="s">
        <v>32</v>
      </c>
      <c r="M86" s="1" t="s">
        <v>2085</v>
      </c>
      <c r="N86">
        <v>30764.16</v>
      </c>
      <c r="O86">
        <v>5603.17</v>
      </c>
      <c r="P86">
        <v>76609.25</v>
      </c>
      <c r="Q86">
        <v>1</v>
      </c>
      <c r="R86">
        <v>23</v>
      </c>
      <c r="S86">
        <v>5</v>
      </c>
      <c r="T86" s="1" t="s">
        <v>34</v>
      </c>
      <c r="U86" s="1" t="s">
        <v>35</v>
      </c>
      <c r="V86" s="1" t="s">
        <v>75</v>
      </c>
      <c r="W86" s="1" t="s">
        <v>83</v>
      </c>
      <c r="X86">
        <v>112976.58</v>
      </c>
      <c r="Y86" s="1" t="s">
        <v>2082</v>
      </c>
      <c r="Z86" s="1" t="s">
        <v>2083</v>
      </c>
      <c r="AO86" t="str">
        <v>P00092</v>
      </c>
    </row>
    <row r="87" spans="1:41" x14ac:dyDescent="0.35">
      <c r="A87" s="1" t="s">
        <v>437</v>
      </c>
      <c r="B87" s="1" t="s">
        <v>438</v>
      </c>
      <c r="C87">
        <v>47</v>
      </c>
      <c r="D87" s="1" t="s">
        <v>25</v>
      </c>
      <c r="E87" s="1" t="s">
        <v>26</v>
      </c>
      <c r="F87" s="1" t="s">
        <v>193</v>
      </c>
      <c r="G87" s="2">
        <v>45631</v>
      </c>
      <c r="H87" s="2">
        <v>45635</v>
      </c>
      <c r="I87" s="1" t="s">
        <v>114</v>
      </c>
      <c r="J87" s="1" t="s">
        <v>2081</v>
      </c>
      <c r="K87" s="1" t="s">
        <v>55</v>
      </c>
      <c r="L87" s="1" t="s">
        <v>32</v>
      </c>
      <c r="M87" s="1" t="s">
        <v>57</v>
      </c>
      <c r="N87">
        <v>99829.91</v>
      </c>
      <c r="O87">
        <v>47507.75</v>
      </c>
      <c r="P87">
        <v>27730.87</v>
      </c>
      <c r="Q87">
        <v>4</v>
      </c>
      <c r="R87">
        <v>104</v>
      </c>
      <c r="S87">
        <v>5</v>
      </c>
      <c r="T87" s="1" t="s">
        <v>34</v>
      </c>
      <c r="U87" s="1" t="s">
        <v>95</v>
      </c>
      <c r="V87" s="1" t="s">
        <v>75</v>
      </c>
      <c r="W87" s="1" t="s">
        <v>12</v>
      </c>
      <c r="X87">
        <v>175068.53</v>
      </c>
      <c r="Y87" s="1" t="s">
        <v>2079</v>
      </c>
      <c r="Z87" s="1" t="s">
        <v>2080</v>
      </c>
      <c r="AO87" t="str">
        <v>P00093</v>
      </c>
    </row>
    <row r="88" spans="1:41" x14ac:dyDescent="0.35">
      <c r="A88" s="1" t="s">
        <v>440</v>
      </c>
      <c r="B88" s="1" t="s">
        <v>441</v>
      </c>
      <c r="C88">
        <v>68</v>
      </c>
      <c r="D88" s="1" t="s">
        <v>119</v>
      </c>
      <c r="E88" s="1" t="s">
        <v>177</v>
      </c>
      <c r="F88" s="1" t="s">
        <v>193</v>
      </c>
      <c r="G88" s="2">
        <v>46030</v>
      </c>
      <c r="H88" s="2">
        <v>46032</v>
      </c>
      <c r="I88" s="1" t="s">
        <v>257</v>
      </c>
      <c r="J88" s="1" t="s">
        <v>141</v>
      </c>
      <c r="K88" s="1" t="s">
        <v>81</v>
      </c>
      <c r="L88" s="1" t="s">
        <v>32</v>
      </c>
      <c r="M88" s="1" t="s">
        <v>57</v>
      </c>
      <c r="N88">
        <v>121555.3</v>
      </c>
      <c r="O88">
        <v>29125.29</v>
      </c>
      <c r="P88">
        <v>98124.02</v>
      </c>
      <c r="Q88">
        <v>2</v>
      </c>
      <c r="R88">
        <v>47</v>
      </c>
      <c r="S88">
        <v>5</v>
      </c>
      <c r="T88" s="1" t="s">
        <v>46</v>
      </c>
      <c r="U88" s="1" t="s">
        <v>95</v>
      </c>
      <c r="V88" s="1" t="s">
        <v>75</v>
      </c>
      <c r="W88" s="1" t="s">
        <v>83</v>
      </c>
      <c r="X88">
        <v>248804.61</v>
      </c>
      <c r="Y88" s="1" t="s">
        <v>2088</v>
      </c>
      <c r="Z88" s="1" t="s">
        <v>2091</v>
      </c>
      <c r="AO88" t="str">
        <v>P00094</v>
      </c>
    </row>
    <row r="89" spans="1:41" x14ac:dyDescent="0.35">
      <c r="A89" s="1" t="s">
        <v>442</v>
      </c>
      <c r="B89" s="1" t="s">
        <v>443</v>
      </c>
      <c r="C89">
        <v>30</v>
      </c>
      <c r="D89" s="1" t="s">
        <v>119</v>
      </c>
      <c r="E89" s="1" t="s">
        <v>177</v>
      </c>
      <c r="F89" s="1" t="s">
        <v>145</v>
      </c>
      <c r="G89" s="2">
        <v>46185</v>
      </c>
      <c r="H89" s="2">
        <v>46190</v>
      </c>
      <c r="I89" s="1" t="s">
        <v>159</v>
      </c>
      <c r="J89" s="1" t="s">
        <v>54</v>
      </c>
      <c r="K89" s="1" t="s">
        <v>122</v>
      </c>
      <c r="L89" s="1" t="s">
        <v>32</v>
      </c>
      <c r="M89" s="1" t="s">
        <v>2090</v>
      </c>
      <c r="N89">
        <v>308537.08</v>
      </c>
      <c r="O89">
        <v>54313.86</v>
      </c>
      <c r="P89">
        <v>63654.3</v>
      </c>
      <c r="Q89">
        <v>5</v>
      </c>
      <c r="R89">
        <v>0</v>
      </c>
      <c r="S89">
        <v>2.8</v>
      </c>
      <c r="T89" s="1" t="s">
        <v>46</v>
      </c>
      <c r="U89" s="1" t="s">
        <v>95</v>
      </c>
      <c r="V89" s="1" t="s">
        <v>102</v>
      </c>
      <c r="W89" s="1" t="s">
        <v>83</v>
      </c>
      <c r="X89">
        <v>426505.24</v>
      </c>
      <c r="Y89" s="1" t="s">
        <v>2082</v>
      </c>
      <c r="Z89" s="1" t="s">
        <v>2083</v>
      </c>
      <c r="AO89" t="str">
        <v>P00095</v>
      </c>
    </row>
    <row r="90" spans="1:41" x14ac:dyDescent="0.35">
      <c r="A90" s="1" t="s">
        <v>445</v>
      </c>
      <c r="B90" s="1" t="s">
        <v>446</v>
      </c>
      <c r="C90">
        <v>41</v>
      </c>
      <c r="D90" s="1" t="s">
        <v>119</v>
      </c>
      <c r="E90" s="1" t="s">
        <v>177</v>
      </c>
      <c r="F90" s="1" t="s">
        <v>108</v>
      </c>
      <c r="G90" s="2">
        <v>46114</v>
      </c>
      <c r="H90" s="2">
        <v>46116</v>
      </c>
      <c r="I90" s="1" t="s">
        <v>257</v>
      </c>
      <c r="J90" s="1" t="s">
        <v>2081</v>
      </c>
      <c r="K90" s="1" t="s">
        <v>174</v>
      </c>
      <c r="L90" s="1" t="s">
        <v>66</v>
      </c>
      <c r="M90" s="1" t="s">
        <v>2092</v>
      </c>
      <c r="N90">
        <v>306894.09000000003</v>
      </c>
      <c r="O90">
        <v>34442.53</v>
      </c>
      <c r="P90">
        <v>4939.67</v>
      </c>
      <c r="Q90">
        <v>2</v>
      </c>
      <c r="R90">
        <v>123</v>
      </c>
      <c r="S90">
        <v>4.5</v>
      </c>
      <c r="T90" s="1" t="s">
        <v>34</v>
      </c>
      <c r="U90" s="1" t="s">
        <v>95</v>
      </c>
      <c r="V90" s="1" t="s">
        <v>130</v>
      </c>
      <c r="W90" s="1" t="s">
        <v>83</v>
      </c>
      <c r="X90">
        <v>346276.29</v>
      </c>
      <c r="Y90" s="1" t="s">
        <v>2079</v>
      </c>
      <c r="Z90" s="1" t="s">
        <v>2080</v>
      </c>
      <c r="AO90" t="str">
        <v>P00096</v>
      </c>
    </row>
    <row r="91" spans="1:41" x14ac:dyDescent="0.35">
      <c r="A91" s="1" t="s">
        <v>448</v>
      </c>
      <c r="B91" s="1" t="s">
        <v>333</v>
      </c>
      <c r="C91">
        <v>66</v>
      </c>
      <c r="D91" s="1" t="s">
        <v>119</v>
      </c>
      <c r="E91" s="1" t="s">
        <v>26</v>
      </c>
      <c r="F91" s="1" t="s">
        <v>108</v>
      </c>
      <c r="G91" s="2">
        <v>45879</v>
      </c>
      <c r="H91" s="2">
        <v>45883</v>
      </c>
      <c r="I91" s="1" t="s">
        <v>173</v>
      </c>
      <c r="J91" s="1" t="s">
        <v>2081</v>
      </c>
      <c r="K91" s="1" t="s">
        <v>148</v>
      </c>
      <c r="L91" s="1" t="s">
        <v>32</v>
      </c>
      <c r="M91" s="1" t="s">
        <v>2087</v>
      </c>
      <c r="N91">
        <v>336749.1</v>
      </c>
      <c r="O91">
        <v>41479.5</v>
      </c>
      <c r="P91">
        <v>42895.03</v>
      </c>
      <c r="Q91">
        <v>4</v>
      </c>
      <c r="R91">
        <v>0</v>
      </c>
      <c r="S91">
        <v>4.3</v>
      </c>
      <c r="T91" s="1" t="s">
        <v>46</v>
      </c>
      <c r="U91" s="1" t="s">
        <v>95</v>
      </c>
      <c r="V91" s="1" t="s">
        <v>75</v>
      </c>
      <c r="W91" s="1" t="s">
        <v>83</v>
      </c>
      <c r="X91">
        <v>421123.63</v>
      </c>
      <c r="Y91" s="1" t="s">
        <v>2088</v>
      </c>
      <c r="Z91" s="1" t="s">
        <v>2083</v>
      </c>
      <c r="AO91" t="str">
        <v>P00097</v>
      </c>
    </row>
    <row r="92" spans="1:41" x14ac:dyDescent="0.35">
      <c r="A92" s="1" t="s">
        <v>449</v>
      </c>
      <c r="B92" s="1" t="s">
        <v>300</v>
      </c>
      <c r="C92">
        <v>48</v>
      </c>
      <c r="D92" s="1" t="s">
        <v>119</v>
      </c>
      <c r="E92" s="1" t="s">
        <v>177</v>
      </c>
      <c r="F92" s="1" t="s">
        <v>120</v>
      </c>
      <c r="G92" s="2">
        <v>46004</v>
      </c>
      <c r="H92" s="2">
        <v>46007</v>
      </c>
      <c r="I92" s="1" t="s">
        <v>257</v>
      </c>
      <c r="J92" s="1" t="s">
        <v>30</v>
      </c>
      <c r="K92" s="1" t="s">
        <v>148</v>
      </c>
      <c r="L92" s="1" t="s">
        <v>32</v>
      </c>
      <c r="M92" s="1" t="s">
        <v>2089</v>
      </c>
      <c r="N92">
        <v>41255.199999999997</v>
      </c>
      <c r="O92">
        <v>2973.59</v>
      </c>
      <c r="P92">
        <v>76594.59</v>
      </c>
      <c r="Q92">
        <v>3</v>
      </c>
      <c r="R92">
        <v>92</v>
      </c>
      <c r="S92">
        <v>4.5999999999999996</v>
      </c>
      <c r="T92" s="1" t="s">
        <v>46</v>
      </c>
      <c r="U92" s="1" t="s">
        <v>101</v>
      </c>
      <c r="V92" s="1" t="s">
        <v>130</v>
      </c>
      <c r="W92" s="1" t="s">
        <v>131</v>
      </c>
      <c r="X92">
        <v>120823.37999999999</v>
      </c>
      <c r="Y92" s="1" t="s">
        <v>2079</v>
      </c>
      <c r="Z92" s="1" t="s">
        <v>2080</v>
      </c>
      <c r="AO92" t="str">
        <v>P00098</v>
      </c>
    </row>
    <row r="93" spans="1:41" x14ac:dyDescent="0.35">
      <c r="A93" s="1" t="s">
        <v>458</v>
      </c>
      <c r="B93" s="1" t="s">
        <v>459</v>
      </c>
      <c r="C93">
        <v>31</v>
      </c>
      <c r="D93" s="1" t="s">
        <v>119</v>
      </c>
      <c r="E93" s="1" t="s">
        <v>26</v>
      </c>
      <c r="F93" s="1" t="s">
        <v>145</v>
      </c>
      <c r="G93" s="2">
        <v>45471</v>
      </c>
      <c r="H93" s="2">
        <v>45477</v>
      </c>
      <c r="I93" s="1" t="s">
        <v>235</v>
      </c>
      <c r="J93" s="1" t="s">
        <v>87</v>
      </c>
      <c r="K93" s="1" t="s">
        <v>128</v>
      </c>
      <c r="L93" s="1" t="s">
        <v>32</v>
      </c>
      <c r="M93" s="1" t="s">
        <v>57</v>
      </c>
      <c r="N93">
        <v>417308.64</v>
      </c>
      <c r="O93">
        <v>87472.45</v>
      </c>
      <c r="P93">
        <v>34114.839999999997</v>
      </c>
      <c r="Q93">
        <v>6</v>
      </c>
      <c r="R93">
        <v>61</v>
      </c>
      <c r="S93">
        <v>5</v>
      </c>
      <c r="T93" s="1" t="s">
        <v>46</v>
      </c>
      <c r="U93" s="1" t="s">
        <v>149</v>
      </c>
      <c r="V93" s="1" t="s">
        <v>130</v>
      </c>
      <c r="W93" s="1" t="s">
        <v>83</v>
      </c>
      <c r="X93">
        <v>538895.93000000005</v>
      </c>
      <c r="Y93" s="1" t="s">
        <v>2082</v>
      </c>
      <c r="Z93" s="1" t="s">
        <v>2080</v>
      </c>
      <c r="AO93" t="str">
        <v>P00099</v>
      </c>
    </row>
    <row r="94" spans="1:41" x14ac:dyDescent="0.35">
      <c r="A94" s="1" t="s">
        <v>462</v>
      </c>
      <c r="B94" s="1" t="s">
        <v>97</v>
      </c>
      <c r="C94">
        <v>42</v>
      </c>
      <c r="D94" s="1" t="s">
        <v>119</v>
      </c>
      <c r="E94" s="1" t="s">
        <v>219</v>
      </c>
      <c r="F94" s="1" t="s">
        <v>193</v>
      </c>
      <c r="G94" s="2">
        <v>46230</v>
      </c>
      <c r="H94" s="2">
        <v>46231</v>
      </c>
      <c r="I94" s="1" t="s">
        <v>257</v>
      </c>
      <c r="J94" s="1" t="s">
        <v>30</v>
      </c>
      <c r="K94" s="1" t="s">
        <v>163</v>
      </c>
      <c r="L94" s="1" t="s">
        <v>44</v>
      </c>
      <c r="M94" s="1" t="s">
        <v>2078</v>
      </c>
      <c r="N94">
        <v>252790.06</v>
      </c>
      <c r="O94">
        <v>68762.509999999995</v>
      </c>
      <c r="P94">
        <v>15049.38</v>
      </c>
      <c r="Q94">
        <v>1</v>
      </c>
      <c r="R94">
        <v>168</v>
      </c>
      <c r="S94">
        <v>3.4</v>
      </c>
      <c r="T94" s="1" t="s">
        <v>46</v>
      </c>
      <c r="U94" s="1" t="s">
        <v>35</v>
      </c>
      <c r="V94" s="1" t="s">
        <v>75</v>
      </c>
      <c r="W94" s="1" t="s">
        <v>83</v>
      </c>
      <c r="X94">
        <v>336601.95</v>
      </c>
      <c r="Y94" s="1" t="s">
        <v>2079</v>
      </c>
      <c r="Z94" s="1" t="s">
        <v>2080</v>
      </c>
      <c r="AO94" t="str">
        <v>P00100</v>
      </c>
    </row>
    <row r="95" spans="1:41" x14ac:dyDescent="0.35">
      <c r="A95" s="1" t="s">
        <v>464</v>
      </c>
      <c r="B95" s="1" t="s">
        <v>465</v>
      </c>
      <c r="C95">
        <v>57</v>
      </c>
      <c r="D95" s="1" t="s">
        <v>25</v>
      </c>
      <c r="E95" s="1" t="s">
        <v>219</v>
      </c>
      <c r="F95" s="1" t="s">
        <v>41</v>
      </c>
      <c r="G95" s="2">
        <v>46186</v>
      </c>
      <c r="H95" s="2">
        <v>46189</v>
      </c>
      <c r="I95" s="1" t="s">
        <v>257</v>
      </c>
      <c r="J95" s="1" t="s">
        <v>87</v>
      </c>
      <c r="K95" s="1" t="s">
        <v>122</v>
      </c>
      <c r="L95" s="1" t="s">
        <v>44</v>
      </c>
      <c r="M95" s="1" t="s">
        <v>2086</v>
      </c>
      <c r="N95">
        <v>62818.92</v>
      </c>
      <c r="O95">
        <v>39560.239999999998</v>
      </c>
      <c r="P95">
        <v>49993.57</v>
      </c>
      <c r="Q95">
        <v>3</v>
      </c>
      <c r="R95">
        <v>131</v>
      </c>
      <c r="S95">
        <v>4.0999999999999996</v>
      </c>
      <c r="T95" s="1" t="s">
        <v>46</v>
      </c>
      <c r="U95" s="1" t="s">
        <v>95</v>
      </c>
      <c r="V95" s="1" t="s">
        <v>130</v>
      </c>
      <c r="W95" s="1" t="s">
        <v>83</v>
      </c>
      <c r="X95">
        <v>152372.73000000001</v>
      </c>
      <c r="Y95" s="1" t="s">
        <v>2079</v>
      </c>
      <c r="Z95" s="1" t="s">
        <v>2080</v>
      </c>
      <c r="AO95" t="str">
        <v>P00101</v>
      </c>
    </row>
    <row r="96" spans="1:41" x14ac:dyDescent="0.35">
      <c r="A96" s="1" t="s">
        <v>467</v>
      </c>
      <c r="B96" s="1" t="s">
        <v>468</v>
      </c>
      <c r="C96">
        <v>28</v>
      </c>
      <c r="D96" s="1" t="s">
        <v>25</v>
      </c>
      <c r="E96" s="1" t="s">
        <v>219</v>
      </c>
      <c r="F96" s="1" t="s">
        <v>41</v>
      </c>
      <c r="G96" s="2">
        <v>45792</v>
      </c>
      <c r="H96" s="2">
        <v>45809</v>
      </c>
      <c r="I96" s="1" t="s">
        <v>53</v>
      </c>
      <c r="J96" s="1" t="s">
        <v>137</v>
      </c>
      <c r="K96" s="1" t="s">
        <v>163</v>
      </c>
      <c r="L96" s="1" t="s">
        <v>32</v>
      </c>
      <c r="M96" s="1" t="s">
        <v>2086</v>
      </c>
      <c r="N96">
        <v>145660.43</v>
      </c>
      <c r="O96">
        <v>14421.49</v>
      </c>
      <c r="P96">
        <v>28335.69</v>
      </c>
      <c r="Q96">
        <v>17</v>
      </c>
      <c r="R96">
        <v>47</v>
      </c>
      <c r="S96">
        <v>5</v>
      </c>
      <c r="T96" s="1" t="s">
        <v>46</v>
      </c>
      <c r="U96" s="1" t="s">
        <v>95</v>
      </c>
      <c r="V96" s="1" t="s">
        <v>130</v>
      </c>
      <c r="W96" s="1" t="s">
        <v>12</v>
      </c>
      <c r="X96">
        <v>188417.61</v>
      </c>
      <c r="Y96" s="1" t="s">
        <v>2082</v>
      </c>
      <c r="Z96" s="1" t="s">
        <v>2091</v>
      </c>
      <c r="AO96" t="str">
        <v>P00103</v>
      </c>
    </row>
    <row r="97" spans="1:41" x14ac:dyDescent="0.35">
      <c r="A97" s="1" t="s">
        <v>469</v>
      </c>
      <c r="B97" s="1" t="s">
        <v>470</v>
      </c>
      <c r="C97">
        <v>30</v>
      </c>
      <c r="D97" s="1" t="s">
        <v>25</v>
      </c>
      <c r="E97" s="1" t="s">
        <v>86</v>
      </c>
      <c r="F97" s="1" t="s">
        <v>145</v>
      </c>
      <c r="G97" s="2">
        <v>45725</v>
      </c>
      <c r="H97" s="2">
        <v>45733</v>
      </c>
      <c r="I97" s="1" t="s">
        <v>53</v>
      </c>
      <c r="J97" s="1" t="s">
        <v>137</v>
      </c>
      <c r="K97" s="1" t="s">
        <v>55</v>
      </c>
      <c r="L97" s="1" t="s">
        <v>44</v>
      </c>
      <c r="M97" s="1" t="s">
        <v>2089</v>
      </c>
      <c r="N97">
        <v>103470.22</v>
      </c>
      <c r="O97">
        <v>41785.39</v>
      </c>
      <c r="P97">
        <v>28433.31</v>
      </c>
      <c r="Q97">
        <v>8</v>
      </c>
      <c r="R97">
        <v>142</v>
      </c>
      <c r="S97">
        <v>4</v>
      </c>
      <c r="T97" s="1" t="s">
        <v>46</v>
      </c>
      <c r="U97" s="1" t="s">
        <v>95</v>
      </c>
      <c r="V97" s="1" t="s">
        <v>102</v>
      </c>
      <c r="W97" s="1" t="s">
        <v>83</v>
      </c>
      <c r="X97">
        <v>173688.91999999998</v>
      </c>
      <c r="Y97" s="1" t="s">
        <v>2082</v>
      </c>
      <c r="Z97" s="1" t="s">
        <v>2080</v>
      </c>
      <c r="AO97" t="str">
        <v>P00104</v>
      </c>
    </row>
    <row r="98" spans="1:41" x14ac:dyDescent="0.35">
      <c r="A98" s="1" t="s">
        <v>474</v>
      </c>
      <c r="B98" s="1" t="s">
        <v>475</v>
      </c>
      <c r="C98">
        <v>87</v>
      </c>
      <c r="D98" s="1" t="s">
        <v>119</v>
      </c>
      <c r="E98" s="1" t="s">
        <v>219</v>
      </c>
      <c r="F98" s="1" t="s">
        <v>135</v>
      </c>
      <c r="G98" s="2">
        <v>45545</v>
      </c>
      <c r="H98" s="2">
        <v>45550</v>
      </c>
      <c r="I98" s="1" t="s">
        <v>29</v>
      </c>
      <c r="J98" s="1" t="s">
        <v>30</v>
      </c>
      <c r="K98" s="1" t="s">
        <v>55</v>
      </c>
      <c r="L98" s="1" t="s">
        <v>32</v>
      </c>
      <c r="M98" s="1" t="s">
        <v>57</v>
      </c>
      <c r="N98">
        <v>195227.39</v>
      </c>
      <c r="O98">
        <v>10042.57</v>
      </c>
      <c r="P98">
        <v>3620.42</v>
      </c>
      <c r="Q98">
        <v>5</v>
      </c>
      <c r="R98">
        <v>40</v>
      </c>
      <c r="S98">
        <v>3.7</v>
      </c>
      <c r="T98" s="1" t="s">
        <v>46</v>
      </c>
      <c r="U98" s="1" t="s">
        <v>149</v>
      </c>
      <c r="V98" s="1" t="s">
        <v>130</v>
      </c>
      <c r="W98" s="1" t="s">
        <v>59</v>
      </c>
      <c r="X98">
        <v>208890.38000000003</v>
      </c>
      <c r="Y98" s="1" t="s">
        <v>2088</v>
      </c>
      <c r="Z98" s="1" t="s">
        <v>2091</v>
      </c>
      <c r="AO98" t="str">
        <v>P00106</v>
      </c>
    </row>
    <row r="99" spans="1:41" x14ac:dyDescent="0.35">
      <c r="A99" s="1" t="s">
        <v>477</v>
      </c>
      <c r="B99" s="1" t="s">
        <v>297</v>
      </c>
      <c r="C99">
        <v>31</v>
      </c>
      <c r="D99" s="1" t="s">
        <v>119</v>
      </c>
      <c r="E99" s="1" t="s">
        <v>26</v>
      </c>
      <c r="F99" s="1" t="s">
        <v>41</v>
      </c>
      <c r="G99" s="2">
        <v>45542</v>
      </c>
      <c r="H99" s="2">
        <v>45553</v>
      </c>
      <c r="I99" s="1" t="s">
        <v>257</v>
      </c>
      <c r="J99" s="1" t="s">
        <v>54</v>
      </c>
      <c r="K99" s="1" t="s">
        <v>31</v>
      </c>
      <c r="L99" s="1" t="s">
        <v>32</v>
      </c>
      <c r="M99" s="1" t="s">
        <v>2089</v>
      </c>
      <c r="N99">
        <v>251330.31</v>
      </c>
      <c r="O99">
        <v>29589.43</v>
      </c>
      <c r="P99">
        <v>80651.8</v>
      </c>
      <c r="Q99">
        <v>11</v>
      </c>
      <c r="R99">
        <v>284</v>
      </c>
      <c r="S99">
        <v>3</v>
      </c>
      <c r="T99" s="1" t="s">
        <v>46</v>
      </c>
      <c r="U99" s="1" t="s">
        <v>95</v>
      </c>
      <c r="V99" s="1" t="s">
        <v>130</v>
      </c>
      <c r="W99" s="1" t="s">
        <v>83</v>
      </c>
      <c r="X99">
        <v>361571.54</v>
      </c>
      <c r="Y99" s="1" t="s">
        <v>2082</v>
      </c>
      <c r="Z99" s="1" t="s">
        <v>2080</v>
      </c>
      <c r="AO99" t="str">
        <v>P00107</v>
      </c>
    </row>
    <row r="100" spans="1:41" x14ac:dyDescent="0.35">
      <c r="A100" s="1" t="s">
        <v>479</v>
      </c>
      <c r="B100" s="1" t="s">
        <v>480</v>
      </c>
      <c r="C100">
        <v>65</v>
      </c>
      <c r="D100" s="1" t="s">
        <v>25</v>
      </c>
      <c r="E100" s="1" t="s">
        <v>26</v>
      </c>
      <c r="F100" s="1" t="s">
        <v>63</v>
      </c>
      <c r="G100" s="2">
        <v>45968</v>
      </c>
      <c r="H100" s="2">
        <v>45970</v>
      </c>
      <c r="I100" s="1" t="s">
        <v>29</v>
      </c>
      <c r="J100" s="1" t="s">
        <v>141</v>
      </c>
      <c r="K100" s="1" t="s">
        <v>174</v>
      </c>
      <c r="L100" s="1" t="s">
        <v>32</v>
      </c>
      <c r="M100" s="1" t="s">
        <v>2078</v>
      </c>
      <c r="N100">
        <v>315464.81</v>
      </c>
      <c r="O100">
        <v>76167.679999999993</v>
      </c>
      <c r="P100">
        <v>62517.85</v>
      </c>
      <c r="Q100">
        <v>2</v>
      </c>
      <c r="R100">
        <v>68</v>
      </c>
      <c r="S100">
        <v>4.5</v>
      </c>
      <c r="T100" s="1" t="s">
        <v>34</v>
      </c>
      <c r="U100" s="1" t="s">
        <v>95</v>
      </c>
      <c r="V100" s="1" t="s">
        <v>130</v>
      </c>
      <c r="W100" s="1" t="s">
        <v>36</v>
      </c>
      <c r="X100">
        <v>454150.33999999997</v>
      </c>
      <c r="Y100" s="1" t="s">
        <v>2088</v>
      </c>
      <c r="Z100" s="1" t="s">
        <v>2080</v>
      </c>
      <c r="AO100" t="str">
        <v>P00108</v>
      </c>
    </row>
    <row r="101" spans="1:41" x14ac:dyDescent="0.35">
      <c r="A101" s="1" t="s">
        <v>482</v>
      </c>
      <c r="B101" s="1" t="s">
        <v>483</v>
      </c>
      <c r="C101">
        <v>61</v>
      </c>
      <c r="D101" s="1" t="s">
        <v>25</v>
      </c>
      <c r="E101" s="1" t="s">
        <v>40</v>
      </c>
      <c r="F101" s="1" t="s">
        <v>63</v>
      </c>
      <c r="G101" s="2">
        <v>45480</v>
      </c>
      <c r="H101" s="2">
        <v>45486</v>
      </c>
      <c r="I101" s="1" t="s">
        <v>257</v>
      </c>
      <c r="J101" s="1" t="s">
        <v>2081</v>
      </c>
      <c r="K101" s="1" t="s">
        <v>153</v>
      </c>
      <c r="L101" s="1" t="s">
        <v>32</v>
      </c>
      <c r="M101" s="1" t="s">
        <v>2078</v>
      </c>
      <c r="N101">
        <v>291018.36</v>
      </c>
      <c r="O101">
        <v>56666.87</v>
      </c>
      <c r="P101">
        <v>80078.87</v>
      </c>
      <c r="Q101">
        <v>6</v>
      </c>
      <c r="R101">
        <v>198</v>
      </c>
      <c r="S101">
        <v>4.5</v>
      </c>
      <c r="T101" s="1" t="s">
        <v>46</v>
      </c>
      <c r="U101" s="1" t="s">
        <v>95</v>
      </c>
      <c r="V101" s="1" t="s">
        <v>130</v>
      </c>
      <c r="W101" s="1" t="s">
        <v>36</v>
      </c>
      <c r="X101">
        <v>427764.1</v>
      </c>
      <c r="Y101" s="1" t="s">
        <v>2088</v>
      </c>
      <c r="Z101" s="1" t="s">
        <v>2080</v>
      </c>
      <c r="AO101" t="str">
        <v>P00109</v>
      </c>
    </row>
    <row r="102" spans="1:41" x14ac:dyDescent="0.35">
      <c r="A102" s="1" t="s">
        <v>485</v>
      </c>
      <c r="B102" s="1" t="s">
        <v>429</v>
      </c>
      <c r="C102">
        <v>46</v>
      </c>
      <c r="D102" s="1" t="s">
        <v>25</v>
      </c>
      <c r="E102" s="1" t="s">
        <v>219</v>
      </c>
      <c r="F102" s="1" t="s">
        <v>120</v>
      </c>
      <c r="G102" s="2">
        <v>45372</v>
      </c>
      <c r="H102" s="2">
        <v>45374</v>
      </c>
      <c r="I102" s="1" t="s">
        <v>159</v>
      </c>
      <c r="J102" s="1" t="s">
        <v>141</v>
      </c>
      <c r="K102" s="1" t="s">
        <v>153</v>
      </c>
      <c r="L102" s="1" t="s">
        <v>44</v>
      </c>
      <c r="M102" s="1" t="s">
        <v>2092</v>
      </c>
      <c r="N102">
        <v>388911.26</v>
      </c>
      <c r="O102">
        <v>9576.61</v>
      </c>
      <c r="P102">
        <v>56060.2</v>
      </c>
      <c r="Q102">
        <v>2</v>
      </c>
      <c r="R102">
        <v>65</v>
      </c>
      <c r="S102">
        <v>3.7</v>
      </c>
      <c r="T102" s="1" t="s">
        <v>46</v>
      </c>
      <c r="U102" s="1" t="s">
        <v>95</v>
      </c>
      <c r="V102" s="1" t="s">
        <v>75</v>
      </c>
      <c r="W102" s="1" t="s">
        <v>59</v>
      </c>
      <c r="X102">
        <v>454548.07</v>
      </c>
      <c r="Y102" s="1" t="s">
        <v>2079</v>
      </c>
      <c r="Z102" s="1" t="s">
        <v>2080</v>
      </c>
      <c r="AO102" t="str">
        <v>P00110</v>
      </c>
    </row>
    <row r="103" spans="1:41" x14ac:dyDescent="0.35">
      <c r="A103" s="1" t="s">
        <v>487</v>
      </c>
      <c r="B103" s="1" t="s">
        <v>488</v>
      </c>
      <c r="C103">
        <v>47</v>
      </c>
      <c r="D103" s="1" t="s">
        <v>25</v>
      </c>
      <c r="E103" s="1" t="s">
        <v>112</v>
      </c>
      <c r="F103" s="1" t="s">
        <v>227</v>
      </c>
      <c r="G103" s="2">
        <v>45307</v>
      </c>
      <c r="H103" s="2">
        <v>45314</v>
      </c>
      <c r="I103" s="1" t="s">
        <v>127</v>
      </c>
      <c r="J103" s="1" t="s">
        <v>87</v>
      </c>
      <c r="K103" s="1" t="s">
        <v>128</v>
      </c>
      <c r="L103" s="1" t="s">
        <v>44</v>
      </c>
      <c r="M103" s="1" t="s">
        <v>2092</v>
      </c>
      <c r="N103">
        <v>226501.12</v>
      </c>
      <c r="O103">
        <v>0</v>
      </c>
      <c r="P103">
        <v>67387.61</v>
      </c>
      <c r="Q103">
        <v>7</v>
      </c>
      <c r="R103">
        <v>143</v>
      </c>
      <c r="S103">
        <v>5</v>
      </c>
      <c r="T103" s="1" t="s">
        <v>46</v>
      </c>
      <c r="U103" s="1" t="s">
        <v>101</v>
      </c>
      <c r="V103" s="1" t="s">
        <v>75</v>
      </c>
      <c r="W103" s="1" t="s">
        <v>59</v>
      </c>
      <c r="X103">
        <v>293888.73</v>
      </c>
      <c r="Y103" s="1" t="s">
        <v>2079</v>
      </c>
      <c r="Z103" s="1" t="s">
        <v>2080</v>
      </c>
      <c r="AO103" t="str">
        <v>P00111</v>
      </c>
    </row>
    <row r="104" spans="1:41" x14ac:dyDescent="0.35">
      <c r="A104" s="1" t="s">
        <v>490</v>
      </c>
      <c r="B104" s="1" t="s">
        <v>491</v>
      </c>
      <c r="C104">
        <v>47</v>
      </c>
      <c r="D104" s="1" t="s">
        <v>119</v>
      </c>
      <c r="E104" s="1" t="s">
        <v>86</v>
      </c>
      <c r="F104" s="1" t="s">
        <v>120</v>
      </c>
      <c r="G104" s="2">
        <v>45660</v>
      </c>
      <c r="H104" s="2">
        <v>45662</v>
      </c>
      <c r="I104" s="1" t="s">
        <v>127</v>
      </c>
      <c r="J104" s="1" t="s">
        <v>2081</v>
      </c>
      <c r="K104" s="1" t="s">
        <v>128</v>
      </c>
      <c r="L104" s="1" t="s">
        <v>66</v>
      </c>
      <c r="M104" s="1" t="s">
        <v>2092</v>
      </c>
      <c r="N104">
        <v>254913.72</v>
      </c>
      <c r="O104">
        <v>69436.33</v>
      </c>
      <c r="P104">
        <v>42141.13</v>
      </c>
      <c r="Q104">
        <v>2</v>
      </c>
      <c r="R104">
        <v>115</v>
      </c>
      <c r="S104">
        <v>4.5</v>
      </c>
      <c r="T104" s="1" t="s">
        <v>46</v>
      </c>
      <c r="U104" s="1" t="s">
        <v>35</v>
      </c>
      <c r="V104" s="1" t="s">
        <v>75</v>
      </c>
      <c r="W104" s="1" t="s">
        <v>36</v>
      </c>
      <c r="X104">
        <v>366491.18</v>
      </c>
      <c r="Y104" s="1" t="s">
        <v>2079</v>
      </c>
      <c r="Z104" s="1" t="s">
        <v>2080</v>
      </c>
      <c r="AO104" t="str">
        <v>P00112</v>
      </c>
    </row>
    <row r="105" spans="1:41" x14ac:dyDescent="0.35">
      <c r="A105" s="1" t="s">
        <v>493</v>
      </c>
      <c r="B105" s="1" t="s">
        <v>494</v>
      </c>
      <c r="C105">
        <v>33</v>
      </c>
      <c r="D105" s="1" t="s">
        <v>119</v>
      </c>
      <c r="E105" s="1" t="s">
        <v>177</v>
      </c>
      <c r="F105" s="1" t="s">
        <v>108</v>
      </c>
      <c r="G105" s="2">
        <v>45719</v>
      </c>
      <c r="H105" s="2">
        <v>45722</v>
      </c>
      <c r="I105" s="1" t="s">
        <v>235</v>
      </c>
      <c r="J105" s="1" t="s">
        <v>30</v>
      </c>
      <c r="K105" s="1" t="s">
        <v>128</v>
      </c>
      <c r="L105" s="1" t="s">
        <v>32</v>
      </c>
      <c r="M105" s="1" t="s">
        <v>2092</v>
      </c>
      <c r="N105">
        <v>247172.6</v>
      </c>
      <c r="O105">
        <v>56840.79</v>
      </c>
      <c r="P105">
        <v>14204.54</v>
      </c>
      <c r="Q105">
        <v>3</v>
      </c>
      <c r="R105">
        <v>104</v>
      </c>
      <c r="S105">
        <v>2.8</v>
      </c>
      <c r="T105" s="1" t="s">
        <v>46</v>
      </c>
      <c r="U105" s="1" t="s">
        <v>35</v>
      </c>
      <c r="V105" s="1" t="s">
        <v>75</v>
      </c>
      <c r="W105" s="1" t="s">
        <v>36</v>
      </c>
      <c r="X105">
        <v>318217.93</v>
      </c>
      <c r="Y105" s="1" t="s">
        <v>2082</v>
      </c>
      <c r="Z105" s="1" t="s">
        <v>2080</v>
      </c>
      <c r="AO105" t="str">
        <v>P00113</v>
      </c>
    </row>
    <row r="106" spans="1:41" x14ac:dyDescent="0.35">
      <c r="A106" s="1" t="s">
        <v>496</v>
      </c>
      <c r="B106" s="1" t="s">
        <v>497</v>
      </c>
      <c r="C106">
        <v>9</v>
      </c>
      <c r="D106" s="1" t="s">
        <v>119</v>
      </c>
      <c r="E106" s="1" t="s">
        <v>51</v>
      </c>
      <c r="F106" s="1" t="s">
        <v>145</v>
      </c>
      <c r="G106" s="2">
        <v>45792</v>
      </c>
      <c r="H106" s="2">
        <v>45799</v>
      </c>
      <c r="I106" s="1" t="s">
        <v>53</v>
      </c>
      <c r="J106" s="1" t="s">
        <v>30</v>
      </c>
      <c r="K106" s="1" t="s">
        <v>174</v>
      </c>
      <c r="L106" s="1" t="s">
        <v>44</v>
      </c>
      <c r="M106" s="1" t="s">
        <v>2089</v>
      </c>
      <c r="N106">
        <v>141750.94</v>
      </c>
      <c r="O106">
        <v>39430.300000000003</v>
      </c>
      <c r="P106">
        <v>91965.72</v>
      </c>
      <c r="Q106">
        <v>7</v>
      </c>
      <c r="R106">
        <v>90</v>
      </c>
      <c r="S106">
        <v>3</v>
      </c>
      <c r="T106" s="1" t="s">
        <v>46</v>
      </c>
      <c r="U106" s="1" t="s">
        <v>95</v>
      </c>
      <c r="V106" s="1" t="s">
        <v>75</v>
      </c>
      <c r="W106" s="1" t="s">
        <v>83</v>
      </c>
      <c r="X106">
        <v>273146.95999999996</v>
      </c>
      <c r="Y106" s="1" t="s">
        <v>2093</v>
      </c>
      <c r="Z106" s="1" t="s">
        <v>2080</v>
      </c>
      <c r="AO106" t="str">
        <v>P00114</v>
      </c>
    </row>
    <row r="107" spans="1:41" x14ac:dyDescent="0.35">
      <c r="A107" s="1" t="s">
        <v>501</v>
      </c>
      <c r="B107" s="1" t="s">
        <v>176</v>
      </c>
      <c r="C107">
        <v>30</v>
      </c>
      <c r="D107" s="1" t="s">
        <v>25</v>
      </c>
      <c r="E107" s="1" t="s">
        <v>51</v>
      </c>
      <c r="F107" s="1" t="s">
        <v>63</v>
      </c>
      <c r="G107" s="2">
        <v>45538</v>
      </c>
      <c r="H107" s="2">
        <v>45541</v>
      </c>
      <c r="I107" s="1" t="s">
        <v>173</v>
      </c>
      <c r="J107" s="1" t="s">
        <v>2081</v>
      </c>
      <c r="K107" s="1" t="s">
        <v>174</v>
      </c>
      <c r="L107" s="1" t="s">
        <v>44</v>
      </c>
      <c r="M107" s="1" t="s">
        <v>57</v>
      </c>
      <c r="N107">
        <v>40757.379999999997</v>
      </c>
      <c r="O107">
        <v>51811.43</v>
      </c>
      <c r="P107">
        <v>64506.04</v>
      </c>
      <c r="Q107">
        <v>3</v>
      </c>
      <c r="R107">
        <v>87</v>
      </c>
      <c r="S107">
        <v>5</v>
      </c>
      <c r="T107" s="1" t="s">
        <v>46</v>
      </c>
      <c r="U107" s="1" t="s">
        <v>95</v>
      </c>
      <c r="V107" s="1" t="s">
        <v>75</v>
      </c>
      <c r="W107" s="1" t="s">
        <v>59</v>
      </c>
      <c r="X107">
        <v>157074.85</v>
      </c>
      <c r="Y107" s="1" t="s">
        <v>2082</v>
      </c>
      <c r="Z107" s="1" t="s">
        <v>2080</v>
      </c>
      <c r="AO107" t="str">
        <v>P00118</v>
      </c>
    </row>
    <row r="108" spans="1:41" x14ac:dyDescent="0.35">
      <c r="A108" s="1" t="s">
        <v>503</v>
      </c>
      <c r="B108" s="1" t="s">
        <v>262</v>
      </c>
      <c r="C108">
        <v>9</v>
      </c>
      <c r="D108" s="1" t="s">
        <v>119</v>
      </c>
      <c r="E108" s="1" t="s">
        <v>86</v>
      </c>
      <c r="F108" s="1" t="s">
        <v>87</v>
      </c>
      <c r="G108" s="2">
        <v>46069</v>
      </c>
      <c r="H108" s="2">
        <v>46070</v>
      </c>
      <c r="I108" s="1" t="s">
        <v>273</v>
      </c>
      <c r="J108" s="1" t="s">
        <v>115</v>
      </c>
      <c r="K108" s="1" t="s">
        <v>174</v>
      </c>
      <c r="L108" s="1" t="s">
        <v>44</v>
      </c>
      <c r="M108" s="1" t="s">
        <v>2089</v>
      </c>
      <c r="N108">
        <v>123132.87</v>
      </c>
      <c r="O108">
        <v>28860.35</v>
      </c>
      <c r="P108">
        <v>52300.18</v>
      </c>
      <c r="Q108">
        <v>1</v>
      </c>
      <c r="R108">
        <v>76</v>
      </c>
      <c r="S108">
        <v>4.2</v>
      </c>
      <c r="T108" s="1" t="s">
        <v>46</v>
      </c>
      <c r="U108" s="1" t="s">
        <v>95</v>
      </c>
      <c r="V108" s="1" t="s">
        <v>102</v>
      </c>
      <c r="W108" s="1" t="s">
        <v>131</v>
      </c>
      <c r="X108">
        <v>204293.4</v>
      </c>
      <c r="Y108" s="1" t="s">
        <v>2093</v>
      </c>
      <c r="Z108" s="1" t="s">
        <v>2080</v>
      </c>
      <c r="AO108" t="str">
        <v>P00120</v>
      </c>
    </row>
    <row r="109" spans="1:41" x14ac:dyDescent="0.35">
      <c r="A109" s="1" t="s">
        <v>504</v>
      </c>
      <c r="B109" s="1" t="s">
        <v>505</v>
      </c>
      <c r="C109">
        <v>74</v>
      </c>
      <c r="D109" s="1" t="s">
        <v>119</v>
      </c>
      <c r="E109" s="1" t="s">
        <v>40</v>
      </c>
      <c r="F109" s="1" t="s">
        <v>108</v>
      </c>
      <c r="G109" s="2">
        <v>45832</v>
      </c>
      <c r="H109" s="2">
        <v>45833</v>
      </c>
      <c r="I109" s="1" t="s">
        <v>273</v>
      </c>
      <c r="J109" s="1" t="s">
        <v>2081</v>
      </c>
      <c r="K109" s="1" t="s">
        <v>148</v>
      </c>
      <c r="L109" s="1" t="s">
        <v>44</v>
      </c>
      <c r="M109" s="1" t="s">
        <v>2086</v>
      </c>
      <c r="N109">
        <v>208498.84</v>
      </c>
      <c r="O109">
        <v>57932.4</v>
      </c>
      <c r="P109">
        <v>55281.760000000002</v>
      </c>
      <c r="Q109">
        <v>1</v>
      </c>
      <c r="R109">
        <v>129</v>
      </c>
      <c r="S109">
        <v>4.4000000000000004</v>
      </c>
      <c r="T109" s="1" t="s">
        <v>34</v>
      </c>
      <c r="U109" s="1" t="s">
        <v>95</v>
      </c>
      <c r="V109" s="1" t="s">
        <v>102</v>
      </c>
      <c r="W109" s="1" t="s">
        <v>83</v>
      </c>
      <c r="X109">
        <v>321713</v>
      </c>
      <c r="Y109" s="1" t="s">
        <v>2088</v>
      </c>
      <c r="Z109" s="1" t="s">
        <v>2080</v>
      </c>
      <c r="AO109" t="str">
        <v>P00121</v>
      </c>
    </row>
    <row r="110" spans="1:41" x14ac:dyDescent="0.35">
      <c r="A110" s="1" t="s">
        <v>507</v>
      </c>
      <c r="B110" s="1" t="s">
        <v>508</v>
      </c>
      <c r="C110">
        <v>57</v>
      </c>
      <c r="D110" s="1" t="s">
        <v>119</v>
      </c>
      <c r="E110" s="1" t="s">
        <v>40</v>
      </c>
      <c r="F110" s="1" t="s">
        <v>193</v>
      </c>
      <c r="G110" s="2">
        <v>45598</v>
      </c>
      <c r="H110" s="2">
        <v>45602</v>
      </c>
      <c r="I110" s="1" t="s">
        <v>273</v>
      </c>
      <c r="J110" s="1" t="s">
        <v>141</v>
      </c>
      <c r="K110" s="1" t="s">
        <v>174</v>
      </c>
      <c r="L110" s="1" t="s">
        <v>66</v>
      </c>
      <c r="M110" s="1" t="s">
        <v>2086</v>
      </c>
      <c r="N110">
        <v>406081.35</v>
      </c>
      <c r="O110">
        <v>34913.03</v>
      </c>
      <c r="P110">
        <v>66270.11</v>
      </c>
      <c r="Q110">
        <v>4</v>
      </c>
      <c r="R110">
        <v>88</v>
      </c>
      <c r="S110">
        <v>5</v>
      </c>
      <c r="T110" s="1" t="s">
        <v>34</v>
      </c>
      <c r="U110" s="1" t="s">
        <v>149</v>
      </c>
      <c r="V110" s="1" t="s">
        <v>75</v>
      </c>
      <c r="W110" s="1" t="s">
        <v>83</v>
      </c>
      <c r="X110">
        <v>507264.49</v>
      </c>
      <c r="Y110" s="1" t="s">
        <v>2079</v>
      </c>
      <c r="Z110" s="1" t="s">
        <v>2080</v>
      </c>
      <c r="AO110" t="str">
        <v>P00122</v>
      </c>
    </row>
    <row r="111" spans="1:41" x14ac:dyDescent="0.35">
      <c r="A111" s="1" t="s">
        <v>513</v>
      </c>
      <c r="B111" s="1" t="s">
        <v>49</v>
      </c>
      <c r="C111">
        <v>33</v>
      </c>
      <c r="D111" s="1" t="s">
        <v>25</v>
      </c>
      <c r="E111" s="1" t="s">
        <v>263</v>
      </c>
      <c r="F111" s="1" t="s">
        <v>135</v>
      </c>
      <c r="G111" s="2">
        <v>45367</v>
      </c>
      <c r="H111" s="2">
        <v>45369</v>
      </c>
      <c r="I111" s="1" t="s">
        <v>273</v>
      </c>
      <c r="J111" s="1" t="s">
        <v>87</v>
      </c>
      <c r="K111" s="1" t="s">
        <v>55</v>
      </c>
      <c r="L111" s="1" t="s">
        <v>44</v>
      </c>
      <c r="M111" s="1" t="s">
        <v>2078</v>
      </c>
      <c r="N111">
        <v>0</v>
      </c>
      <c r="O111">
        <v>18692.34</v>
      </c>
      <c r="P111">
        <v>0</v>
      </c>
      <c r="Q111">
        <v>2</v>
      </c>
      <c r="R111">
        <v>0</v>
      </c>
      <c r="S111">
        <v>4.7</v>
      </c>
      <c r="T111" s="1" t="s">
        <v>34</v>
      </c>
      <c r="U111" s="1" t="s">
        <v>149</v>
      </c>
      <c r="V111" s="1" t="s">
        <v>102</v>
      </c>
      <c r="W111" s="1" t="s">
        <v>83</v>
      </c>
      <c r="X111">
        <v>18692.34</v>
      </c>
      <c r="Y111" s="1" t="s">
        <v>2082</v>
      </c>
      <c r="Z111" s="1" t="s">
        <v>2083</v>
      </c>
      <c r="AO111" t="str">
        <v>P00123</v>
      </c>
    </row>
    <row r="112" spans="1:41" x14ac:dyDescent="0.35">
      <c r="A112" s="1" t="s">
        <v>515</v>
      </c>
      <c r="B112" s="1" t="s">
        <v>516</v>
      </c>
      <c r="C112">
        <v>52</v>
      </c>
      <c r="D112" s="1" t="s">
        <v>119</v>
      </c>
      <c r="E112" s="1" t="s">
        <v>26</v>
      </c>
      <c r="F112" s="1" t="s">
        <v>41</v>
      </c>
      <c r="G112" s="2">
        <v>45381</v>
      </c>
      <c r="H112" s="2">
        <v>45386</v>
      </c>
      <c r="I112" s="1" t="s">
        <v>273</v>
      </c>
      <c r="J112" s="1" t="s">
        <v>115</v>
      </c>
      <c r="K112" s="1" t="s">
        <v>55</v>
      </c>
      <c r="L112" s="1" t="s">
        <v>44</v>
      </c>
      <c r="M112" s="1" t="s">
        <v>57</v>
      </c>
      <c r="N112">
        <v>84623.34</v>
      </c>
      <c r="O112">
        <v>28807.22</v>
      </c>
      <c r="P112">
        <v>44891.92</v>
      </c>
      <c r="Q112">
        <v>5</v>
      </c>
      <c r="R112">
        <v>8</v>
      </c>
      <c r="S112">
        <v>5</v>
      </c>
      <c r="T112" s="1" t="s">
        <v>34</v>
      </c>
      <c r="U112" s="1" t="s">
        <v>35</v>
      </c>
      <c r="V112" s="1" t="s">
        <v>102</v>
      </c>
      <c r="W112" s="1" t="s">
        <v>131</v>
      </c>
      <c r="X112">
        <v>158322.47999999998</v>
      </c>
      <c r="Y112" s="1" t="s">
        <v>2079</v>
      </c>
      <c r="Z112" s="1" t="s">
        <v>2083</v>
      </c>
      <c r="AO112" t="str">
        <v>P00125</v>
      </c>
    </row>
    <row r="113" spans="1:41" x14ac:dyDescent="0.35">
      <c r="A113" s="1" t="s">
        <v>518</v>
      </c>
      <c r="B113" s="1" t="s">
        <v>519</v>
      </c>
      <c r="C113">
        <v>38</v>
      </c>
      <c r="D113" s="1" t="s">
        <v>119</v>
      </c>
      <c r="E113" s="1" t="s">
        <v>26</v>
      </c>
      <c r="F113" s="1" t="s">
        <v>135</v>
      </c>
      <c r="G113" s="2">
        <v>45540</v>
      </c>
      <c r="H113" s="2">
        <v>45545</v>
      </c>
      <c r="I113" s="1" t="s">
        <v>277</v>
      </c>
      <c r="J113" s="1" t="s">
        <v>2081</v>
      </c>
      <c r="K113" s="1" t="s">
        <v>153</v>
      </c>
      <c r="L113" s="1" t="s">
        <v>66</v>
      </c>
      <c r="M113" s="1" t="s">
        <v>2090</v>
      </c>
      <c r="N113">
        <v>223764.02</v>
      </c>
      <c r="O113">
        <v>35209.57</v>
      </c>
      <c r="P113">
        <v>0</v>
      </c>
      <c r="Q113">
        <v>5</v>
      </c>
      <c r="R113">
        <v>76</v>
      </c>
      <c r="S113">
        <v>2.8</v>
      </c>
      <c r="T113" s="1" t="s">
        <v>34</v>
      </c>
      <c r="U113" s="1" t="s">
        <v>35</v>
      </c>
      <c r="V113" s="1" t="s">
        <v>102</v>
      </c>
      <c r="W113" s="1" t="s">
        <v>131</v>
      </c>
      <c r="X113">
        <v>258973.59</v>
      </c>
      <c r="Y113" s="1" t="s">
        <v>2079</v>
      </c>
      <c r="Z113" s="1" t="s">
        <v>2080</v>
      </c>
      <c r="AO113" t="str">
        <v>P00126</v>
      </c>
    </row>
    <row r="114" spans="1:41" x14ac:dyDescent="0.35">
      <c r="A114" s="1" t="s">
        <v>521</v>
      </c>
      <c r="B114" s="1" t="s">
        <v>522</v>
      </c>
      <c r="C114">
        <v>36</v>
      </c>
      <c r="D114" s="1" t="s">
        <v>25</v>
      </c>
      <c r="E114" s="1" t="s">
        <v>112</v>
      </c>
      <c r="F114" s="1" t="s">
        <v>41</v>
      </c>
      <c r="G114" s="2">
        <v>45932</v>
      </c>
      <c r="H114" s="2">
        <v>45933</v>
      </c>
      <c r="I114" s="1" t="s">
        <v>127</v>
      </c>
      <c r="J114" s="1" t="s">
        <v>147</v>
      </c>
      <c r="K114" s="1" t="s">
        <v>153</v>
      </c>
      <c r="L114" s="1" t="s">
        <v>44</v>
      </c>
      <c r="M114" s="1" t="s">
        <v>2086</v>
      </c>
      <c r="N114">
        <v>471676.11</v>
      </c>
      <c r="O114">
        <v>46021.07</v>
      </c>
      <c r="P114">
        <v>27864.63</v>
      </c>
      <c r="Q114">
        <v>1</v>
      </c>
      <c r="R114">
        <v>137</v>
      </c>
      <c r="S114">
        <v>5</v>
      </c>
      <c r="T114" s="1" t="s">
        <v>34</v>
      </c>
      <c r="U114" s="1" t="s">
        <v>35</v>
      </c>
      <c r="V114" s="1" t="s">
        <v>102</v>
      </c>
      <c r="W114" s="1" t="s">
        <v>131</v>
      </c>
      <c r="X114">
        <v>545561.80999999994</v>
      </c>
      <c r="Y114" s="1" t="s">
        <v>2079</v>
      </c>
      <c r="Z114" s="1" t="s">
        <v>2080</v>
      </c>
      <c r="AO114" t="str">
        <v>P00127</v>
      </c>
    </row>
    <row r="115" spans="1:41" x14ac:dyDescent="0.35">
      <c r="A115" s="1" t="s">
        <v>524</v>
      </c>
      <c r="B115" s="1" t="s">
        <v>181</v>
      </c>
      <c r="C115">
        <v>44</v>
      </c>
      <c r="D115" s="1" t="s">
        <v>25</v>
      </c>
      <c r="E115" s="1" t="s">
        <v>112</v>
      </c>
      <c r="F115" s="1" t="s">
        <v>227</v>
      </c>
      <c r="G115" s="2">
        <v>45909</v>
      </c>
      <c r="H115" s="2">
        <v>45915</v>
      </c>
      <c r="I115" s="1" t="s">
        <v>100</v>
      </c>
      <c r="J115" s="1" t="s">
        <v>115</v>
      </c>
      <c r="K115" s="1" t="s">
        <v>122</v>
      </c>
      <c r="L115" s="1" t="s">
        <v>66</v>
      </c>
      <c r="M115" s="1" t="s">
        <v>2087</v>
      </c>
      <c r="N115">
        <v>129428.85</v>
      </c>
      <c r="O115">
        <v>47455.58</v>
      </c>
      <c r="P115">
        <v>56804.56</v>
      </c>
      <c r="Q115">
        <v>6</v>
      </c>
      <c r="R115">
        <v>162</v>
      </c>
      <c r="S115">
        <v>4.5</v>
      </c>
      <c r="T115" s="1" t="s">
        <v>46</v>
      </c>
      <c r="U115" s="1" t="s">
        <v>35</v>
      </c>
      <c r="V115" s="1" t="s">
        <v>130</v>
      </c>
      <c r="W115" s="1" t="s">
        <v>83</v>
      </c>
      <c r="X115">
        <v>233688.99</v>
      </c>
      <c r="Y115" s="1" t="s">
        <v>2079</v>
      </c>
      <c r="Z115" s="1" t="s">
        <v>2080</v>
      </c>
      <c r="AO115" t="str">
        <v>P00128</v>
      </c>
    </row>
    <row r="116" spans="1:41" x14ac:dyDescent="0.35">
      <c r="A116" s="1" t="s">
        <v>526</v>
      </c>
      <c r="B116" s="1" t="s">
        <v>139</v>
      </c>
      <c r="C116">
        <v>31</v>
      </c>
      <c r="D116" s="1" t="s">
        <v>119</v>
      </c>
      <c r="E116" s="1" t="s">
        <v>26</v>
      </c>
      <c r="F116" s="1" t="s">
        <v>227</v>
      </c>
      <c r="G116" s="2">
        <v>45850</v>
      </c>
      <c r="H116" s="2">
        <v>45856</v>
      </c>
      <c r="I116" s="1" t="s">
        <v>53</v>
      </c>
      <c r="J116" s="1" t="s">
        <v>87</v>
      </c>
      <c r="K116" s="1" t="s">
        <v>31</v>
      </c>
      <c r="L116" s="1" t="s">
        <v>44</v>
      </c>
      <c r="M116" s="1" t="s">
        <v>2087</v>
      </c>
      <c r="N116">
        <v>404435.17</v>
      </c>
      <c r="O116">
        <v>34939.99</v>
      </c>
      <c r="P116">
        <v>107257.83</v>
      </c>
      <c r="Q116">
        <v>6</v>
      </c>
      <c r="R116">
        <v>43</v>
      </c>
      <c r="S116">
        <v>5</v>
      </c>
      <c r="T116" s="1" t="s">
        <v>46</v>
      </c>
      <c r="U116" s="1" t="s">
        <v>35</v>
      </c>
      <c r="V116" s="1" t="s">
        <v>130</v>
      </c>
      <c r="W116" s="1" t="s">
        <v>83</v>
      </c>
      <c r="X116">
        <v>546632.99</v>
      </c>
      <c r="Y116" s="1" t="s">
        <v>2082</v>
      </c>
      <c r="Z116" s="1" t="s">
        <v>2091</v>
      </c>
      <c r="AO116" t="str">
        <v>P00129</v>
      </c>
    </row>
    <row r="117" spans="1:41" x14ac:dyDescent="0.35">
      <c r="A117" s="1" t="s">
        <v>528</v>
      </c>
      <c r="B117" s="1" t="s">
        <v>475</v>
      </c>
      <c r="C117">
        <v>28</v>
      </c>
      <c r="D117" s="1" t="s">
        <v>25</v>
      </c>
      <c r="E117" s="1" t="s">
        <v>26</v>
      </c>
      <c r="F117" s="1" t="s">
        <v>145</v>
      </c>
      <c r="G117" s="2">
        <v>45751</v>
      </c>
      <c r="H117" s="2">
        <v>45754</v>
      </c>
      <c r="I117" s="1" t="s">
        <v>53</v>
      </c>
      <c r="J117" s="1" t="s">
        <v>87</v>
      </c>
      <c r="K117" s="1" t="s">
        <v>148</v>
      </c>
      <c r="L117" s="1" t="s">
        <v>44</v>
      </c>
      <c r="M117" s="1" t="s">
        <v>2086</v>
      </c>
      <c r="N117">
        <v>152255.98000000001</v>
      </c>
      <c r="O117">
        <v>21991.32</v>
      </c>
      <c r="P117">
        <v>57724.98</v>
      </c>
      <c r="Q117">
        <v>3</v>
      </c>
      <c r="R117">
        <v>134</v>
      </c>
      <c r="S117">
        <v>3</v>
      </c>
      <c r="T117" s="1" t="s">
        <v>46</v>
      </c>
      <c r="U117" s="1" t="s">
        <v>95</v>
      </c>
      <c r="V117" s="1" t="s">
        <v>102</v>
      </c>
      <c r="W117" s="1" t="s">
        <v>83</v>
      </c>
      <c r="X117">
        <v>231972.28000000003</v>
      </c>
      <c r="Y117" s="1" t="s">
        <v>2082</v>
      </c>
      <c r="Z117" s="1" t="s">
        <v>2080</v>
      </c>
      <c r="AO117" t="str">
        <v>P00130</v>
      </c>
    </row>
    <row r="118" spans="1:41" x14ac:dyDescent="0.35">
      <c r="A118" s="1" t="s">
        <v>529</v>
      </c>
      <c r="B118" s="1" t="s">
        <v>530</v>
      </c>
      <c r="C118">
        <v>90</v>
      </c>
      <c r="D118" s="1" t="s">
        <v>25</v>
      </c>
      <c r="E118" s="1" t="s">
        <v>2084</v>
      </c>
      <c r="F118" s="1" t="s">
        <v>120</v>
      </c>
      <c r="G118" s="2">
        <v>45337</v>
      </c>
      <c r="H118" s="2">
        <v>45340</v>
      </c>
      <c r="I118" s="1" t="s">
        <v>273</v>
      </c>
      <c r="J118" s="1" t="s">
        <v>87</v>
      </c>
      <c r="K118" s="1" t="s">
        <v>148</v>
      </c>
      <c r="L118" s="1" t="s">
        <v>44</v>
      </c>
      <c r="M118" s="1" t="s">
        <v>2087</v>
      </c>
      <c r="N118">
        <v>461856.04</v>
      </c>
      <c r="O118">
        <v>40908.089999999997</v>
      </c>
      <c r="P118">
        <v>46140.1</v>
      </c>
      <c r="Q118">
        <v>3</v>
      </c>
      <c r="R118">
        <v>104</v>
      </c>
      <c r="S118">
        <v>4.5</v>
      </c>
      <c r="T118" s="1" t="s">
        <v>46</v>
      </c>
      <c r="U118" s="1" t="s">
        <v>101</v>
      </c>
      <c r="V118" s="1" t="s">
        <v>102</v>
      </c>
      <c r="W118" s="1" t="s">
        <v>83</v>
      </c>
      <c r="X118">
        <v>548904.23</v>
      </c>
      <c r="Y118" s="1" t="s">
        <v>2088</v>
      </c>
      <c r="Z118" s="1" t="s">
        <v>2080</v>
      </c>
      <c r="AO118" t="str">
        <v>P00131</v>
      </c>
    </row>
    <row r="119" spans="1:41" x14ac:dyDescent="0.35">
      <c r="A119" s="1" t="s">
        <v>532</v>
      </c>
      <c r="B119" s="1" t="s">
        <v>533</v>
      </c>
      <c r="C119">
        <v>37</v>
      </c>
      <c r="D119" s="1" t="s">
        <v>25</v>
      </c>
      <c r="E119" s="1" t="s">
        <v>107</v>
      </c>
      <c r="F119" s="1" t="s">
        <v>87</v>
      </c>
      <c r="G119" s="2">
        <v>45786</v>
      </c>
      <c r="H119" s="2">
        <v>45787</v>
      </c>
      <c r="I119" s="1" t="s">
        <v>221</v>
      </c>
      <c r="J119" s="1" t="s">
        <v>87</v>
      </c>
      <c r="K119" s="1" t="s">
        <v>148</v>
      </c>
      <c r="L119" s="1" t="s">
        <v>44</v>
      </c>
      <c r="M119" s="1" t="s">
        <v>2078</v>
      </c>
      <c r="N119">
        <v>0</v>
      </c>
      <c r="O119">
        <v>39980.58</v>
      </c>
      <c r="P119">
        <v>64415.88</v>
      </c>
      <c r="Q119">
        <v>1</v>
      </c>
      <c r="R119">
        <v>58</v>
      </c>
      <c r="S119">
        <v>5</v>
      </c>
      <c r="T119" s="1" t="s">
        <v>46</v>
      </c>
      <c r="U119" s="1" t="s">
        <v>95</v>
      </c>
      <c r="V119" s="1" t="s">
        <v>102</v>
      </c>
      <c r="W119" s="1" t="s">
        <v>83</v>
      </c>
      <c r="X119">
        <v>104396.45999999999</v>
      </c>
      <c r="Y119" s="1" t="s">
        <v>2079</v>
      </c>
      <c r="Z119" s="1" t="s">
        <v>2091</v>
      </c>
      <c r="AO119" t="str">
        <v>P00132</v>
      </c>
    </row>
    <row r="120" spans="1:41" x14ac:dyDescent="0.35">
      <c r="A120" s="1" t="s">
        <v>534</v>
      </c>
      <c r="B120" s="1" t="s">
        <v>269</v>
      </c>
      <c r="C120">
        <v>10</v>
      </c>
      <c r="D120" s="1" t="s">
        <v>119</v>
      </c>
      <c r="E120" s="1" t="s">
        <v>51</v>
      </c>
      <c r="F120" s="1" t="s">
        <v>120</v>
      </c>
      <c r="G120" s="2">
        <v>45360</v>
      </c>
      <c r="H120" s="2">
        <v>45361</v>
      </c>
      <c r="I120" s="1" t="s">
        <v>127</v>
      </c>
      <c r="J120" s="1" t="s">
        <v>141</v>
      </c>
      <c r="K120" s="1" t="s">
        <v>148</v>
      </c>
      <c r="L120" s="1" t="s">
        <v>66</v>
      </c>
      <c r="M120" s="1" t="s">
        <v>2086</v>
      </c>
      <c r="N120">
        <v>251423.25</v>
      </c>
      <c r="O120">
        <v>56177.46</v>
      </c>
      <c r="P120">
        <v>95517.83</v>
      </c>
      <c r="Q120">
        <v>1</v>
      </c>
      <c r="R120">
        <v>60</v>
      </c>
      <c r="S120">
        <v>5</v>
      </c>
      <c r="T120" s="1" t="s">
        <v>46</v>
      </c>
      <c r="U120" s="1" t="s">
        <v>149</v>
      </c>
      <c r="V120" s="1" t="s">
        <v>130</v>
      </c>
      <c r="W120" s="1" t="s">
        <v>83</v>
      </c>
      <c r="X120">
        <v>403118.54000000004</v>
      </c>
      <c r="Y120" s="1" t="s">
        <v>2093</v>
      </c>
      <c r="Z120" s="1" t="s">
        <v>2080</v>
      </c>
      <c r="AO120" t="str">
        <v>P00133</v>
      </c>
    </row>
    <row r="121" spans="1:41" x14ac:dyDescent="0.35">
      <c r="A121" s="1" t="s">
        <v>539</v>
      </c>
      <c r="B121" s="1" t="s">
        <v>540</v>
      </c>
      <c r="C121">
        <v>51</v>
      </c>
      <c r="D121" s="1" t="s">
        <v>119</v>
      </c>
      <c r="E121" s="1" t="s">
        <v>219</v>
      </c>
      <c r="F121" s="1" t="s">
        <v>227</v>
      </c>
      <c r="G121" s="2">
        <v>46110</v>
      </c>
      <c r="H121" s="2">
        <v>46112</v>
      </c>
      <c r="I121" s="1" t="s">
        <v>159</v>
      </c>
      <c r="J121" s="1" t="s">
        <v>137</v>
      </c>
      <c r="K121" s="1" t="s">
        <v>55</v>
      </c>
      <c r="L121" s="1" t="s">
        <v>66</v>
      </c>
      <c r="M121" s="1" t="s">
        <v>2087</v>
      </c>
      <c r="N121">
        <v>289164.23</v>
      </c>
      <c r="O121">
        <v>36516.839999999997</v>
      </c>
      <c r="P121">
        <v>28490.85</v>
      </c>
      <c r="Q121">
        <v>2</v>
      </c>
      <c r="R121">
        <v>44</v>
      </c>
      <c r="S121">
        <v>3.7</v>
      </c>
      <c r="T121" s="1" t="s">
        <v>34</v>
      </c>
      <c r="U121" s="1" t="s">
        <v>149</v>
      </c>
      <c r="V121" s="1" t="s">
        <v>102</v>
      </c>
      <c r="W121" s="1" t="s">
        <v>131</v>
      </c>
      <c r="X121">
        <v>354171.91999999993</v>
      </c>
      <c r="Y121" s="1" t="s">
        <v>2079</v>
      </c>
      <c r="Z121" s="1" t="s">
        <v>2091</v>
      </c>
      <c r="AO121" t="str">
        <v>P00135</v>
      </c>
    </row>
    <row r="122" spans="1:41" x14ac:dyDescent="0.35">
      <c r="A122" s="1" t="s">
        <v>545</v>
      </c>
      <c r="B122" s="1" t="s">
        <v>350</v>
      </c>
      <c r="C122">
        <v>18</v>
      </c>
      <c r="D122" s="1" t="s">
        <v>119</v>
      </c>
      <c r="E122" s="1" t="s">
        <v>192</v>
      </c>
      <c r="F122" s="1" t="s">
        <v>41</v>
      </c>
      <c r="G122" s="2">
        <v>45842</v>
      </c>
      <c r="H122" s="2">
        <v>45844</v>
      </c>
      <c r="I122" s="1" t="s">
        <v>114</v>
      </c>
      <c r="J122" s="1" t="s">
        <v>147</v>
      </c>
      <c r="K122" s="1" t="s">
        <v>163</v>
      </c>
      <c r="L122" s="1" t="s">
        <v>66</v>
      </c>
      <c r="M122" s="1" t="s">
        <v>2090</v>
      </c>
      <c r="N122">
        <v>38744.589999999997</v>
      </c>
      <c r="O122">
        <v>59020.67</v>
      </c>
      <c r="P122">
        <v>30968.959999999999</v>
      </c>
      <c r="Q122">
        <v>2</v>
      </c>
      <c r="R122">
        <v>120</v>
      </c>
      <c r="S122">
        <v>3.6</v>
      </c>
      <c r="T122" s="1" t="s">
        <v>46</v>
      </c>
      <c r="U122" s="1" t="s">
        <v>95</v>
      </c>
      <c r="V122" s="1" t="s">
        <v>102</v>
      </c>
      <c r="W122" s="1" t="s">
        <v>36</v>
      </c>
      <c r="X122">
        <v>128734.22</v>
      </c>
      <c r="Y122" s="1" t="s">
        <v>2082</v>
      </c>
      <c r="Z122" s="1" t="s">
        <v>2080</v>
      </c>
      <c r="AO122" t="str">
        <v>P00136</v>
      </c>
    </row>
    <row r="123" spans="1:41" x14ac:dyDescent="0.35">
      <c r="A123" s="1" t="s">
        <v>547</v>
      </c>
      <c r="B123" s="1" t="s">
        <v>548</v>
      </c>
      <c r="C123">
        <v>44</v>
      </c>
      <c r="D123" s="1" t="s">
        <v>25</v>
      </c>
      <c r="E123" s="1" t="s">
        <v>26</v>
      </c>
      <c r="F123" s="1" t="s">
        <v>227</v>
      </c>
      <c r="G123" s="2">
        <v>45993</v>
      </c>
      <c r="H123" s="2">
        <v>45997</v>
      </c>
      <c r="I123" s="1" t="s">
        <v>53</v>
      </c>
      <c r="J123" s="1" t="s">
        <v>137</v>
      </c>
      <c r="K123" s="1" t="s">
        <v>163</v>
      </c>
      <c r="L123" s="1" t="s">
        <v>44</v>
      </c>
      <c r="M123" s="1" t="s">
        <v>2086</v>
      </c>
      <c r="N123">
        <v>40381.089999999997</v>
      </c>
      <c r="O123">
        <v>54906.67</v>
      </c>
      <c r="P123">
        <v>30187.3</v>
      </c>
      <c r="Q123">
        <v>4</v>
      </c>
      <c r="R123">
        <v>0</v>
      </c>
      <c r="S123">
        <v>3.1</v>
      </c>
      <c r="T123" s="1" t="s">
        <v>34</v>
      </c>
      <c r="U123" s="1" t="s">
        <v>101</v>
      </c>
      <c r="V123" s="1" t="s">
        <v>75</v>
      </c>
      <c r="W123" s="1" t="s">
        <v>36</v>
      </c>
      <c r="X123">
        <v>125475.06</v>
      </c>
      <c r="Y123" s="1" t="s">
        <v>2079</v>
      </c>
      <c r="Z123" s="1" t="s">
        <v>2083</v>
      </c>
      <c r="AO123" t="str">
        <v>P00137</v>
      </c>
    </row>
    <row r="124" spans="1:41" x14ac:dyDescent="0.35">
      <c r="A124" s="1" t="s">
        <v>550</v>
      </c>
      <c r="B124" s="1" t="s">
        <v>176</v>
      </c>
      <c r="C124">
        <v>61</v>
      </c>
      <c r="D124" s="1" t="s">
        <v>25</v>
      </c>
      <c r="E124" s="1" t="s">
        <v>157</v>
      </c>
      <c r="F124" s="1" t="s">
        <v>63</v>
      </c>
      <c r="G124" s="2">
        <v>45799</v>
      </c>
      <c r="H124" s="2">
        <v>45808</v>
      </c>
      <c r="I124" s="1" t="s">
        <v>173</v>
      </c>
      <c r="J124" s="1" t="s">
        <v>54</v>
      </c>
      <c r="K124" s="1" t="s">
        <v>81</v>
      </c>
      <c r="L124" s="1" t="s">
        <v>44</v>
      </c>
      <c r="M124" s="1" t="s">
        <v>2089</v>
      </c>
      <c r="N124">
        <v>171188.7</v>
      </c>
      <c r="O124">
        <v>21268.560000000001</v>
      </c>
      <c r="P124">
        <v>35350.949999999997</v>
      </c>
      <c r="Q124">
        <v>9</v>
      </c>
      <c r="R124">
        <v>250</v>
      </c>
      <c r="S124">
        <v>4.2</v>
      </c>
      <c r="T124" s="1" t="s">
        <v>34</v>
      </c>
      <c r="U124" s="1" t="s">
        <v>101</v>
      </c>
      <c r="V124" s="1" t="s">
        <v>130</v>
      </c>
      <c r="W124" s="1" t="s">
        <v>131</v>
      </c>
      <c r="X124">
        <v>227808.21000000002</v>
      </c>
      <c r="Y124" s="1" t="s">
        <v>2088</v>
      </c>
      <c r="Z124" s="1" t="s">
        <v>2080</v>
      </c>
      <c r="AO124" t="str">
        <v>P00138</v>
      </c>
    </row>
    <row r="125" spans="1:41" x14ac:dyDescent="0.35">
      <c r="A125" s="1" t="s">
        <v>552</v>
      </c>
      <c r="B125" s="1" t="s">
        <v>341</v>
      </c>
      <c r="C125">
        <v>65</v>
      </c>
      <c r="D125" s="1" t="s">
        <v>119</v>
      </c>
      <c r="E125" s="1" t="s">
        <v>157</v>
      </c>
      <c r="F125" s="1" t="s">
        <v>120</v>
      </c>
      <c r="G125" s="2">
        <v>45381</v>
      </c>
      <c r="H125" s="2">
        <v>45385</v>
      </c>
      <c r="I125" s="1" t="s">
        <v>257</v>
      </c>
      <c r="J125" s="1" t="s">
        <v>30</v>
      </c>
      <c r="K125" s="1" t="s">
        <v>81</v>
      </c>
      <c r="L125" s="1" t="s">
        <v>44</v>
      </c>
      <c r="M125" s="1" t="s">
        <v>2086</v>
      </c>
      <c r="N125">
        <v>253430.48</v>
      </c>
      <c r="O125">
        <v>23523.95</v>
      </c>
      <c r="P125">
        <v>39109.5</v>
      </c>
      <c r="Q125">
        <v>4</v>
      </c>
      <c r="R125">
        <v>89</v>
      </c>
      <c r="S125">
        <v>3.7</v>
      </c>
      <c r="T125" s="1" t="s">
        <v>34</v>
      </c>
      <c r="U125" s="1" t="s">
        <v>35</v>
      </c>
      <c r="V125" s="1" t="s">
        <v>130</v>
      </c>
      <c r="W125" s="1" t="s">
        <v>83</v>
      </c>
      <c r="X125">
        <v>316063.93</v>
      </c>
      <c r="Y125" s="1" t="s">
        <v>2088</v>
      </c>
      <c r="Z125" s="1" t="s">
        <v>2080</v>
      </c>
      <c r="AO125" t="str">
        <v>P00140</v>
      </c>
    </row>
    <row r="126" spans="1:41" x14ac:dyDescent="0.35">
      <c r="A126" s="1" t="s">
        <v>553</v>
      </c>
      <c r="B126" s="1" t="s">
        <v>181</v>
      </c>
      <c r="C126">
        <v>44</v>
      </c>
      <c r="D126" s="1" t="s">
        <v>119</v>
      </c>
      <c r="E126" s="1" t="s">
        <v>2084</v>
      </c>
      <c r="F126" s="1" t="s">
        <v>227</v>
      </c>
      <c r="G126" s="2">
        <v>45579</v>
      </c>
      <c r="H126" s="2">
        <v>45584</v>
      </c>
      <c r="I126" s="1" t="s">
        <v>114</v>
      </c>
      <c r="J126" s="1" t="s">
        <v>2081</v>
      </c>
      <c r="K126" s="1" t="s">
        <v>81</v>
      </c>
      <c r="L126" s="1" t="s">
        <v>66</v>
      </c>
      <c r="M126" s="1" t="s">
        <v>2089</v>
      </c>
      <c r="N126">
        <v>322569.61</v>
      </c>
      <c r="O126">
        <v>27982.09</v>
      </c>
      <c r="P126">
        <v>47359.06</v>
      </c>
      <c r="Q126">
        <v>5</v>
      </c>
      <c r="R126">
        <v>0</v>
      </c>
      <c r="S126">
        <v>4.9000000000000004</v>
      </c>
      <c r="T126" s="1" t="s">
        <v>34</v>
      </c>
      <c r="U126" s="1" t="s">
        <v>35</v>
      </c>
      <c r="V126" s="1" t="s">
        <v>102</v>
      </c>
      <c r="W126" s="1" t="s">
        <v>131</v>
      </c>
      <c r="X126">
        <v>397910.76</v>
      </c>
      <c r="Y126" s="1" t="s">
        <v>2079</v>
      </c>
      <c r="Z126" s="1" t="s">
        <v>2083</v>
      </c>
      <c r="AO126" t="str">
        <v>P00141</v>
      </c>
    </row>
    <row r="127" spans="1:41" x14ac:dyDescent="0.35">
      <c r="A127" s="1" t="s">
        <v>555</v>
      </c>
      <c r="B127" s="1" t="s">
        <v>328</v>
      </c>
      <c r="C127">
        <v>64</v>
      </c>
      <c r="D127" s="1" t="s">
        <v>25</v>
      </c>
      <c r="E127" s="1" t="s">
        <v>26</v>
      </c>
      <c r="F127" s="1" t="s">
        <v>41</v>
      </c>
      <c r="G127" s="2">
        <v>45621</v>
      </c>
      <c r="H127" s="2">
        <v>45625</v>
      </c>
      <c r="I127" s="1" t="s">
        <v>277</v>
      </c>
      <c r="J127" s="1" t="s">
        <v>90</v>
      </c>
      <c r="K127" s="1" t="s">
        <v>148</v>
      </c>
      <c r="L127" s="1" t="s">
        <v>66</v>
      </c>
      <c r="M127" s="1" t="s">
        <v>2089</v>
      </c>
      <c r="N127">
        <v>0</v>
      </c>
      <c r="O127">
        <v>82209.37</v>
      </c>
      <c r="P127">
        <v>40812.31</v>
      </c>
      <c r="Q127">
        <v>4</v>
      </c>
      <c r="R127">
        <v>178</v>
      </c>
      <c r="S127">
        <v>2.2999999999999998</v>
      </c>
      <c r="T127" s="1" t="s">
        <v>34</v>
      </c>
      <c r="U127" s="1" t="s">
        <v>35</v>
      </c>
      <c r="V127" s="1" t="s">
        <v>102</v>
      </c>
      <c r="W127" s="1" t="s">
        <v>131</v>
      </c>
      <c r="X127">
        <v>123021.68</v>
      </c>
      <c r="Y127" s="1" t="s">
        <v>2088</v>
      </c>
      <c r="Z127" s="1" t="s">
        <v>2080</v>
      </c>
      <c r="AO127" t="str">
        <v>P00142</v>
      </c>
    </row>
    <row r="128" spans="1:41" x14ac:dyDescent="0.35">
      <c r="A128" s="1" t="s">
        <v>557</v>
      </c>
      <c r="B128" s="1" t="s">
        <v>558</v>
      </c>
      <c r="C128">
        <v>19</v>
      </c>
      <c r="D128" s="1" t="s">
        <v>25</v>
      </c>
      <c r="E128" s="1" t="s">
        <v>2084</v>
      </c>
      <c r="F128" s="1" t="s">
        <v>193</v>
      </c>
      <c r="G128" s="2">
        <v>46265</v>
      </c>
      <c r="H128" s="2">
        <v>46269</v>
      </c>
      <c r="I128" s="1" t="s">
        <v>273</v>
      </c>
      <c r="J128" s="1" t="s">
        <v>90</v>
      </c>
      <c r="K128" s="1" t="s">
        <v>122</v>
      </c>
      <c r="L128" s="1" t="s">
        <v>66</v>
      </c>
      <c r="M128" s="1" t="s">
        <v>2089</v>
      </c>
      <c r="N128">
        <v>132672.35</v>
      </c>
      <c r="O128">
        <v>77850.78</v>
      </c>
      <c r="P128">
        <v>39279.53</v>
      </c>
      <c r="Q128">
        <v>4</v>
      </c>
      <c r="R128">
        <v>111</v>
      </c>
      <c r="S128">
        <v>4.8</v>
      </c>
      <c r="T128" s="1" t="s">
        <v>34</v>
      </c>
      <c r="U128" s="1" t="s">
        <v>35</v>
      </c>
      <c r="V128" s="1" t="s">
        <v>102</v>
      </c>
      <c r="W128" s="1" t="s">
        <v>131</v>
      </c>
      <c r="X128">
        <v>249802.66</v>
      </c>
      <c r="Y128" s="1" t="s">
        <v>2082</v>
      </c>
      <c r="Z128" s="1" t="s">
        <v>2080</v>
      </c>
      <c r="AO128" t="str">
        <v>P00143</v>
      </c>
    </row>
    <row r="129" spans="1:41" x14ac:dyDescent="0.35">
      <c r="A129" s="1" t="s">
        <v>560</v>
      </c>
      <c r="B129" s="1" t="s">
        <v>561</v>
      </c>
      <c r="C129">
        <v>46</v>
      </c>
      <c r="D129" s="1" t="s">
        <v>25</v>
      </c>
      <c r="E129" s="1" t="s">
        <v>177</v>
      </c>
      <c r="F129" s="1" t="s">
        <v>193</v>
      </c>
      <c r="G129" s="2">
        <v>45582</v>
      </c>
      <c r="H129" s="2">
        <v>45586</v>
      </c>
      <c r="I129" s="1" t="s">
        <v>273</v>
      </c>
      <c r="J129" s="1" t="s">
        <v>2081</v>
      </c>
      <c r="K129" s="1" t="s">
        <v>122</v>
      </c>
      <c r="L129" s="1" t="s">
        <v>66</v>
      </c>
      <c r="M129" s="1" t="s">
        <v>2089</v>
      </c>
      <c r="N129">
        <v>271094.53999999998</v>
      </c>
      <c r="O129">
        <v>90085.39</v>
      </c>
      <c r="P129">
        <v>43271.44</v>
      </c>
      <c r="Q129">
        <v>4</v>
      </c>
      <c r="R129">
        <v>110</v>
      </c>
      <c r="S129">
        <v>5</v>
      </c>
      <c r="T129" s="1" t="s">
        <v>34</v>
      </c>
      <c r="U129" s="1" t="s">
        <v>35</v>
      </c>
      <c r="V129" s="1" t="s">
        <v>102</v>
      </c>
      <c r="W129" s="1" t="s">
        <v>36</v>
      </c>
      <c r="X129">
        <v>404451.37</v>
      </c>
      <c r="Y129" s="1" t="s">
        <v>2079</v>
      </c>
      <c r="Z129" s="1" t="s">
        <v>2080</v>
      </c>
      <c r="AO129" t="str">
        <v>P00144</v>
      </c>
    </row>
    <row r="130" spans="1:41" x14ac:dyDescent="0.35">
      <c r="A130" s="1" t="s">
        <v>563</v>
      </c>
      <c r="B130" s="1" t="s">
        <v>564</v>
      </c>
      <c r="C130">
        <v>69</v>
      </c>
      <c r="D130" s="1" t="s">
        <v>119</v>
      </c>
      <c r="E130" s="1" t="s">
        <v>107</v>
      </c>
      <c r="F130" s="1" t="s">
        <v>135</v>
      </c>
      <c r="G130" s="2">
        <v>46223</v>
      </c>
      <c r="H130" s="2">
        <v>46229</v>
      </c>
      <c r="I130" s="1" t="s">
        <v>29</v>
      </c>
      <c r="J130" s="1" t="s">
        <v>87</v>
      </c>
      <c r="K130" s="1" t="s">
        <v>148</v>
      </c>
      <c r="L130" s="1" t="s">
        <v>66</v>
      </c>
      <c r="M130" s="1" t="s">
        <v>2087</v>
      </c>
      <c r="N130">
        <v>309422.23</v>
      </c>
      <c r="O130">
        <v>1424.88</v>
      </c>
      <c r="P130">
        <v>94002.95</v>
      </c>
      <c r="Q130">
        <v>6</v>
      </c>
      <c r="R130">
        <v>9</v>
      </c>
      <c r="S130">
        <v>4.0999999999999996</v>
      </c>
      <c r="T130" s="1" t="s">
        <v>46</v>
      </c>
      <c r="U130" s="1" t="s">
        <v>35</v>
      </c>
      <c r="V130" s="1" t="s">
        <v>102</v>
      </c>
      <c r="W130" s="1" t="s">
        <v>36</v>
      </c>
      <c r="X130">
        <v>404850.06</v>
      </c>
      <c r="Y130" s="1" t="s">
        <v>2088</v>
      </c>
      <c r="Z130" s="1" t="s">
        <v>2083</v>
      </c>
      <c r="AO130" t="str">
        <v>P00145</v>
      </c>
    </row>
    <row r="131" spans="1:41" x14ac:dyDescent="0.35">
      <c r="A131" s="1" t="s">
        <v>566</v>
      </c>
      <c r="B131" s="1" t="s">
        <v>567</v>
      </c>
      <c r="C131">
        <v>41</v>
      </c>
      <c r="D131" s="1" t="s">
        <v>25</v>
      </c>
      <c r="E131" s="1" t="s">
        <v>107</v>
      </c>
      <c r="F131" s="1" t="s">
        <v>120</v>
      </c>
      <c r="G131" s="2">
        <v>45293</v>
      </c>
      <c r="H131" s="2">
        <v>45294</v>
      </c>
      <c r="I131" s="1" t="s">
        <v>277</v>
      </c>
      <c r="J131" s="1" t="s">
        <v>90</v>
      </c>
      <c r="K131" s="1" t="s">
        <v>31</v>
      </c>
      <c r="L131" s="1" t="s">
        <v>32</v>
      </c>
      <c r="M131" s="1" t="s">
        <v>2078</v>
      </c>
      <c r="N131">
        <v>266026.74</v>
      </c>
      <c r="O131">
        <v>38033.93</v>
      </c>
      <c r="P131">
        <v>57657.62</v>
      </c>
      <c r="Q131">
        <v>1</v>
      </c>
      <c r="R131">
        <v>216</v>
      </c>
      <c r="S131">
        <v>4.3</v>
      </c>
      <c r="T131" s="1" t="s">
        <v>34</v>
      </c>
      <c r="U131" s="1" t="s">
        <v>95</v>
      </c>
      <c r="V131" s="1" t="s">
        <v>130</v>
      </c>
      <c r="W131" s="1" t="s">
        <v>83</v>
      </c>
      <c r="X131">
        <v>361718.29</v>
      </c>
      <c r="Y131" s="1" t="s">
        <v>2079</v>
      </c>
      <c r="Z131" s="1" t="s">
        <v>2080</v>
      </c>
      <c r="AO131" t="str">
        <v>P00146</v>
      </c>
    </row>
    <row r="132" spans="1:41" x14ac:dyDescent="0.35">
      <c r="A132" s="1" t="s">
        <v>568</v>
      </c>
      <c r="B132" s="1" t="s">
        <v>569</v>
      </c>
      <c r="C132">
        <v>64</v>
      </c>
      <c r="D132" s="1" t="s">
        <v>25</v>
      </c>
      <c r="E132" s="1" t="s">
        <v>2084</v>
      </c>
      <c r="F132" s="1" t="s">
        <v>227</v>
      </c>
      <c r="G132" s="2">
        <v>45396</v>
      </c>
      <c r="H132" s="2">
        <v>45398</v>
      </c>
      <c r="I132" s="1" t="s">
        <v>114</v>
      </c>
      <c r="J132" s="1" t="s">
        <v>147</v>
      </c>
      <c r="K132" s="1" t="s">
        <v>128</v>
      </c>
      <c r="L132" s="1" t="s">
        <v>32</v>
      </c>
      <c r="M132" s="1" t="s">
        <v>2078</v>
      </c>
      <c r="N132">
        <v>386525.87</v>
      </c>
      <c r="O132">
        <v>0</v>
      </c>
      <c r="P132">
        <v>62922</v>
      </c>
      <c r="Q132">
        <v>2</v>
      </c>
      <c r="R132">
        <v>147</v>
      </c>
      <c r="S132">
        <v>3.3</v>
      </c>
      <c r="T132" s="1" t="s">
        <v>34</v>
      </c>
      <c r="U132" s="1" t="s">
        <v>149</v>
      </c>
      <c r="V132" s="1" t="s">
        <v>75</v>
      </c>
      <c r="W132" s="1" t="s">
        <v>83</v>
      </c>
      <c r="X132">
        <v>449447.87</v>
      </c>
      <c r="Y132" s="1" t="s">
        <v>2088</v>
      </c>
      <c r="Z132" s="1" t="s">
        <v>2080</v>
      </c>
      <c r="AO132" t="str">
        <v>P00147</v>
      </c>
    </row>
    <row r="133" spans="1:41" x14ac:dyDescent="0.35">
      <c r="A133" s="1" t="s">
        <v>571</v>
      </c>
      <c r="B133" s="1" t="s">
        <v>350</v>
      </c>
      <c r="C133">
        <v>39</v>
      </c>
      <c r="D133" s="1" t="s">
        <v>119</v>
      </c>
      <c r="E133" s="1" t="s">
        <v>86</v>
      </c>
      <c r="F133" s="1" t="s">
        <v>227</v>
      </c>
      <c r="G133" s="2">
        <v>45447</v>
      </c>
      <c r="H133" s="2">
        <v>45455</v>
      </c>
      <c r="I133" s="1" t="s">
        <v>159</v>
      </c>
      <c r="J133" s="1" t="s">
        <v>87</v>
      </c>
      <c r="K133" s="1" t="s">
        <v>55</v>
      </c>
      <c r="L133" s="1" t="s">
        <v>32</v>
      </c>
      <c r="M133" s="1" t="s">
        <v>57</v>
      </c>
      <c r="N133">
        <v>237580.7</v>
      </c>
      <c r="O133">
        <v>25673.200000000001</v>
      </c>
      <c r="P133">
        <v>45467.37</v>
      </c>
      <c r="Q133">
        <v>8</v>
      </c>
      <c r="R133">
        <v>12</v>
      </c>
      <c r="S133">
        <v>1.8</v>
      </c>
      <c r="T133" s="1" t="s">
        <v>34</v>
      </c>
      <c r="U133" s="1" t="s">
        <v>149</v>
      </c>
      <c r="V133" s="1" t="s">
        <v>102</v>
      </c>
      <c r="W133" s="1" t="s">
        <v>131</v>
      </c>
      <c r="X133">
        <v>308721.27</v>
      </c>
      <c r="Y133" s="1" t="s">
        <v>2079</v>
      </c>
      <c r="Z133" s="1" t="s">
        <v>2083</v>
      </c>
      <c r="AO133" t="str">
        <v>P00148</v>
      </c>
    </row>
    <row r="134" spans="1:41" x14ac:dyDescent="0.35">
      <c r="A134" s="1" t="s">
        <v>573</v>
      </c>
      <c r="B134" s="1" t="s">
        <v>574</v>
      </c>
      <c r="C134">
        <v>24</v>
      </c>
      <c r="D134" s="1" t="s">
        <v>119</v>
      </c>
      <c r="E134" s="1" t="s">
        <v>26</v>
      </c>
      <c r="F134" s="1" t="s">
        <v>227</v>
      </c>
      <c r="G134" s="2">
        <v>45914</v>
      </c>
      <c r="H134" s="2">
        <v>45923</v>
      </c>
      <c r="I134" s="1" t="s">
        <v>114</v>
      </c>
      <c r="J134" s="1" t="s">
        <v>30</v>
      </c>
      <c r="K134" s="1" t="s">
        <v>174</v>
      </c>
      <c r="L134" s="1" t="s">
        <v>32</v>
      </c>
      <c r="M134" s="1" t="s">
        <v>2089</v>
      </c>
      <c r="N134">
        <v>81205.070000000007</v>
      </c>
      <c r="O134">
        <v>0</v>
      </c>
      <c r="P134">
        <v>25831.15</v>
      </c>
      <c r="Q134">
        <v>9</v>
      </c>
      <c r="R134">
        <v>0</v>
      </c>
      <c r="S134">
        <v>5</v>
      </c>
      <c r="T134" s="1" t="s">
        <v>46</v>
      </c>
      <c r="U134" s="1" t="s">
        <v>149</v>
      </c>
      <c r="V134" s="1" t="s">
        <v>75</v>
      </c>
      <c r="W134" s="1" t="s">
        <v>36</v>
      </c>
      <c r="X134">
        <v>107036.22</v>
      </c>
      <c r="Y134" s="1" t="s">
        <v>2082</v>
      </c>
      <c r="Z134" s="1" t="s">
        <v>2083</v>
      </c>
      <c r="AO134" t="str">
        <v>P00149</v>
      </c>
    </row>
    <row r="135" spans="1:41" x14ac:dyDescent="0.35">
      <c r="A135" s="1" t="s">
        <v>579</v>
      </c>
      <c r="B135" s="1" t="s">
        <v>580</v>
      </c>
      <c r="C135">
        <v>6</v>
      </c>
      <c r="D135" s="1" t="s">
        <v>119</v>
      </c>
      <c r="E135" s="1" t="s">
        <v>2084</v>
      </c>
      <c r="F135" s="1" t="s">
        <v>120</v>
      </c>
      <c r="G135" s="2">
        <v>45699</v>
      </c>
      <c r="H135" s="2">
        <v>45700</v>
      </c>
      <c r="I135" s="1" t="s">
        <v>273</v>
      </c>
      <c r="J135" s="1" t="s">
        <v>115</v>
      </c>
      <c r="K135" s="1" t="s">
        <v>55</v>
      </c>
      <c r="L135" s="1" t="s">
        <v>44</v>
      </c>
      <c r="M135" s="1" t="s">
        <v>57</v>
      </c>
      <c r="N135">
        <v>363159.86</v>
      </c>
      <c r="O135">
        <v>90993.81</v>
      </c>
      <c r="P135">
        <v>86528.18</v>
      </c>
      <c r="Q135">
        <v>1</v>
      </c>
      <c r="R135">
        <v>137</v>
      </c>
      <c r="S135">
        <v>4.5</v>
      </c>
      <c r="T135" s="1" t="s">
        <v>34</v>
      </c>
      <c r="U135" s="1" t="s">
        <v>149</v>
      </c>
      <c r="V135" s="1" t="s">
        <v>75</v>
      </c>
      <c r="W135" s="1" t="s">
        <v>131</v>
      </c>
      <c r="X135">
        <v>540681.85</v>
      </c>
      <c r="Y135" s="1" t="s">
        <v>2093</v>
      </c>
      <c r="Z135" s="1" t="s">
        <v>2080</v>
      </c>
      <c r="AO135" t="str">
        <v>P00151</v>
      </c>
    </row>
    <row r="136" spans="1:41" x14ac:dyDescent="0.35">
      <c r="A136" s="1" t="s">
        <v>582</v>
      </c>
      <c r="B136" s="1" t="s">
        <v>583</v>
      </c>
      <c r="C136">
        <v>59</v>
      </c>
      <c r="D136" s="1" t="s">
        <v>25</v>
      </c>
      <c r="E136" s="1" t="s">
        <v>107</v>
      </c>
      <c r="F136" s="1" t="s">
        <v>227</v>
      </c>
      <c r="G136" s="2">
        <v>45892</v>
      </c>
      <c r="H136" s="2">
        <v>45897</v>
      </c>
      <c r="I136" s="1" t="s">
        <v>273</v>
      </c>
      <c r="J136" s="1" t="s">
        <v>87</v>
      </c>
      <c r="K136" s="1" t="s">
        <v>174</v>
      </c>
      <c r="L136" s="1" t="s">
        <v>32</v>
      </c>
      <c r="M136" s="1" t="s">
        <v>2089</v>
      </c>
      <c r="N136">
        <v>259366.8</v>
      </c>
      <c r="O136">
        <v>32605.03</v>
      </c>
      <c r="P136">
        <v>43122.21</v>
      </c>
      <c r="Q136">
        <v>5</v>
      </c>
      <c r="R136">
        <v>38</v>
      </c>
      <c r="S136">
        <v>3.3</v>
      </c>
      <c r="T136" s="1" t="s">
        <v>46</v>
      </c>
      <c r="U136" s="1" t="s">
        <v>35</v>
      </c>
      <c r="V136" s="1" t="s">
        <v>75</v>
      </c>
      <c r="W136" s="1" t="s">
        <v>131</v>
      </c>
      <c r="X136">
        <v>335094.03999999998</v>
      </c>
      <c r="Y136" s="1" t="s">
        <v>2079</v>
      </c>
      <c r="Z136" s="1" t="s">
        <v>2091</v>
      </c>
      <c r="AO136" t="str">
        <v>P00153</v>
      </c>
    </row>
    <row r="137" spans="1:41" x14ac:dyDescent="0.35">
      <c r="A137" s="1" t="s">
        <v>584</v>
      </c>
      <c r="B137" s="1" t="s">
        <v>333</v>
      </c>
      <c r="C137">
        <v>40</v>
      </c>
      <c r="D137" s="1" t="s">
        <v>119</v>
      </c>
      <c r="E137" s="1" t="s">
        <v>26</v>
      </c>
      <c r="F137" s="1" t="s">
        <v>135</v>
      </c>
      <c r="G137" s="2">
        <v>45304</v>
      </c>
      <c r="H137" s="2">
        <v>45305</v>
      </c>
      <c r="I137" s="1" t="s">
        <v>273</v>
      </c>
      <c r="J137" s="1" t="s">
        <v>152</v>
      </c>
      <c r="K137" s="1" t="s">
        <v>174</v>
      </c>
      <c r="L137" s="1" t="s">
        <v>32</v>
      </c>
      <c r="M137" s="1" t="s">
        <v>2085</v>
      </c>
      <c r="N137">
        <v>81597.240000000005</v>
      </c>
      <c r="O137">
        <v>2410.27</v>
      </c>
      <c r="P137">
        <v>50396.82</v>
      </c>
      <c r="Q137">
        <v>1</v>
      </c>
      <c r="R137">
        <v>199</v>
      </c>
      <c r="S137">
        <v>4.9000000000000004</v>
      </c>
      <c r="T137" s="1" t="s">
        <v>46</v>
      </c>
      <c r="U137" s="1" t="s">
        <v>149</v>
      </c>
      <c r="V137" s="1" t="s">
        <v>102</v>
      </c>
      <c r="W137" s="1" t="s">
        <v>83</v>
      </c>
      <c r="X137">
        <v>134404.33000000002</v>
      </c>
      <c r="Y137" s="1" t="s">
        <v>2079</v>
      </c>
      <c r="Z137" s="1" t="s">
        <v>2080</v>
      </c>
      <c r="AO137" t="str">
        <v>P00154</v>
      </c>
    </row>
    <row r="138" spans="1:41" x14ac:dyDescent="0.35">
      <c r="A138" s="1" t="s">
        <v>586</v>
      </c>
      <c r="B138" s="1" t="s">
        <v>587</v>
      </c>
      <c r="C138">
        <v>21</v>
      </c>
      <c r="D138" s="1" t="s">
        <v>25</v>
      </c>
      <c r="E138" s="1" t="s">
        <v>263</v>
      </c>
      <c r="F138" s="1" t="s">
        <v>227</v>
      </c>
      <c r="G138" s="2">
        <v>45570</v>
      </c>
      <c r="H138" s="2">
        <v>45571</v>
      </c>
      <c r="I138" s="1" t="s">
        <v>221</v>
      </c>
      <c r="J138" s="1" t="s">
        <v>137</v>
      </c>
      <c r="K138" s="1" t="s">
        <v>91</v>
      </c>
      <c r="L138" s="1" t="s">
        <v>32</v>
      </c>
      <c r="M138" s="1" t="s">
        <v>2085</v>
      </c>
      <c r="N138">
        <v>351707.97</v>
      </c>
      <c r="O138">
        <v>5437.82</v>
      </c>
      <c r="P138">
        <v>38261.01</v>
      </c>
      <c r="Q138">
        <v>1</v>
      </c>
      <c r="R138">
        <v>136</v>
      </c>
      <c r="S138">
        <v>2.4</v>
      </c>
      <c r="T138" s="1" t="s">
        <v>46</v>
      </c>
      <c r="U138" s="1" t="s">
        <v>149</v>
      </c>
      <c r="V138" s="1" t="s">
        <v>102</v>
      </c>
      <c r="W138" s="1" t="s">
        <v>83</v>
      </c>
      <c r="X138">
        <v>395406.8</v>
      </c>
      <c r="Y138" s="1" t="s">
        <v>2082</v>
      </c>
      <c r="Z138" s="1" t="s">
        <v>2080</v>
      </c>
      <c r="AO138" t="str">
        <v>P00155</v>
      </c>
    </row>
    <row r="139" spans="1:41" x14ac:dyDescent="0.35">
      <c r="A139" s="1" t="s">
        <v>589</v>
      </c>
      <c r="B139" s="1" t="s">
        <v>590</v>
      </c>
      <c r="C139">
        <v>13</v>
      </c>
      <c r="D139" s="1" t="s">
        <v>119</v>
      </c>
      <c r="E139" s="1" t="s">
        <v>51</v>
      </c>
      <c r="F139" s="1" t="s">
        <v>227</v>
      </c>
      <c r="G139" s="2">
        <v>45813</v>
      </c>
      <c r="H139" s="2">
        <v>45816</v>
      </c>
      <c r="I139" s="1" t="s">
        <v>273</v>
      </c>
      <c r="J139" s="1" t="s">
        <v>30</v>
      </c>
      <c r="K139" s="1" t="s">
        <v>148</v>
      </c>
      <c r="L139" s="1" t="s">
        <v>44</v>
      </c>
      <c r="M139" s="1" t="s">
        <v>2085</v>
      </c>
      <c r="N139">
        <v>135808.53</v>
      </c>
      <c r="O139">
        <v>37994.550000000003</v>
      </c>
      <c r="P139">
        <v>0</v>
      </c>
      <c r="Q139">
        <v>3</v>
      </c>
      <c r="R139">
        <v>128</v>
      </c>
      <c r="S139">
        <v>3.7</v>
      </c>
      <c r="T139" s="1" t="s">
        <v>46</v>
      </c>
      <c r="U139" s="1" t="s">
        <v>149</v>
      </c>
      <c r="V139" s="1" t="s">
        <v>102</v>
      </c>
      <c r="W139" s="1" t="s">
        <v>36</v>
      </c>
      <c r="X139">
        <v>173803.08000000002</v>
      </c>
      <c r="Y139" s="1" t="s">
        <v>2093</v>
      </c>
      <c r="Z139" s="1" t="s">
        <v>2080</v>
      </c>
      <c r="AO139" t="str">
        <v>P00156</v>
      </c>
    </row>
    <row r="140" spans="1:41" x14ac:dyDescent="0.35">
      <c r="A140" s="1" t="s">
        <v>592</v>
      </c>
      <c r="B140" s="1" t="s">
        <v>394</v>
      </c>
      <c r="C140">
        <v>47</v>
      </c>
      <c r="D140" s="1" t="s">
        <v>25</v>
      </c>
      <c r="E140" s="1" t="s">
        <v>157</v>
      </c>
      <c r="F140" s="1" t="s">
        <v>145</v>
      </c>
      <c r="G140" s="2">
        <v>45371</v>
      </c>
      <c r="H140" s="2">
        <v>45375</v>
      </c>
      <c r="I140" s="1" t="s">
        <v>53</v>
      </c>
      <c r="J140" s="1" t="s">
        <v>147</v>
      </c>
      <c r="K140" s="1" t="s">
        <v>31</v>
      </c>
      <c r="L140" s="1" t="s">
        <v>44</v>
      </c>
      <c r="M140" s="1" t="s">
        <v>2089</v>
      </c>
      <c r="N140">
        <v>410979.66</v>
      </c>
      <c r="O140">
        <v>33130.61</v>
      </c>
      <c r="P140">
        <v>32117.83</v>
      </c>
      <c r="Q140">
        <v>4</v>
      </c>
      <c r="R140">
        <v>104</v>
      </c>
      <c r="S140">
        <v>4.4000000000000004</v>
      </c>
      <c r="T140" s="1" t="s">
        <v>34</v>
      </c>
      <c r="U140" s="1" t="s">
        <v>149</v>
      </c>
      <c r="V140" s="1" t="s">
        <v>75</v>
      </c>
      <c r="W140" s="1" t="s">
        <v>36</v>
      </c>
      <c r="X140">
        <v>476228.1</v>
      </c>
      <c r="Y140" s="1" t="s">
        <v>2079</v>
      </c>
      <c r="Z140" s="1" t="s">
        <v>2080</v>
      </c>
      <c r="AO140" t="str">
        <v>P00157</v>
      </c>
    </row>
    <row r="141" spans="1:41" x14ac:dyDescent="0.35">
      <c r="A141" s="1" t="s">
        <v>594</v>
      </c>
      <c r="B141" s="1" t="s">
        <v>595</v>
      </c>
      <c r="C141">
        <v>43</v>
      </c>
      <c r="D141" s="1" t="s">
        <v>119</v>
      </c>
      <c r="E141" s="1" t="s">
        <v>40</v>
      </c>
      <c r="F141" s="1" t="s">
        <v>41</v>
      </c>
      <c r="G141" s="2">
        <v>46095</v>
      </c>
      <c r="H141" s="2">
        <v>46098</v>
      </c>
      <c r="I141" s="1" t="s">
        <v>173</v>
      </c>
      <c r="J141" s="1" t="s">
        <v>90</v>
      </c>
      <c r="K141" s="1" t="s">
        <v>91</v>
      </c>
      <c r="L141" s="1" t="s">
        <v>44</v>
      </c>
      <c r="M141" s="1" t="s">
        <v>2092</v>
      </c>
      <c r="N141">
        <v>121721.16</v>
      </c>
      <c r="O141">
        <v>13427.48</v>
      </c>
      <c r="P141">
        <v>2921.84</v>
      </c>
      <c r="Q141">
        <v>3</v>
      </c>
      <c r="R141">
        <v>226</v>
      </c>
      <c r="S141">
        <v>4.0999999999999996</v>
      </c>
      <c r="T141" s="1" t="s">
        <v>46</v>
      </c>
      <c r="U141" s="1" t="s">
        <v>101</v>
      </c>
      <c r="V141" s="1" t="s">
        <v>102</v>
      </c>
      <c r="W141" s="1" t="s">
        <v>36</v>
      </c>
      <c r="X141">
        <v>138070.48000000001</v>
      </c>
      <c r="Y141" s="1" t="s">
        <v>2079</v>
      </c>
      <c r="Z141" s="1" t="s">
        <v>2080</v>
      </c>
      <c r="AO141" t="str">
        <v>P00158</v>
      </c>
    </row>
    <row r="142" spans="1:41" x14ac:dyDescent="0.35">
      <c r="A142" s="1" t="s">
        <v>597</v>
      </c>
      <c r="B142" s="1" t="s">
        <v>598</v>
      </c>
      <c r="C142">
        <v>27</v>
      </c>
      <c r="D142" s="1" t="s">
        <v>119</v>
      </c>
      <c r="E142" s="1" t="s">
        <v>26</v>
      </c>
      <c r="F142" s="1" t="s">
        <v>41</v>
      </c>
      <c r="G142" s="2">
        <v>45635</v>
      </c>
      <c r="H142" s="2">
        <v>45636</v>
      </c>
      <c r="I142" s="1" t="s">
        <v>114</v>
      </c>
      <c r="J142" s="1" t="s">
        <v>87</v>
      </c>
      <c r="K142" s="1" t="s">
        <v>31</v>
      </c>
      <c r="L142" s="1" t="s">
        <v>32</v>
      </c>
      <c r="M142" s="1" t="s">
        <v>2092</v>
      </c>
      <c r="N142">
        <v>345289.41</v>
      </c>
      <c r="O142">
        <v>22626.26</v>
      </c>
      <c r="P142">
        <v>82432.259999999995</v>
      </c>
      <c r="Q142">
        <v>1</v>
      </c>
      <c r="R142">
        <v>44</v>
      </c>
      <c r="S142">
        <v>4.0999999999999996</v>
      </c>
      <c r="T142" s="1" t="s">
        <v>46</v>
      </c>
      <c r="U142" s="1" t="s">
        <v>101</v>
      </c>
      <c r="V142" s="1" t="s">
        <v>130</v>
      </c>
      <c r="W142" s="1" t="s">
        <v>83</v>
      </c>
      <c r="X142">
        <v>450347.93</v>
      </c>
      <c r="Y142" s="1" t="s">
        <v>2082</v>
      </c>
      <c r="Z142" s="1" t="s">
        <v>2091</v>
      </c>
      <c r="AO142" t="str">
        <v>P00159</v>
      </c>
    </row>
    <row r="143" spans="1:41" x14ac:dyDescent="0.35">
      <c r="A143" s="1" t="s">
        <v>600</v>
      </c>
      <c r="B143" s="1" t="s">
        <v>350</v>
      </c>
      <c r="C143">
        <v>90</v>
      </c>
      <c r="D143" s="1" t="s">
        <v>25</v>
      </c>
      <c r="E143" s="1" t="s">
        <v>86</v>
      </c>
      <c r="F143" s="1" t="s">
        <v>227</v>
      </c>
      <c r="G143" s="2">
        <v>46209</v>
      </c>
      <c r="H143" s="2">
        <v>46210</v>
      </c>
      <c r="I143" s="1" t="s">
        <v>221</v>
      </c>
      <c r="J143" s="1" t="s">
        <v>90</v>
      </c>
      <c r="K143" s="1" t="s">
        <v>55</v>
      </c>
      <c r="L143" s="1" t="s">
        <v>32</v>
      </c>
      <c r="M143" s="1" t="s">
        <v>2078</v>
      </c>
      <c r="N143">
        <v>53736.22</v>
      </c>
      <c r="O143">
        <v>37745.519999999997</v>
      </c>
      <c r="P143">
        <v>64013.31</v>
      </c>
      <c r="Q143">
        <v>1</v>
      </c>
      <c r="R143">
        <v>126</v>
      </c>
      <c r="S143">
        <v>3.5</v>
      </c>
      <c r="T143" s="1" t="s">
        <v>46</v>
      </c>
      <c r="U143" s="1" t="s">
        <v>101</v>
      </c>
      <c r="V143" s="1" t="s">
        <v>75</v>
      </c>
      <c r="W143" s="1" t="s">
        <v>36</v>
      </c>
      <c r="X143">
        <v>155495.04999999999</v>
      </c>
      <c r="Y143" s="1" t="s">
        <v>2088</v>
      </c>
      <c r="Z143" s="1" t="s">
        <v>2080</v>
      </c>
      <c r="AO143" t="str">
        <v>P00160</v>
      </c>
    </row>
    <row r="144" spans="1:41" x14ac:dyDescent="0.35">
      <c r="A144" s="1" t="s">
        <v>602</v>
      </c>
      <c r="B144" s="1" t="s">
        <v>358</v>
      </c>
      <c r="C144">
        <v>43</v>
      </c>
      <c r="D144" s="1" t="s">
        <v>25</v>
      </c>
      <c r="E144" s="1" t="s">
        <v>2084</v>
      </c>
      <c r="F144" s="1" t="s">
        <v>41</v>
      </c>
      <c r="G144" s="2">
        <v>46143</v>
      </c>
      <c r="H144" s="2">
        <v>46145</v>
      </c>
      <c r="I144" s="1" t="s">
        <v>29</v>
      </c>
      <c r="J144" s="1" t="s">
        <v>30</v>
      </c>
      <c r="K144" s="1" t="s">
        <v>55</v>
      </c>
      <c r="L144" s="1" t="s">
        <v>32</v>
      </c>
      <c r="M144" s="1" t="s">
        <v>2078</v>
      </c>
      <c r="N144">
        <v>199419.72</v>
      </c>
      <c r="O144">
        <v>54096.98</v>
      </c>
      <c r="P144">
        <v>111315.69</v>
      </c>
      <c r="Q144">
        <v>2</v>
      </c>
      <c r="R144">
        <v>53</v>
      </c>
      <c r="S144">
        <v>1.9</v>
      </c>
      <c r="T144" s="1" t="s">
        <v>46</v>
      </c>
      <c r="U144" s="1" t="s">
        <v>35</v>
      </c>
      <c r="V144" s="1" t="s">
        <v>102</v>
      </c>
      <c r="W144" s="1" t="s">
        <v>131</v>
      </c>
      <c r="X144">
        <v>364832.39</v>
      </c>
      <c r="Y144" s="1" t="s">
        <v>2079</v>
      </c>
      <c r="Z144" s="1" t="s">
        <v>2091</v>
      </c>
      <c r="AO144" t="str">
        <v>P00161</v>
      </c>
    </row>
    <row r="145" spans="1:41" x14ac:dyDescent="0.35">
      <c r="A145" s="1" t="s">
        <v>604</v>
      </c>
      <c r="B145" s="1" t="s">
        <v>605</v>
      </c>
      <c r="C145">
        <v>92</v>
      </c>
      <c r="D145" s="1" t="s">
        <v>119</v>
      </c>
      <c r="E145" s="1" t="s">
        <v>86</v>
      </c>
      <c r="F145" s="1" t="s">
        <v>63</v>
      </c>
      <c r="G145" s="2">
        <v>45754</v>
      </c>
      <c r="H145" s="2">
        <v>45756</v>
      </c>
      <c r="I145" s="1" t="s">
        <v>127</v>
      </c>
      <c r="J145" s="1" t="s">
        <v>87</v>
      </c>
      <c r="K145" s="1" t="s">
        <v>163</v>
      </c>
      <c r="L145" s="1" t="s">
        <v>32</v>
      </c>
      <c r="M145" s="1" t="s">
        <v>2092</v>
      </c>
      <c r="N145">
        <v>107485.56</v>
      </c>
      <c r="O145">
        <v>70977.919999999998</v>
      </c>
      <c r="P145">
        <v>95331.02</v>
      </c>
      <c r="Q145">
        <v>2</v>
      </c>
      <c r="R145">
        <v>53</v>
      </c>
      <c r="S145">
        <v>4.4000000000000004</v>
      </c>
      <c r="T145" s="1" t="s">
        <v>46</v>
      </c>
      <c r="U145" s="1" t="s">
        <v>95</v>
      </c>
      <c r="V145" s="1" t="s">
        <v>130</v>
      </c>
      <c r="W145" s="1" t="s">
        <v>83</v>
      </c>
      <c r="X145">
        <v>273794.5</v>
      </c>
      <c r="Y145" s="1" t="s">
        <v>2088</v>
      </c>
      <c r="Z145" s="1" t="s">
        <v>2091</v>
      </c>
      <c r="AO145" t="str">
        <v>P00162</v>
      </c>
    </row>
    <row r="146" spans="1:41" x14ac:dyDescent="0.35">
      <c r="A146" s="1" t="s">
        <v>607</v>
      </c>
      <c r="B146" s="1" t="s">
        <v>608</v>
      </c>
      <c r="C146">
        <v>34</v>
      </c>
      <c r="D146" s="1" t="s">
        <v>119</v>
      </c>
      <c r="E146" s="1" t="s">
        <v>26</v>
      </c>
      <c r="F146" s="1" t="s">
        <v>87</v>
      </c>
      <c r="G146" s="2">
        <v>45558</v>
      </c>
      <c r="H146" s="2">
        <v>45567</v>
      </c>
      <c r="I146" s="1" t="s">
        <v>53</v>
      </c>
      <c r="J146" s="1" t="s">
        <v>54</v>
      </c>
      <c r="K146" s="1" t="s">
        <v>55</v>
      </c>
      <c r="L146" s="1" t="s">
        <v>32</v>
      </c>
      <c r="M146" s="1" t="s">
        <v>2092</v>
      </c>
      <c r="N146">
        <v>191498.75</v>
      </c>
      <c r="O146">
        <v>15457.98</v>
      </c>
      <c r="P146">
        <v>14557.3</v>
      </c>
      <c r="Q146">
        <v>9</v>
      </c>
      <c r="R146">
        <v>46</v>
      </c>
      <c r="S146">
        <v>2.1</v>
      </c>
      <c r="T146" s="1" t="s">
        <v>34</v>
      </c>
      <c r="U146" s="1" t="s">
        <v>95</v>
      </c>
      <c r="V146" s="1" t="s">
        <v>75</v>
      </c>
      <c r="W146" s="1" t="s">
        <v>83</v>
      </c>
      <c r="X146">
        <v>221514.03</v>
      </c>
      <c r="Y146" s="1" t="s">
        <v>2082</v>
      </c>
      <c r="Z146" s="1" t="s">
        <v>2091</v>
      </c>
      <c r="AO146" t="str">
        <v>P00163</v>
      </c>
    </row>
    <row r="147" spans="1:41" x14ac:dyDescent="0.35">
      <c r="A147" s="1" t="s">
        <v>610</v>
      </c>
      <c r="B147" s="1" t="s">
        <v>611</v>
      </c>
      <c r="C147">
        <v>26</v>
      </c>
      <c r="D147" s="1" t="s">
        <v>25</v>
      </c>
      <c r="E147" s="1" t="s">
        <v>263</v>
      </c>
      <c r="F147" s="1" t="s">
        <v>87</v>
      </c>
      <c r="G147" s="2">
        <v>45673</v>
      </c>
      <c r="H147" s="2">
        <v>45676</v>
      </c>
      <c r="I147" s="1" t="s">
        <v>221</v>
      </c>
      <c r="J147" s="1" t="s">
        <v>141</v>
      </c>
      <c r="K147" s="1" t="s">
        <v>55</v>
      </c>
      <c r="L147" s="1" t="s">
        <v>32</v>
      </c>
      <c r="M147" s="1" t="s">
        <v>2078</v>
      </c>
      <c r="N147">
        <v>252730.03</v>
      </c>
      <c r="O147">
        <v>0</v>
      </c>
      <c r="P147">
        <v>54926.41</v>
      </c>
      <c r="Q147">
        <v>3</v>
      </c>
      <c r="R147">
        <v>157</v>
      </c>
      <c r="S147">
        <v>1.1000000000000001</v>
      </c>
      <c r="T147" s="1" t="s">
        <v>34</v>
      </c>
      <c r="U147" s="1" t="s">
        <v>149</v>
      </c>
      <c r="V147" s="1" t="s">
        <v>75</v>
      </c>
      <c r="W147" s="1" t="s">
        <v>83</v>
      </c>
      <c r="X147">
        <v>307656.44</v>
      </c>
      <c r="Y147" s="1" t="s">
        <v>2082</v>
      </c>
      <c r="Z147" s="1" t="s">
        <v>2080</v>
      </c>
      <c r="AO147" t="str">
        <v>P00164</v>
      </c>
    </row>
    <row r="148" spans="1:41" x14ac:dyDescent="0.35">
      <c r="A148" s="1" t="s">
        <v>615</v>
      </c>
      <c r="B148" s="1" t="s">
        <v>616</v>
      </c>
      <c r="C148">
        <v>44</v>
      </c>
      <c r="D148" s="1" t="s">
        <v>119</v>
      </c>
      <c r="E148" s="1" t="s">
        <v>86</v>
      </c>
      <c r="F148" s="1" t="s">
        <v>63</v>
      </c>
      <c r="G148" s="2">
        <v>45782</v>
      </c>
      <c r="H148" s="2">
        <v>45786</v>
      </c>
      <c r="I148" s="1" t="s">
        <v>273</v>
      </c>
      <c r="J148" s="1" t="s">
        <v>147</v>
      </c>
      <c r="K148" s="1" t="s">
        <v>128</v>
      </c>
      <c r="L148" s="1" t="s">
        <v>32</v>
      </c>
      <c r="M148" s="1" t="s">
        <v>2087</v>
      </c>
      <c r="N148">
        <v>295425.84000000003</v>
      </c>
      <c r="O148">
        <v>6983.16</v>
      </c>
      <c r="P148">
        <v>50080.82</v>
      </c>
      <c r="Q148">
        <v>4</v>
      </c>
      <c r="R148">
        <v>0</v>
      </c>
      <c r="S148">
        <v>3.6</v>
      </c>
      <c r="T148" s="1" t="s">
        <v>34</v>
      </c>
      <c r="U148" s="1" t="s">
        <v>101</v>
      </c>
      <c r="V148" s="1" t="s">
        <v>130</v>
      </c>
      <c r="W148" s="1" t="s">
        <v>131</v>
      </c>
      <c r="X148">
        <v>352489.82</v>
      </c>
      <c r="Y148" s="1" t="s">
        <v>2079</v>
      </c>
      <c r="Z148" s="1" t="s">
        <v>2083</v>
      </c>
      <c r="AO148" t="str">
        <v>P00165</v>
      </c>
    </row>
    <row r="149" spans="1:41" x14ac:dyDescent="0.35">
      <c r="A149" s="1" t="s">
        <v>620</v>
      </c>
      <c r="B149" s="1" t="s">
        <v>621</v>
      </c>
      <c r="C149">
        <v>46</v>
      </c>
      <c r="D149" s="1" t="s">
        <v>25</v>
      </c>
      <c r="E149" s="1" t="s">
        <v>26</v>
      </c>
      <c r="F149" s="1" t="s">
        <v>227</v>
      </c>
      <c r="G149" s="2">
        <v>45349</v>
      </c>
      <c r="H149" s="2">
        <v>45356</v>
      </c>
      <c r="I149" s="1" t="s">
        <v>100</v>
      </c>
      <c r="J149" s="1" t="s">
        <v>147</v>
      </c>
      <c r="K149" s="1" t="s">
        <v>31</v>
      </c>
      <c r="L149" s="1" t="s">
        <v>32</v>
      </c>
      <c r="M149" s="1" t="s">
        <v>2085</v>
      </c>
      <c r="N149">
        <v>544706.14</v>
      </c>
      <c r="O149">
        <v>39832.949999999997</v>
      </c>
      <c r="P149">
        <v>50761.47</v>
      </c>
      <c r="Q149">
        <v>7</v>
      </c>
      <c r="R149">
        <v>71</v>
      </c>
      <c r="S149">
        <v>3.9</v>
      </c>
      <c r="T149" s="1" t="s">
        <v>46</v>
      </c>
      <c r="U149" s="1" t="s">
        <v>35</v>
      </c>
      <c r="V149" s="1" t="s">
        <v>130</v>
      </c>
      <c r="W149" s="1" t="s">
        <v>83</v>
      </c>
      <c r="X149">
        <v>635300.55999999994</v>
      </c>
      <c r="Y149" s="1" t="s">
        <v>2079</v>
      </c>
      <c r="Z149" s="1" t="s">
        <v>2080</v>
      </c>
      <c r="AO149" t="str">
        <v>P00167</v>
      </c>
    </row>
    <row r="150" spans="1:41" x14ac:dyDescent="0.35">
      <c r="A150" s="1" t="s">
        <v>623</v>
      </c>
      <c r="B150" s="1" t="s">
        <v>624</v>
      </c>
      <c r="C150">
        <v>58</v>
      </c>
      <c r="D150" s="1" t="s">
        <v>119</v>
      </c>
      <c r="E150" s="1" t="s">
        <v>192</v>
      </c>
      <c r="F150" s="1" t="s">
        <v>41</v>
      </c>
      <c r="G150" s="2">
        <v>45796</v>
      </c>
      <c r="H150" s="2">
        <v>45798</v>
      </c>
      <c r="I150" s="1" t="s">
        <v>53</v>
      </c>
      <c r="J150" s="1" t="s">
        <v>87</v>
      </c>
      <c r="K150" s="1" t="s">
        <v>148</v>
      </c>
      <c r="L150" s="1" t="s">
        <v>32</v>
      </c>
      <c r="M150" s="1" t="s">
        <v>2086</v>
      </c>
      <c r="N150">
        <v>353938.32</v>
      </c>
      <c r="O150">
        <v>10350.26</v>
      </c>
      <c r="P150">
        <v>5063.01</v>
      </c>
      <c r="Q150">
        <v>2</v>
      </c>
      <c r="R150">
        <v>0</v>
      </c>
      <c r="S150">
        <v>4.4000000000000004</v>
      </c>
      <c r="T150" s="1" t="s">
        <v>34</v>
      </c>
      <c r="U150" s="1" t="s">
        <v>95</v>
      </c>
      <c r="V150" s="1" t="s">
        <v>130</v>
      </c>
      <c r="W150" s="1" t="s">
        <v>36</v>
      </c>
      <c r="X150">
        <v>369351.59</v>
      </c>
      <c r="Y150" s="1" t="s">
        <v>2079</v>
      </c>
      <c r="Z150" s="1" t="s">
        <v>2083</v>
      </c>
      <c r="AO150" t="str">
        <v>P00168</v>
      </c>
    </row>
    <row r="151" spans="1:41" x14ac:dyDescent="0.35">
      <c r="A151" s="1" t="s">
        <v>629</v>
      </c>
      <c r="B151" s="1" t="s">
        <v>24</v>
      </c>
      <c r="C151">
        <v>26</v>
      </c>
      <c r="D151" s="1" t="s">
        <v>25</v>
      </c>
      <c r="E151" s="1" t="s">
        <v>51</v>
      </c>
      <c r="F151" s="1" t="s">
        <v>135</v>
      </c>
      <c r="G151" s="2">
        <v>46263</v>
      </c>
      <c r="H151" s="2">
        <v>46265</v>
      </c>
      <c r="I151" s="1" t="s">
        <v>235</v>
      </c>
      <c r="J151" s="1" t="s">
        <v>147</v>
      </c>
      <c r="K151" s="1" t="s">
        <v>31</v>
      </c>
      <c r="L151" s="1" t="s">
        <v>32</v>
      </c>
      <c r="M151" s="1" t="s">
        <v>2092</v>
      </c>
      <c r="N151">
        <v>295111.38</v>
      </c>
      <c r="O151">
        <v>7538.3</v>
      </c>
      <c r="P151">
        <v>45845.43</v>
      </c>
      <c r="Q151">
        <v>2</v>
      </c>
      <c r="R151">
        <v>94</v>
      </c>
      <c r="S151">
        <v>5</v>
      </c>
      <c r="T151" s="1" t="s">
        <v>34</v>
      </c>
      <c r="U151" s="1" t="s">
        <v>35</v>
      </c>
      <c r="V151" s="1" t="s">
        <v>130</v>
      </c>
      <c r="W151" s="1" t="s">
        <v>83</v>
      </c>
      <c r="X151">
        <v>348495.11</v>
      </c>
      <c r="Y151" s="1" t="s">
        <v>2082</v>
      </c>
      <c r="Z151" s="1" t="s">
        <v>2080</v>
      </c>
      <c r="AO151" t="str">
        <v>P00169</v>
      </c>
    </row>
    <row r="152" spans="1:41" x14ac:dyDescent="0.35">
      <c r="A152" s="1" t="s">
        <v>636</v>
      </c>
      <c r="B152" s="1" t="s">
        <v>637</v>
      </c>
      <c r="C152">
        <v>44</v>
      </c>
      <c r="D152" s="1" t="s">
        <v>119</v>
      </c>
      <c r="E152" s="1" t="s">
        <v>192</v>
      </c>
      <c r="F152" s="1" t="s">
        <v>227</v>
      </c>
      <c r="G152" s="2">
        <v>46201</v>
      </c>
      <c r="H152" s="2">
        <v>46205</v>
      </c>
      <c r="I152" s="1" t="s">
        <v>221</v>
      </c>
      <c r="J152" s="1" t="s">
        <v>54</v>
      </c>
      <c r="K152" s="1" t="s">
        <v>55</v>
      </c>
      <c r="L152" s="1" t="s">
        <v>66</v>
      </c>
      <c r="M152" s="1" t="s">
        <v>2086</v>
      </c>
      <c r="N152">
        <v>0</v>
      </c>
      <c r="O152">
        <v>6516.62</v>
      </c>
      <c r="P152">
        <v>40677.370000000003</v>
      </c>
      <c r="Q152">
        <v>4</v>
      </c>
      <c r="R152">
        <v>4</v>
      </c>
      <c r="S152">
        <v>4.5</v>
      </c>
      <c r="T152" s="1" t="s">
        <v>34</v>
      </c>
      <c r="U152" s="1" t="s">
        <v>101</v>
      </c>
      <c r="V152" s="1" t="s">
        <v>130</v>
      </c>
      <c r="W152" s="1" t="s">
        <v>131</v>
      </c>
      <c r="X152">
        <v>47193.990000000005</v>
      </c>
      <c r="Y152" s="1" t="s">
        <v>2079</v>
      </c>
      <c r="Z152" s="1" t="s">
        <v>2083</v>
      </c>
      <c r="AO152" t="str">
        <v>P00170</v>
      </c>
    </row>
    <row r="153" spans="1:41" x14ac:dyDescent="0.35">
      <c r="A153" s="1" t="s">
        <v>641</v>
      </c>
      <c r="B153" s="1" t="s">
        <v>598</v>
      </c>
      <c r="C153">
        <v>34</v>
      </c>
      <c r="D153" s="1" t="s">
        <v>119</v>
      </c>
      <c r="E153" s="1" t="s">
        <v>112</v>
      </c>
      <c r="F153" s="1" t="s">
        <v>135</v>
      </c>
      <c r="G153" s="2">
        <v>45391</v>
      </c>
      <c r="H153" s="2">
        <v>45393</v>
      </c>
      <c r="I153" s="1" t="s">
        <v>114</v>
      </c>
      <c r="J153" s="1" t="s">
        <v>87</v>
      </c>
      <c r="K153" s="1" t="s">
        <v>91</v>
      </c>
      <c r="L153" s="1" t="s">
        <v>44</v>
      </c>
      <c r="M153" s="1" t="s">
        <v>57</v>
      </c>
      <c r="N153">
        <v>243858.27</v>
      </c>
      <c r="O153">
        <v>34014.35</v>
      </c>
      <c r="P153">
        <v>45091.38</v>
      </c>
      <c r="Q153">
        <v>2</v>
      </c>
      <c r="R153">
        <v>127</v>
      </c>
      <c r="S153">
        <v>5</v>
      </c>
      <c r="T153" s="1" t="s">
        <v>34</v>
      </c>
      <c r="U153" s="1" t="s">
        <v>101</v>
      </c>
      <c r="V153" s="1" t="s">
        <v>102</v>
      </c>
      <c r="W153" s="1" t="s">
        <v>36</v>
      </c>
      <c r="X153">
        <v>322964</v>
      </c>
      <c r="Y153" s="1" t="s">
        <v>2082</v>
      </c>
      <c r="Z153" s="1" t="s">
        <v>2080</v>
      </c>
      <c r="AO153" t="str">
        <v>P00171</v>
      </c>
    </row>
    <row r="154" spans="1:41" x14ac:dyDescent="0.35">
      <c r="A154" s="1" t="s">
        <v>643</v>
      </c>
      <c r="B154" s="1" t="s">
        <v>644</v>
      </c>
      <c r="C154">
        <v>10</v>
      </c>
      <c r="D154" s="1" t="s">
        <v>119</v>
      </c>
      <c r="E154" s="1" t="s">
        <v>51</v>
      </c>
      <c r="F154" s="1" t="s">
        <v>63</v>
      </c>
      <c r="G154" s="2">
        <v>45483</v>
      </c>
      <c r="H154" s="2">
        <v>45489</v>
      </c>
      <c r="I154" s="1" t="s">
        <v>53</v>
      </c>
      <c r="J154" s="1" t="s">
        <v>137</v>
      </c>
      <c r="K154" s="1" t="s">
        <v>153</v>
      </c>
      <c r="L154" s="1" t="s">
        <v>32</v>
      </c>
      <c r="M154" s="1" t="s">
        <v>2087</v>
      </c>
      <c r="N154">
        <v>0</v>
      </c>
      <c r="O154">
        <v>53358</v>
      </c>
      <c r="P154">
        <v>3993.64</v>
      </c>
      <c r="Q154">
        <v>6</v>
      </c>
      <c r="R154">
        <v>78</v>
      </c>
      <c r="S154">
        <v>2.2000000000000002</v>
      </c>
      <c r="T154" s="1" t="s">
        <v>34</v>
      </c>
      <c r="U154" s="1" t="s">
        <v>95</v>
      </c>
      <c r="V154" s="1" t="s">
        <v>102</v>
      </c>
      <c r="W154" s="1" t="s">
        <v>131</v>
      </c>
      <c r="X154">
        <v>57351.64</v>
      </c>
      <c r="Y154" s="1" t="s">
        <v>2093</v>
      </c>
      <c r="Z154" s="1" t="s">
        <v>2080</v>
      </c>
      <c r="AO154" t="str">
        <v>P00172</v>
      </c>
    </row>
    <row r="155" spans="1:41" x14ac:dyDescent="0.35">
      <c r="A155" s="1" t="s">
        <v>646</v>
      </c>
      <c r="B155" s="1" t="s">
        <v>384</v>
      </c>
      <c r="C155">
        <v>54</v>
      </c>
      <c r="D155" s="1" t="s">
        <v>119</v>
      </c>
      <c r="E155" s="1" t="s">
        <v>51</v>
      </c>
      <c r="F155" s="1" t="s">
        <v>87</v>
      </c>
      <c r="G155" s="2">
        <v>46152</v>
      </c>
      <c r="H155" s="2">
        <v>46153</v>
      </c>
      <c r="I155" s="1" t="s">
        <v>53</v>
      </c>
      <c r="J155" s="1" t="s">
        <v>90</v>
      </c>
      <c r="K155" s="1" t="s">
        <v>31</v>
      </c>
      <c r="L155" s="1" t="s">
        <v>44</v>
      </c>
      <c r="M155" s="1" t="s">
        <v>2087</v>
      </c>
      <c r="N155">
        <v>326281.71999999997</v>
      </c>
      <c r="O155">
        <v>15587.24</v>
      </c>
      <c r="P155">
        <v>0</v>
      </c>
      <c r="Q155">
        <v>1</v>
      </c>
      <c r="R155">
        <v>54</v>
      </c>
      <c r="S155">
        <v>4.2</v>
      </c>
      <c r="T155" s="1" t="s">
        <v>34</v>
      </c>
      <c r="U155" s="1" t="s">
        <v>95</v>
      </c>
      <c r="V155" s="1" t="s">
        <v>130</v>
      </c>
      <c r="W155" s="1" t="s">
        <v>131</v>
      </c>
      <c r="X155">
        <v>341868.95999999996</v>
      </c>
      <c r="Y155" s="1" t="s">
        <v>2079</v>
      </c>
      <c r="Z155" s="1" t="s">
        <v>2091</v>
      </c>
      <c r="AO155" t="str">
        <v>P00173</v>
      </c>
    </row>
    <row r="156" spans="1:41" x14ac:dyDescent="0.35">
      <c r="A156" s="1" t="s">
        <v>648</v>
      </c>
      <c r="B156" s="1" t="s">
        <v>266</v>
      </c>
      <c r="C156">
        <v>47</v>
      </c>
      <c r="D156" s="1" t="s">
        <v>119</v>
      </c>
      <c r="E156" s="1" t="s">
        <v>192</v>
      </c>
      <c r="F156" s="1" t="s">
        <v>108</v>
      </c>
      <c r="G156" s="2">
        <v>45751</v>
      </c>
      <c r="H156" s="2">
        <v>45752</v>
      </c>
      <c r="I156" s="1" t="s">
        <v>159</v>
      </c>
      <c r="J156" s="1" t="s">
        <v>147</v>
      </c>
      <c r="K156" s="1" t="s">
        <v>148</v>
      </c>
      <c r="L156" s="1" t="s">
        <v>44</v>
      </c>
      <c r="M156" s="1" t="s">
        <v>57</v>
      </c>
      <c r="N156">
        <v>217856.62</v>
      </c>
      <c r="O156">
        <v>44482.29</v>
      </c>
      <c r="P156">
        <v>48587.41</v>
      </c>
      <c r="Q156">
        <v>1</v>
      </c>
      <c r="R156">
        <v>22</v>
      </c>
      <c r="S156">
        <v>5</v>
      </c>
      <c r="T156" s="1" t="s">
        <v>34</v>
      </c>
      <c r="U156" s="1" t="s">
        <v>95</v>
      </c>
      <c r="V156" s="1" t="s">
        <v>130</v>
      </c>
      <c r="W156" s="1" t="s">
        <v>83</v>
      </c>
      <c r="X156">
        <v>310926.31999999995</v>
      </c>
      <c r="Y156" s="1" t="s">
        <v>2079</v>
      </c>
      <c r="Z156" s="1" t="s">
        <v>2083</v>
      </c>
      <c r="AO156" t="str">
        <v>P00174</v>
      </c>
    </row>
    <row r="157" spans="1:41" x14ac:dyDescent="0.35">
      <c r="A157" s="1" t="s">
        <v>649</v>
      </c>
      <c r="B157" s="1" t="s">
        <v>650</v>
      </c>
      <c r="C157">
        <v>42</v>
      </c>
      <c r="D157" s="1" t="s">
        <v>25</v>
      </c>
      <c r="E157" s="1" t="s">
        <v>263</v>
      </c>
      <c r="F157" s="1" t="s">
        <v>145</v>
      </c>
      <c r="G157" s="2">
        <v>45698</v>
      </c>
      <c r="H157" s="2">
        <v>45700</v>
      </c>
      <c r="I157" s="1" t="s">
        <v>53</v>
      </c>
      <c r="J157" s="1" t="s">
        <v>147</v>
      </c>
      <c r="K157" s="1" t="s">
        <v>128</v>
      </c>
      <c r="L157" s="1" t="s">
        <v>44</v>
      </c>
      <c r="M157" s="1" t="s">
        <v>2086</v>
      </c>
      <c r="N157">
        <v>89342.49</v>
      </c>
      <c r="O157">
        <v>18917.939999999999</v>
      </c>
      <c r="P157">
        <v>18455.919999999998</v>
      </c>
      <c r="Q157">
        <v>2</v>
      </c>
      <c r="R157">
        <v>82</v>
      </c>
      <c r="S157">
        <v>5</v>
      </c>
      <c r="T157" s="1" t="s">
        <v>46</v>
      </c>
      <c r="U157" s="1" t="s">
        <v>95</v>
      </c>
      <c r="V157" s="1" t="s">
        <v>75</v>
      </c>
      <c r="W157" s="1" t="s">
        <v>131</v>
      </c>
      <c r="X157">
        <v>126716.35</v>
      </c>
      <c r="Y157" s="1" t="s">
        <v>2079</v>
      </c>
      <c r="Z157" s="1" t="s">
        <v>2080</v>
      </c>
      <c r="AO157" t="str">
        <v>P00175</v>
      </c>
    </row>
    <row r="158" spans="1:41" x14ac:dyDescent="0.35">
      <c r="A158" s="1" t="s">
        <v>652</v>
      </c>
      <c r="B158" s="1" t="s">
        <v>653</v>
      </c>
      <c r="C158">
        <v>7</v>
      </c>
      <c r="D158" s="1" t="s">
        <v>25</v>
      </c>
      <c r="E158" s="1" t="s">
        <v>107</v>
      </c>
      <c r="F158" s="1" t="s">
        <v>145</v>
      </c>
      <c r="G158" s="2">
        <v>45868</v>
      </c>
      <c r="H158" s="2">
        <v>45869</v>
      </c>
      <c r="I158" s="1" t="s">
        <v>173</v>
      </c>
      <c r="J158" s="1" t="s">
        <v>147</v>
      </c>
      <c r="K158" s="1" t="s">
        <v>128</v>
      </c>
      <c r="L158" s="1" t="s">
        <v>66</v>
      </c>
      <c r="M158" s="1" t="s">
        <v>2086</v>
      </c>
      <c r="N158">
        <v>425963.85</v>
      </c>
      <c r="O158">
        <v>24766.91</v>
      </c>
      <c r="P158">
        <v>24927.82</v>
      </c>
      <c r="Q158">
        <v>1</v>
      </c>
      <c r="R158">
        <v>172</v>
      </c>
      <c r="S158">
        <v>4.0999999999999996</v>
      </c>
      <c r="T158" s="1" t="s">
        <v>46</v>
      </c>
      <c r="U158" s="1" t="s">
        <v>95</v>
      </c>
      <c r="V158" s="1" t="s">
        <v>75</v>
      </c>
      <c r="W158" s="1" t="s">
        <v>36</v>
      </c>
      <c r="X158">
        <v>475658.57999999996</v>
      </c>
      <c r="Y158" s="1" t="s">
        <v>2093</v>
      </c>
      <c r="Z158" s="1" t="s">
        <v>2080</v>
      </c>
      <c r="AO158" t="str">
        <v>P00176</v>
      </c>
    </row>
    <row r="159" spans="1:41" x14ac:dyDescent="0.35">
      <c r="A159" s="1" t="s">
        <v>658</v>
      </c>
      <c r="B159" s="1" t="s">
        <v>318</v>
      </c>
      <c r="C159">
        <v>77</v>
      </c>
      <c r="D159" s="1" t="s">
        <v>119</v>
      </c>
      <c r="E159" s="1" t="s">
        <v>26</v>
      </c>
      <c r="F159" s="1" t="s">
        <v>193</v>
      </c>
      <c r="G159" s="2">
        <v>45620</v>
      </c>
      <c r="H159" s="2">
        <v>45627</v>
      </c>
      <c r="I159" s="1" t="s">
        <v>221</v>
      </c>
      <c r="J159" s="1" t="s">
        <v>30</v>
      </c>
      <c r="K159" s="1" t="s">
        <v>91</v>
      </c>
      <c r="L159" s="1" t="s">
        <v>32</v>
      </c>
      <c r="M159" s="1" t="s">
        <v>2086</v>
      </c>
      <c r="N159">
        <v>224480.58</v>
      </c>
      <c r="O159">
        <v>11164.55</v>
      </c>
      <c r="P159">
        <v>58799.16</v>
      </c>
      <c r="Q159">
        <v>7</v>
      </c>
      <c r="R159">
        <v>44</v>
      </c>
      <c r="S159">
        <v>5</v>
      </c>
      <c r="T159" s="1" t="s">
        <v>46</v>
      </c>
      <c r="U159" s="1" t="s">
        <v>95</v>
      </c>
      <c r="V159" s="1" t="s">
        <v>102</v>
      </c>
      <c r="W159" s="1" t="s">
        <v>36</v>
      </c>
      <c r="X159">
        <v>294444.28999999998</v>
      </c>
      <c r="Y159" s="1" t="s">
        <v>2088</v>
      </c>
      <c r="Z159" s="1" t="s">
        <v>2091</v>
      </c>
      <c r="AO159" t="str">
        <v>P00177</v>
      </c>
    </row>
    <row r="160" spans="1:41" x14ac:dyDescent="0.35">
      <c r="A160" s="1" t="s">
        <v>659</v>
      </c>
      <c r="B160" s="1" t="s">
        <v>660</v>
      </c>
      <c r="C160">
        <v>34</v>
      </c>
      <c r="D160" s="1" t="s">
        <v>119</v>
      </c>
      <c r="E160" s="1" t="s">
        <v>192</v>
      </c>
      <c r="F160" s="1" t="s">
        <v>108</v>
      </c>
      <c r="G160" s="2">
        <v>46192</v>
      </c>
      <c r="H160" s="2">
        <v>46195</v>
      </c>
      <c r="I160" s="1" t="s">
        <v>159</v>
      </c>
      <c r="J160" s="1" t="s">
        <v>30</v>
      </c>
      <c r="K160" s="1" t="s">
        <v>148</v>
      </c>
      <c r="L160" s="1" t="s">
        <v>32</v>
      </c>
      <c r="M160" s="1" t="s">
        <v>2089</v>
      </c>
      <c r="N160">
        <v>245855.24</v>
      </c>
      <c r="O160">
        <v>0</v>
      </c>
      <c r="P160">
        <v>15851.58</v>
      </c>
      <c r="Q160">
        <v>3</v>
      </c>
      <c r="R160">
        <v>185</v>
      </c>
      <c r="S160">
        <v>2.8</v>
      </c>
      <c r="T160" s="1" t="s">
        <v>34</v>
      </c>
      <c r="U160" s="1" t="s">
        <v>95</v>
      </c>
      <c r="V160" s="1" t="s">
        <v>102</v>
      </c>
      <c r="W160" s="1" t="s">
        <v>59</v>
      </c>
      <c r="X160">
        <v>261706.81999999998</v>
      </c>
      <c r="Y160" s="1" t="s">
        <v>2082</v>
      </c>
      <c r="Z160" s="1" t="s">
        <v>2080</v>
      </c>
      <c r="AO160" t="str">
        <v>P00178</v>
      </c>
    </row>
    <row r="161" spans="1:41" x14ac:dyDescent="0.35">
      <c r="A161" s="1" t="s">
        <v>662</v>
      </c>
      <c r="B161" s="1" t="s">
        <v>230</v>
      </c>
      <c r="C161">
        <v>54</v>
      </c>
      <c r="D161" s="1" t="s">
        <v>25</v>
      </c>
      <c r="E161" s="1" t="s">
        <v>192</v>
      </c>
      <c r="F161" s="1" t="s">
        <v>193</v>
      </c>
      <c r="G161" s="2">
        <v>45391</v>
      </c>
      <c r="H161" s="2">
        <v>45540</v>
      </c>
      <c r="I161" s="1" t="s">
        <v>53</v>
      </c>
      <c r="J161" s="1" t="s">
        <v>147</v>
      </c>
      <c r="K161" s="1" t="s">
        <v>148</v>
      </c>
      <c r="L161" s="1" t="s">
        <v>44</v>
      </c>
      <c r="M161" s="1" t="s">
        <v>2086</v>
      </c>
      <c r="N161">
        <v>385998.58</v>
      </c>
      <c r="O161">
        <v>47973.83</v>
      </c>
      <c r="P161">
        <v>74881.429999999993</v>
      </c>
      <c r="Q161">
        <v>1</v>
      </c>
      <c r="R161">
        <v>38</v>
      </c>
      <c r="S161">
        <v>1.9</v>
      </c>
      <c r="T161" s="1" t="s">
        <v>34</v>
      </c>
      <c r="U161" s="1" t="s">
        <v>35</v>
      </c>
      <c r="V161" s="1" t="s">
        <v>102</v>
      </c>
      <c r="W161" s="1" t="s">
        <v>83</v>
      </c>
      <c r="X161">
        <v>508853.84</v>
      </c>
      <c r="Y161" s="1" t="s">
        <v>2079</v>
      </c>
      <c r="Z161" s="1" t="s">
        <v>2091</v>
      </c>
      <c r="AO161" t="str">
        <v>P00179</v>
      </c>
    </row>
    <row r="162" spans="1:41" x14ac:dyDescent="0.35">
      <c r="A162" s="1" t="s">
        <v>666</v>
      </c>
      <c r="B162" s="1" t="s">
        <v>321</v>
      </c>
      <c r="C162">
        <v>63</v>
      </c>
      <c r="D162" s="1" t="s">
        <v>119</v>
      </c>
      <c r="E162" s="1" t="s">
        <v>26</v>
      </c>
      <c r="F162" s="1" t="s">
        <v>87</v>
      </c>
      <c r="G162" s="2">
        <v>46021</v>
      </c>
      <c r="H162" s="2">
        <v>46023</v>
      </c>
      <c r="I162" s="1" t="s">
        <v>173</v>
      </c>
      <c r="J162" s="1" t="s">
        <v>137</v>
      </c>
      <c r="K162" s="1" t="s">
        <v>153</v>
      </c>
      <c r="L162" s="1" t="s">
        <v>32</v>
      </c>
      <c r="M162" s="1" t="s">
        <v>2090</v>
      </c>
      <c r="N162">
        <v>227981.84</v>
      </c>
      <c r="O162">
        <v>36714.81</v>
      </c>
      <c r="P162">
        <v>90854.05</v>
      </c>
      <c r="Q162">
        <v>2</v>
      </c>
      <c r="R162">
        <v>133</v>
      </c>
      <c r="S162">
        <v>4.4000000000000004</v>
      </c>
      <c r="T162" s="1" t="s">
        <v>34</v>
      </c>
      <c r="U162" s="1" t="s">
        <v>95</v>
      </c>
      <c r="V162" s="1" t="s">
        <v>75</v>
      </c>
      <c r="W162" s="1" t="s">
        <v>36</v>
      </c>
      <c r="X162">
        <v>355550.7</v>
      </c>
      <c r="Y162" s="1" t="s">
        <v>2088</v>
      </c>
      <c r="Z162" s="1" t="s">
        <v>2080</v>
      </c>
      <c r="AO162" t="str">
        <v>P00181</v>
      </c>
    </row>
    <row r="163" spans="1:41" x14ac:dyDescent="0.35">
      <c r="A163" s="1" t="s">
        <v>674</v>
      </c>
      <c r="B163" s="1" t="s">
        <v>656</v>
      </c>
      <c r="C163">
        <v>14</v>
      </c>
      <c r="D163" s="1" t="s">
        <v>25</v>
      </c>
      <c r="E163" s="1" t="s">
        <v>263</v>
      </c>
      <c r="F163" s="1" t="s">
        <v>193</v>
      </c>
      <c r="G163" s="2">
        <v>45631</v>
      </c>
      <c r="H163" s="2">
        <v>45634</v>
      </c>
      <c r="I163" s="1" t="s">
        <v>114</v>
      </c>
      <c r="J163" s="1" t="s">
        <v>137</v>
      </c>
      <c r="K163" s="1" t="s">
        <v>91</v>
      </c>
      <c r="L163" s="1" t="s">
        <v>44</v>
      </c>
      <c r="M163" s="1" t="s">
        <v>2090</v>
      </c>
      <c r="N163">
        <v>275956.31</v>
      </c>
      <c r="O163">
        <v>13716.08</v>
      </c>
      <c r="P163">
        <v>29141.5</v>
      </c>
      <c r="Q163">
        <v>3</v>
      </c>
      <c r="R163">
        <v>138</v>
      </c>
      <c r="S163">
        <v>5</v>
      </c>
      <c r="T163" s="1" t="s">
        <v>34</v>
      </c>
      <c r="U163" s="1" t="s">
        <v>35</v>
      </c>
      <c r="V163" s="1" t="s">
        <v>102</v>
      </c>
      <c r="W163" s="1" t="s">
        <v>59</v>
      </c>
      <c r="X163">
        <v>318813.89</v>
      </c>
      <c r="Y163" s="1" t="s">
        <v>2093</v>
      </c>
      <c r="Z163" s="1" t="s">
        <v>2080</v>
      </c>
      <c r="AO163" t="str">
        <v>P00183</v>
      </c>
    </row>
    <row r="164" spans="1:41" x14ac:dyDescent="0.35">
      <c r="A164" s="1" t="s">
        <v>675</v>
      </c>
      <c r="B164" s="1" t="s">
        <v>465</v>
      </c>
      <c r="C164">
        <v>49</v>
      </c>
      <c r="D164" s="1" t="s">
        <v>119</v>
      </c>
      <c r="E164" s="1" t="s">
        <v>112</v>
      </c>
      <c r="F164" s="1" t="s">
        <v>227</v>
      </c>
      <c r="G164" s="2">
        <v>45446</v>
      </c>
      <c r="H164" s="2">
        <v>45449</v>
      </c>
      <c r="I164" s="1" t="s">
        <v>273</v>
      </c>
      <c r="J164" s="1" t="s">
        <v>90</v>
      </c>
      <c r="K164" s="1" t="s">
        <v>91</v>
      </c>
      <c r="L164" s="1" t="s">
        <v>32</v>
      </c>
      <c r="M164" s="1" t="s">
        <v>2085</v>
      </c>
      <c r="N164">
        <v>458310.09</v>
      </c>
      <c r="O164">
        <v>36018.83</v>
      </c>
      <c r="P164">
        <v>123050.49</v>
      </c>
      <c r="Q164">
        <v>3</v>
      </c>
      <c r="R164">
        <v>137</v>
      </c>
      <c r="S164">
        <v>1.4</v>
      </c>
      <c r="T164" s="1" t="s">
        <v>34</v>
      </c>
      <c r="U164" s="1" t="s">
        <v>149</v>
      </c>
      <c r="V164" s="1" t="s">
        <v>75</v>
      </c>
      <c r="W164" s="1" t="s">
        <v>59</v>
      </c>
      <c r="X164">
        <v>617379.41</v>
      </c>
      <c r="Y164" s="1" t="s">
        <v>2079</v>
      </c>
      <c r="Z164" s="1" t="s">
        <v>2080</v>
      </c>
      <c r="AO164" t="str">
        <v>P00184</v>
      </c>
    </row>
    <row r="165" spans="1:41" x14ac:dyDescent="0.35">
      <c r="A165" s="1" t="s">
        <v>677</v>
      </c>
      <c r="B165" s="1" t="s">
        <v>608</v>
      </c>
      <c r="C165">
        <v>51</v>
      </c>
      <c r="D165" s="1" t="s">
        <v>119</v>
      </c>
      <c r="E165" s="1" t="s">
        <v>112</v>
      </c>
      <c r="F165" s="1" t="s">
        <v>120</v>
      </c>
      <c r="G165" s="2">
        <v>45464</v>
      </c>
      <c r="H165" s="2">
        <v>45469</v>
      </c>
      <c r="I165" s="1" t="s">
        <v>221</v>
      </c>
      <c r="J165" s="1" t="s">
        <v>147</v>
      </c>
      <c r="K165" s="1" t="s">
        <v>81</v>
      </c>
      <c r="L165" s="1" t="s">
        <v>44</v>
      </c>
      <c r="M165" s="1" t="s">
        <v>2092</v>
      </c>
      <c r="N165">
        <v>400565.39</v>
      </c>
      <c r="O165">
        <v>46829.53</v>
      </c>
      <c r="P165">
        <v>40846.32</v>
      </c>
      <c r="Q165">
        <v>5</v>
      </c>
      <c r="R165">
        <v>3</v>
      </c>
      <c r="S165">
        <v>3.4</v>
      </c>
      <c r="T165" s="1" t="s">
        <v>46</v>
      </c>
      <c r="U165" s="1" t="s">
        <v>149</v>
      </c>
      <c r="V165" s="1" t="s">
        <v>75</v>
      </c>
      <c r="W165" s="1" t="s">
        <v>59</v>
      </c>
      <c r="X165">
        <v>488241.24000000005</v>
      </c>
      <c r="Y165" s="1" t="s">
        <v>2079</v>
      </c>
      <c r="Z165" s="1" t="s">
        <v>2083</v>
      </c>
      <c r="AO165" t="str">
        <v>P00187</v>
      </c>
    </row>
    <row r="166" spans="1:41" x14ac:dyDescent="0.35">
      <c r="A166" s="1" t="s">
        <v>682</v>
      </c>
      <c r="B166" s="1" t="s">
        <v>683</v>
      </c>
      <c r="C166">
        <v>29</v>
      </c>
      <c r="D166" s="1" t="s">
        <v>119</v>
      </c>
      <c r="E166" s="1" t="s">
        <v>26</v>
      </c>
      <c r="F166" s="1" t="s">
        <v>193</v>
      </c>
      <c r="G166" s="2">
        <v>45589</v>
      </c>
      <c r="H166" s="2">
        <v>45596</v>
      </c>
      <c r="I166" s="1" t="s">
        <v>273</v>
      </c>
      <c r="J166" s="1" t="s">
        <v>152</v>
      </c>
      <c r="K166" s="1" t="s">
        <v>128</v>
      </c>
      <c r="L166" s="1" t="s">
        <v>32</v>
      </c>
      <c r="M166" s="1" t="s">
        <v>2078</v>
      </c>
      <c r="N166">
        <v>201237.6</v>
      </c>
      <c r="O166">
        <v>30367.200000000001</v>
      </c>
      <c r="P166">
        <v>21453.05</v>
      </c>
      <c r="Q166">
        <v>7</v>
      </c>
      <c r="R166">
        <v>143</v>
      </c>
      <c r="S166">
        <v>3.5</v>
      </c>
      <c r="T166" s="1" t="s">
        <v>46</v>
      </c>
      <c r="U166" s="1" t="s">
        <v>35</v>
      </c>
      <c r="V166" s="1" t="s">
        <v>102</v>
      </c>
      <c r="W166" s="1" t="s">
        <v>59</v>
      </c>
      <c r="X166">
        <v>253057.85</v>
      </c>
      <c r="Y166" s="1" t="s">
        <v>2082</v>
      </c>
      <c r="Z166" s="1" t="s">
        <v>2080</v>
      </c>
      <c r="AO166" t="str">
        <v>P00190</v>
      </c>
    </row>
    <row r="167" spans="1:41" x14ac:dyDescent="0.35">
      <c r="A167" s="1" t="s">
        <v>685</v>
      </c>
      <c r="B167" s="1" t="s">
        <v>608</v>
      </c>
      <c r="C167">
        <v>23</v>
      </c>
      <c r="D167" s="1" t="s">
        <v>119</v>
      </c>
      <c r="E167" s="1" t="s">
        <v>157</v>
      </c>
      <c r="F167" s="1" t="s">
        <v>227</v>
      </c>
      <c r="G167" s="2">
        <v>45895</v>
      </c>
      <c r="H167" s="2">
        <v>45899</v>
      </c>
      <c r="I167" s="1" t="s">
        <v>53</v>
      </c>
      <c r="J167" s="1" t="s">
        <v>115</v>
      </c>
      <c r="K167" s="1" t="s">
        <v>148</v>
      </c>
      <c r="L167" s="1" t="s">
        <v>66</v>
      </c>
      <c r="M167" s="1" t="s">
        <v>2089</v>
      </c>
      <c r="N167">
        <v>158755.84</v>
      </c>
      <c r="O167">
        <v>48059.53</v>
      </c>
      <c r="P167">
        <v>33815.01</v>
      </c>
      <c r="Q167">
        <v>4</v>
      </c>
      <c r="R167">
        <v>224</v>
      </c>
      <c r="S167">
        <v>3.2</v>
      </c>
      <c r="T167" s="1" t="s">
        <v>46</v>
      </c>
      <c r="U167" s="1" t="s">
        <v>95</v>
      </c>
      <c r="V167" s="1" t="s">
        <v>130</v>
      </c>
      <c r="W167" s="1" t="s">
        <v>131</v>
      </c>
      <c r="X167">
        <v>240630.38</v>
      </c>
      <c r="Y167" s="1" t="s">
        <v>2082</v>
      </c>
      <c r="Z167" s="1" t="s">
        <v>2080</v>
      </c>
      <c r="AO167" t="str">
        <v>P00192</v>
      </c>
    </row>
    <row r="168" spans="1:41" x14ac:dyDescent="0.35">
      <c r="A168" s="1" t="s">
        <v>687</v>
      </c>
      <c r="B168" s="1" t="s">
        <v>688</v>
      </c>
      <c r="C168">
        <v>63</v>
      </c>
      <c r="D168" s="1" t="s">
        <v>119</v>
      </c>
      <c r="E168" s="1" t="s">
        <v>112</v>
      </c>
      <c r="F168" s="1" t="s">
        <v>227</v>
      </c>
      <c r="G168" s="2">
        <v>45777</v>
      </c>
      <c r="H168" s="2">
        <v>45780</v>
      </c>
      <c r="I168" s="1" t="s">
        <v>273</v>
      </c>
      <c r="J168" s="1" t="s">
        <v>2081</v>
      </c>
      <c r="K168" s="1" t="s">
        <v>128</v>
      </c>
      <c r="L168" s="1" t="s">
        <v>66</v>
      </c>
      <c r="M168" s="1" t="s">
        <v>57</v>
      </c>
      <c r="N168">
        <v>21428.799999999999</v>
      </c>
      <c r="O168">
        <v>0</v>
      </c>
      <c r="P168">
        <v>0</v>
      </c>
      <c r="Q168">
        <v>3</v>
      </c>
      <c r="R168">
        <v>189</v>
      </c>
      <c r="S168">
        <v>3</v>
      </c>
      <c r="T168" s="1" t="s">
        <v>34</v>
      </c>
      <c r="U168" s="1" t="s">
        <v>95</v>
      </c>
      <c r="V168" s="1" t="s">
        <v>102</v>
      </c>
      <c r="W168" s="1" t="s">
        <v>131</v>
      </c>
      <c r="X168">
        <v>21428.799999999999</v>
      </c>
      <c r="Y168" s="1" t="s">
        <v>2088</v>
      </c>
      <c r="Z168" s="1" t="s">
        <v>2080</v>
      </c>
      <c r="AO168" t="str">
        <v>P00193</v>
      </c>
    </row>
    <row r="169" spans="1:41" x14ac:dyDescent="0.35">
      <c r="A169" s="1" t="s">
        <v>689</v>
      </c>
      <c r="B169" s="1" t="s">
        <v>161</v>
      </c>
      <c r="C169">
        <v>30</v>
      </c>
      <c r="D169" s="1" t="s">
        <v>25</v>
      </c>
      <c r="E169" s="1" t="s">
        <v>263</v>
      </c>
      <c r="F169" s="1" t="s">
        <v>227</v>
      </c>
      <c r="G169" s="2">
        <v>45915</v>
      </c>
      <c r="H169" s="2">
        <v>45933</v>
      </c>
      <c r="I169" s="1" t="s">
        <v>273</v>
      </c>
      <c r="J169" s="1" t="s">
        <v>30</v>
      </c>
      <c r="K169" s="1" t="s">
        <v>122</v>
      </c>
      <c r="L169" s="1" t="s">
        <v>66</v>
      </c>
      <c r="M169" s="1" t="s">
        <v>2086</v>
      </c>
      <c r="N169">
        <v>245837.18</v>
      </c>
      <c r="O169">
        <v>68552.75</v>
      </c>
      <c r="P169">
        <v>105182.79</v>
      </c>
      <c r="Q169">
        <v>18</v>
      </c>
      <c r="R169">
        <v>249</v>
      </c>
      <c r="S169">
        <v>5</v>
      </c>
      <c r="T169" s="1" t="s">
        <v>46</v>
      </c>
      <c r="U169" s="1" t="s">
        <v>149</v>
      </c>
      <c r="V169" s="1" t="s">
        <v>130</v>
      </c>
      <c r="W169" s="1" t="s">
        <v>131</v>
      </c>
      <c r="X169">
        <v>419572.72</v>
      </c>
      <c r="Y169" s="1" t="s">
        <v>2082</v>
      </c>
      <c r="Z169" s="1" t="s">
        <v>2080</v>
      </c>
      <c r="AO169" t="str">
        <v>P00194</v>
      </c>
    </row>
    <row r="170" spans="1:41" x14ac:dyDescent="0.35">
      <c r="A170" s="1" t="s">
        <v>691</v>
      </c>
      <c r="B170" s="1" t="s">
        <v>692</v>
      </c>
      <c r="C170">
        <v>56</v>
      </c>
      <c r="D170" s="1" t="s">
        <v>25</v>
      </c>
      <c r="E170" s="1" t="s">
        <v>263</v>
      </c>
      <c r="F170" s="1" t="s">
        <v>135</v>
      </c>
      <c r="G170" s="2">
        <v>46220</v>
      </c>
      <c r="H170" s="2">
        <v>46226</v>
      </c>
      <c r="I170" s="1" t="s">
        <v>221</v>
      </c>
      <c r="J170" s="1" t="s">
        <v>2081</v>
      </c>
      <c r="K170" s="1" t="s">
        <v>174</v>
      </c>
      <c r="L170" s="1" t="s">
        <v>44</v>
      </c>
      <c r="M170" s="1" t="s">
        <v>2089</v>
      </c>
      <c r="N170">
        <v>245837.18</v>
      </c>
      <c r="O170">
        <v>16220.36</v>
      </c>
      <c r="P170">
        <v>20454.03</v>
      </c>
      <c r="Q170">
        <v>6</v>
      </c>
      <c r="R170">
        <v>94</v>
      </c>
      <c r="S170">
        <v>3.4</v>
      </c>
      <c r="T170" s="1" t="s">
        <v>46</v>
      </c>
      <c r="U170" s="1" t="s">
        <v>35</v>
      </c>
      <c r="V170" s="1" t="s">
        <v>75</v>
      </c>
      <c r="W170" s="1" t="s">
        <v>59</v>
      </c>
      <c r="X170">
        <v>282511.56999999995</v>
      </c>
      <c r="Y170" s="1" t="s">
        <v>2079</v>
      </c>
      <c r="Z170" s="1" t="s">
        <v>2080</v>
      </c>
      <c r="AO170" t="str">
        <v>P00195</v>
      </c>
    </row>
    <row r="171" spans="1:41" x14ac:dyDescent="0.35">
      <c r="A171" s="1" t="s">
        <v>694</v>
      </c>
      <c r="B171" s="1" t="s">
        <v>695</v>
      </c>
      <c r="C171">
        <v>58</v>
      </c>
      <c r="D171" s="1" t="s">
        <v>25</v>
      </c>
      <c r="E171" s="1" t="s">
        <v>2084</v>
      </c>
      <c r="F171" s="1" t="s">
        <v>87</v>
      </c>
      <c r="G171" s="2">
        <v>45589</v>
      </c>
      <c r="H171" s="2">
        <v>45591</v>
      </c>
      <c r="I171" s="1" t="s">
        <v>127</v>
      </c>
      <c r="J171" s="1" t="s">
        <v>87</v>
      </c>
      <c r="K171" s="1" t="s">
        <v>128</v>
      </c>
      <c r="L171" s="1" t="s">
        <v>44</v>
      </c>
      <c r="M171" s="1" t="s">
        <v>2089</v>
      </c>
      <c r="N171">
        <v>353742.73</v>
      </c>
      <c r="O171">
        <v>32210.17</v>
      </c>
      <c r="P171">
        <v>89325.9</v>
      </c>
      <c r="Q171">
        <v>2</v>
      </c>
      <c r="R171">
        <v>9</v>
      </c>
      <c r="S171">
        <v>3.4</v>
      </c>
      <c r="T171" s="1" t="s">
        <v>34</v>
      </c>
      <c r="U171" s="1" t="s">
        <v>149</v>
      </c>
      <c r="V171" s="1" t="s">
        <v>102</v>
      </c>
      <c r="W171" s="1" t="s">
        <v>83</v>
      </c>
      <c r="X171">
        <v>475278.79999999993</v>
      </c>
      <c r="Y171" s="1" t="s">
        <v>2079</v>
      </c>
      <c r="Z171" s="1" t="s">
        <v>2083</v>
      </c>
      <c r="AO171" t="str">
        <v>P00196</v>
      </c>
    </row>
    <row r="172" spans="1:41" x14ac:dyDescent="0.35">
      <c r="A172" s="1" t="s">
        <v>696</v>
      </c>
      <c r="B172" s="1" t="s">
        <v>697</v>
      </c>
      <c r="C172">
        <v>1</v>
      </c>
      <c r="D172" s="1" t="s">
        <v>25</v>
      </c>
      <c r="E172" s="1" t="s">
        <v>26</v>
      </c>
      <c r="F172" s="1" t="s">
        <v>41</v>
      </c>
      <c r="G172" s="2">
        <v>45408</v>
      </c>
      <c r="H172" s="2">
        <v>45409</v>
      </c>
      <c r="I172" s="1" t="s">
        <v>29</v>
      </c>
      <c r="J172" s="1" t="s">
        <v>87</v>
      </c>
      <c r="K172" s="1" t="s">
        <v>128</v>
      </c>
      <c r="L172" s="1" t="s">
        <v>44</v>
      </c>
      <c r="M172" s="1" t="s">
        <v>2090</v>
      </c>
      <c r="N172">
        <v>208424.7</v>
      </c>
      <c r="O172">
        <v>26956.31</v>
      </c>
      <c r="P172">
        <v>90403.49</v>
      </c>
      <c r="Q172">
        <v>1</v>
      </c>
      <c r="R172">
        <v>142</v>
      </c>
      <c r="S172">
        <v>2.4</v>
      </c>
      <c r="T172" s="1" t="s">
        <v>46</v>
      </c>
      <c r="U172" s="1" t="s">
        <v>149</v>
      </c>
      <c r="V172" s="1" t="s">
        <v>102</v>
      </c>
      <c r="W172" s="1" t="s">
        <v>131</v>
      </c>
      <c r="X172">
        <v>325784.5</v>
      </c>
      <c r="Y172" s="1" t="s">
        <v>2093</v>
      </c>
      <c r="Z172" s="1" t="s">
        <v>2080</v>
      </c>
      <c r="AO172" t="str">
        <v>P00197</v>
      </c>
    </row>
    <row r="173" spans="1:41" x14ac:dyDescent="0.35">
      <c r="A173" s="1" t="s">
        <v>699</v>
      </c>
      <c r="B173" s="1" t="s">
        <v>252</v>
      </c>
      <c r="C173">
        <v>69</v>
      </c>
      <c r="D173" s="1" t="s">
        <v>25</v>
      </c>
      <c r="E173" s="1" t="s">
        <v>192</v>
      </c>
      <c r="F173" s="1" t="s">
        <v>193</v>
      </c>
      <c r="G173" s="2">
        <v>45986</v>
      </c>
      <c r="H173" s="2">
        <v>45997</v>
      </c>
      <c r="I173" s="1" t="s">
        <v>273</v>
      </c>
      <c r="J173" s="1" t="s">
        <v>2081</v>
      </c>
      <c r="K173" s="1" t="s">
        <v>122</v>
      </c>
      <c r="L173" s="1" t="s">
        <v>32</v>
      </c>
      <c r="M173" s="1" t="s">
        <v>2089</v>
      </c>
      <c r="N173">
        <v>301493.68</v>
      </c>
      <c r="O173">
        <v>24337.9</v>
      </c>
      <c r="P173">
        <v>16216.82</v>
      </c>
      <c r="Q173">
        <v>11</v>
      </c>
      <c r="R173">
        <v>67</v>
      </c>
      <c r="S173">
        <v>5</v>
      </c>
      <c r="T173" s="1" t="s">
        <v>34</v>
      </c>
      <c r="U173" s="1" t="s">
        <v>149</v>
      </c>
      <c r="V173" s="1" t="s">
        <v>102</v>
      </c>
      <c r="W173" s="1" t="s">
        <v>131</v>
      </c>
      <c r="X173">
        <v>342048.4</v>
      </c>
      <c r="Y173" s="1" t="s">
        <v>2088</v>
      </c>
      <c r="Z173" s="1" t="s">
        <v>2080</v>
      </c>
      <c r="AO173" t="str">
        <v>P00199</v>
      </c>
    </row>
    <row r="174" spans="1:41" x14ac:dyDescent="0.35">
      <c r="A174" s="1" t="s">
        <v>700</v>
      </c>
      <c r="B174" s="1" t="s">
        <v>701</v>
      </c>
      <c r="C174">
        <v>76</v>
      </c>
      <c r="D174" s="1" t="s">
        <v>25</v>
      </c>
      <c r="E174" s="1" t="s">
        <v>2084</v>
      </c>
      <c r="F174" s="1" t="s">
        <v>145</v>
      </c>
      <c r="G174" s="2">
        <v>45986</v>
      </c>
      <c r="H174" s="2">
        <v>45997</v>
      </c>
      <c r="I174" s="1" t="s">
        <v>273</v>
      </c>
      <c r="J174" s="1" t="s">
        <v>87</v>
      </c>
      <c r="K174" s="1" t="s">
        <v>55</v>
      </c>
      <c r="L174" s="1" t="s">
        <v>32</v>
      </c>
      <c r="M174" s="1" t="s">
        <v>57</v>
      </c>
      <c r="N174">
        <v>151561.07999999999</v>
      </c>
      <c r="O174">
        <v>2009.56</v>
      </c>
      <c r="P174">
        <v>49226.59</v>
      </c>
      <c r="Q174">
        <v>11</v>
      </c>
      <c r="R174">
        <v>0</v>
      </c>
      <c r="S174">
        <v>4.0999999999999996</v>
      </c>
      <c r="T174" s="1" t="s">
        <v>34</v>
      </c>
      <c r="U174" s="1" t="s">
        <v>101</v>
      </c>
      <c r="V174" s="1" t="s">
        <v>102</v>
      </c>
      <c r="W174" s="1" t="s">
        <v>83</v>
      </c>
      <c r="X174">
        <v>202797.22999999998</v>
      </c>
      <c r="Y174" s="1" t="s">
        <v>2088</v>
      </c>
      <c r="Z174" s="1" t="s">
        <v>2083</v>
      </c>
      <c r="AO174" t="str">
        <v>P00200</v>
      </c>
    </row>
    <row r="175" spans="1:41" x14ac:dyDescent="0.35">
      <c r="A175" s="1" t="s">
        <v>702</v>
      </c>
      <c r="B175" s="1" t="s">
        <v>703</v>
      </c>
      <c r="C175">
        <v>32</v>
      </c>
      <c r="D175" s="1" t="s">
        <v>119</v>
      </c>
      <c r="E175" s="1" t="s">
        <v>2084</v>
      </c>
      <c r="F175" s="1" t="s">
        <v>145</v>
      </c>
      <c r="G175" s="2">
        <v>45950</v>
      </c>
      <c r="H175" s="2">
        <v>45952</v>
      </c>
      <c r="I175" s="1" t="s">
        <v>273</v>
      </c>
      <c r="J175" s="1" t="s">
        <v>87</v>
      </c>
      <c r="K175" s="1" t="s">
        <v>91</v>
      </c>
      <c r="L175" s="1" t="s">
        <v>32</v>
      </c>
      <c r="M175" s="1" t="s">
        <v>2078</v>
      </c>
      <c r="N175">
        <v>0</v>
      </c>
      <c r="O175">
        <v>42840</v>
      </c>
      <c r="P175">
        <v>29018.97</v>
      </c>
      <c r="Q175">
        <v>2</v>
      </c>
      <c r="R175">
        <v>7</v>
      </c>
      <c r="S175">
        <v>0</v>
      </c>
      <c r="T175" s="1" t="s">
        <v>34</v>
      </c>
      <c r="U175" s="1" t="s">
        <v>101</v>
      </c>
      <c r="V175" s="1" t="s">
        <v>102</v>
      </c>
      <c r="W175" s="1" t="s">
        <v>59</v>
      </c>
      <c r="X175">
        <v>71858.97</v>
      </c>
      <c r="Y175" s="1" t="s">
        <v>2082</v>
      </c>
      <c r="Z175" s="1" t="s">
        <v>2083</v>
      </c>
      <c r="AO175" t="str">
        <v>P00201</v>
      </c>
    </row>
    <row r="176" spans="1:41" x14ac:dyDescent="0.35">
      <c r="A176" s="1" t="s">
        <v>706</v>
      </c>
      <c r="B176" s="1" t="s">
        <v>97</v>
      </c>
      <c r="C176">
        <v>59</v>
      </c>
      <c r="D176" s="1" t="s">
        <v>119</v>
      </c>
      <c r="E176" s="1" t="s">
        <v>86</v>
      </c>
      <c r="F176" s="1" t="s">
        <v>145</v>
      </c>
      <c r="G176" s="2">
        <v>45925</v>
      </c>
      <c r="H176" s="2">
        <v>45928</v>
      </c>
      <c r="I176" s="1" t="s">
        <v>159</v>
      </c>
      <c r="J176" s="1" t="s">
        <v>141</v>
      </c>
      <c r="K176" s="1" t="s">
        <v>148</v>
      </c>
      <c r="L176" s="1" t="s">
        <v>44</v>
      </c>
      <c r="M176" s="1" t="s">
        <v>2085</v>
      </c>
      <c r="N176">
        <v>391770.65</v>
      </c>
      <c r="O176">
        <v>27496.15</v>
      </c>
      <c r="P176">
        <v>38889.79</v>
      </c>
      <c r="Q176">
        <v>3</v>
      </c>
      <c r="R176">
        <v>29</v>
      </c>
      <c r="S176">
        <v>2.6</v>
      </c>
      <c r="T176" s="1" t="s">
        <v>34</v>
      </c>
      <c r="U176" s="1" t="s">
        <v>95</v>
      </c>
      <c r="V176" s="1" t="s">
        <v>130</v>
      </c>
      <c r="W176" s="1" t="s">
        <v>36</v>
      </c>
      <c r="X176">
        <v>458156.59</v>
      </c>
      <c r="Y176" s="1" t="s">
        <v>2079</v>
      </c>
      <c r="Z176" s="1" t="s">
        <v>2083</v>
      </c>
      <c r="AO176" t="str">
        <v>P00203</v>
      </c>
    </row>
    <row r="177" spans="1:41" x14ac:dyDescent="0.35">
      <c r="A177" s="1" t="s">
        <v>712</v>
      </c>
      <c r="B177" s="1" t="s">
        <v>713</v>
      </c>
      <c r="C177">
        <v>31</v>
      </c>
      <c r="D177" s="1" t="s">
        <v>25</v>
      </c>
      <c r="E177" s="1" t="s">
        <v>26</v>
      </c>
      <c r="F177" s="1" t="s">
        <v>145</v>
      </c>
      <c r="G177" s="2">
        <v>45429</v>
      </c>
      <c r="H177" s="2">
        <v>45430</v>
      </c>
      <c r="I177" s="1" t="s">
        <v>53</v>
      </c>
      <c r="J177" s="1" t="s">
        <v>54</v>
      </c>
      <c r="K177" s="1" t="s">
        <v>128</v>
      </c>
      <c r="L177" s="1" t="s">
        <v>44</v>
      </c>
      <c r="M177" s="1" t="s">
        <v>2086</v>
      </c>
      <c r="N177">
        <v>331197.06</v>
      </c>
      <c r="O177">
        <v>0</v>
      </c>
      <c r="P177">
        <v>53806.74</v>
      </c>
      <c r="Q177">
        <v>1</v>
      </c>
      <c r="R177">
        <v>0</v>
      </c>
      <c r="S177">
        <v>4.3</v>
      </c>
      <c r="T177" s="1" t="s">
        <v>34</v>
      </c>
      <c r="U177" s="1" t="s">
        <v>149</v>
      </c>
      <c r="V177" s="1" t="s">
        <v>102</v>
      </c>
      <c r="W177" s="1" t="s">
        <v>83</v>
      </c>
      <c r="X177">
        <v>385003.8</v>
      </c>
      <c r="Y177" s="1" t="s">
        <v>2082</v>
      </c>
      <c r="Z177" s="1" t="s">
        <v>2083</v>
      </c>
      <c r="AO177" t="str">
        <v>P00207</v>
      </c>
    </row>
    <row r="178" spans="1:41" x14ac:dyDescent="0.35">
      <c r="A178" s="1" t="s">
        <v>715</v>
      </c>
      <c r="B178" s="1" t="s">
        <v>716</v>
      </c>
      <c r="C178">
        <v>7</v>
      </c>
      <c r="D178" s="1" t="s">
        <v>25</v>
      </c>
      <c r="E178" s="1" t="s">
        <v>263</v>
      </c>
      <c r="F178" s="1" t="s">
        <v>87</v>
      </c>
      <c r="G178" s="2">
        <v>45915</v>
      </c>
      <c r="H178" s="2">
        <v>45918</v>
      </c>
      <c r="I178" s="1" t="s">
        <v>235</v>
      </c>
      <c r="J178" s="1" t="s">
        <v>2081</v>
      </c>
      <c r="K178" s="1" t="s">
        <v>91</v>
      </c>
      <c r="L178" s="1" t="s">
        <v>44</v>
      </c>
      <c r="M178" s="1" t="s">
        <v>2078</v>
      </c>
      <c r="N178">
        <v>383063.51</v>
      </c>
      <c r="O178">
        <v>11635.21</v>
      </c>
      <c r="P178">
        <v>20692.43</v>
      </c>
      <c r="Q178">
        <v>3</v>
      </c>
      <c r="R178">
        <v>110</v>
      </c>
      <c r="S178">
        <v>5</v>
      </c>
      <c r="T178" s="1" t="s">
        <v>34</v>
      </c>
      <c r="U178" s="1" t="s">
        <v>149</v>
      </c>
      <c r="V178" s="1" t="s">
        <v>75</v>
      </c>
      <c r="W178" s="1" t="s">
        <v>83</v>
      </c>
      <c r="X178">
        <v>415391.15</v>
      </c>
      <c r="Y178" s="1" t="s">
        <v>2093</v>
      </c>
      <c r="Z178" s="1" t="s">
        <v>2080</v>
      </c>
      <c r="AO178" t="str">
        <v>P00208</v>
      </c>
    </row>
    <row r="179" spans="1:41" x14ac:dyDescent="0.35">
      <c r="A179" s="1" t="s">
        <v>717</v>
      </c>
      <c r="B179" s="1" t="s">
        <v>499</v>
      </c>
      <c r="C179">
        <v>44</v>
      </c>
      <c r="D179" s="1" t="s">
        <v>119</v>
      </c>
      <c r="E179" s="1" t="s">
        <v>192</v>
      </c>
      <c r="F179" s="1" t="s">
        <v>145</v>
      </c>
      <c r="G179" s="2">
        <v>46030</v>
      </c>
      <c r="H179" s="2">
        <v>46236</v>
      </c>
      <c r="I179" s="1" t="s">
        <v>235</v>
      </c>
      <c r="J179" s="1" t="s">
        <v>87</v>
      </c>
      <c r="K179" s="1" t="s">
        <v>55</v>
      </c>
      <c r="L179" s="1" t="s">
        <v>44</v>
      </c>
      <c r="M179" s="1" t="s">
        <v>2085</v>
      </c>
      <c r="N179">
        <v>280034.31</v>
      </c>
      <c r="O179">
        <v>47327.64</v>
      </c>
      <c r="P179">
        <v>50293.25</v>
      </c>
      <c r="Q179">
        <v>1</v>
      </c>
      <c r="R179">
        <v>67</v>
      </c>
      <c r="S179">
        <v>2.6</v>
      </c>
      <c r="T179" s="1" t="s">
        <v>34</v>
      </c>
      <c r="U179" s="1" t="s">
        <v>149</v>
      </c>
      <c r="V179" s="1" t="s">
        <v>75</v>
      </c>
      <c r="W179" s="1" t="s">
        <v>83</v>
      </c>
      <c r="X179">
        <v>377655.2</v>
      </c>
      <c r="Y179" s="1" t="s">
        <v>2079</v>
      </c>
      <c r="Z179" s="1" t="s">
        <v>2080</v>
      </c>
      <c r="AO179" t="str">
        <v>P00209</v>
      </c>
    </row>
    <row r="180" spans="1:41" x14ac:dyDescent="0.35">
      <c r="A180" s="1" t="s">
        <v>719</v>
      </c>
      <c r="B180" s="1" t="s">
        <v>389</v>
      </c>
      <c r="C180">
        <v>19</v>
      </c>
      <c r="D180" s="1" t="s">
        <v>25</v>
      </c>
      <c r="E180" s="1" t="s">
        <v>263</v>
      </c>
      <c r="F180" s="1" t="s">
        <v>120</v>
      </c>
      <c r="G180" s="2">
        <v>45349</v>
      </c>
      <c r="H180" s="2">
        <v>45352</v>
      </c>
      <c r="I180" s="1" t="s">
        <v>100</v>
      </c>
      <c r="J180" s="1" t="s">
        <v>2081</v>
      </c>
      <c r="K180" s="1" t="s">
        <v>148</v>
      </c>
      <c r="L180" s="1" t="s">
        <v>66</v>
      </c>
      <c r="M180" s="1" t="s">
        <v>2078</v>
      </c>
      <c r="N180">
        <v>0</v>
      </c>
      <c r="O180">
        <v>40914</v>
      </c>
      <c r="P180">
        <v>72118.05</v>
      </c>
      <c r="Q180">
        <v>3</v>
      </c>
      <c r="R180">
        <v>0</v>
      </c>
      <c r="S180">
        <v>2.4</v>
      </c>
      <c r="T180" s="1" t="s">
        <v>34</v>
      </c>
      <c r="U180" s="1" t="s">
        <v>95</v>
      </c>
      <c r="V180" s="1" t="s">
        <v>75</v>
      </c>
      <c r="W180" s="1" t="s">
        <v>59</v>
      </c>
      <c r="X180">
        <v>113032.05</v>
      </c>
      <c r="Y180" s="1" t="s">
        <v>2082</v>
      </c>
      <c r="Z180" s="1" t="s">
        <v>2083</v>
      </c>
      <c r="AO180" t="str">
        <v>P00211</v>
      </c>
    </row>
    <row r="181" spans="1:41" x14ac:dyDescent="0.35">
      <c r="A181" s="1" t="s">
        <v>720</v>
      </c>
      <c r="B181" s="1" t="s">
        <v>721</v>
      </c>
      <c r="C181">
        <v>88</v>
      </c>
      <c r="D181" s="1" t="s">
        <v>25</v>
      </c>
      <c r="E181" s="1" t="s">
        <v>26</v>
      </c>
      <c r="F181" s="1" t="s">
        <v>108</v>
      </c>
      <c r="G181" s="2">
        <v>46177</v>
      </c>
      <c r="H181" s="2">
        <v>46181</v>
      </c>
      <c r="I181" s="1" t="s">
        <v>100</v>
      </c>
      <c r="J181" s="1" t="s">
        <v>2081</v>
      </c>
      <c r="K181" s="1" t="s">
        <v>81</v>
      </c>
      <c r="L181" s="1" t="s">
        <v>66</v>
      </c>
      <c r="M181" s="1" t="s">
        <v>2087</v>
      </c>
      <c r="N181">
        <v>222911.12</v>
      </c>
      <c r="O181">
        <v>11799.93</v>
      </c>
      <c r="P181">
        <v>39513.11</v>
      </c>
      <c r="Q181">
        <v>4</v>
      </c>
      <c r="R181">
        <v>198</v>
      </c>
      <c r="S181">
        <v>2.9</v>
      </c>
      <c r="T181" s="1" t="s">
        <v>46</v>
      </c>
      <c r="U181" s="1" t="s">
        <v>95</v>
      </c>
      <c r="V181" s="1" t="s">
        <v>75</v>
      </c>
      <c r="W181" s="1" t="s">
        <v>131</v>
      </c>
      <c r="X181">
        <v>274224.15999999997</v>
      </c>
      <c r="Y181" s="1" t="s">
        <v>2088</v>
      </c>
      <c r="Z181" s="1" t="s">
        <v>2080</v>
      </c>
      <c r="AO181" t="str">
        <v>P00212</v>
      </c>
    </row>
    <row r="182" spans="1:41" x14ac:dyDescent="0.35">
      <c r="A182" s="1" t="s">
        <v>725</v>
      </c>
      <c r="B182" s="1" t="s">
        <v>726</v>
      </c>
      <c r="C182">
        <v>8</v>
      </c>
      <c r="D182" s="1" t="s">
        <v>119</v>
      </c>
      <c r="E182" s="1" t="s">
        <v>263</v>
      </c>
      <c r="F182" s="1" t="s">
        <v>145</v>
      </c>
      <c r="G182" s="2">
        <v>45333</v>
      </c>
      <c r="H182" s="2">
        <v>45335</v>
      </c>
      <c r="I182" s="1" t="s">
        <v>29</v>
      </c>
      <c r="J182" s="1" t="s">
        <v>147</v>
      </c>
      <c r="K182" s="1" t="s">
        <v>163</v>
      </c>
      <c r="L182" s="1" t="s">
        <v>32</v>
      </c>
      <c r="M182" s="1" t="s">
        <v>2087</v>
      </c>
      <c r="N182">
        <v>343635.37</v>
      </c>
      <c r="O182">
        <v>28054.07</v>
      </c>
      <c r="P182">
        <v>39585.599999999999</v>
      </c>
      <c r="Q182">
        <v>2</v>
      </c>
      <c r="R182">
        <v>334</v>
      </c>
      <c r="S182">
        <v>4.0999999999999996</v>
      </c>
      <c r="T182" s="1" t="s">
        <v>34</v>
      </c>
      <c r="U182" s="1" t="s">
        <v>35</v>
      </c>
      <c r="V182" s="1" t="s">
        <v>130</v>
      </c>
      <c r="W182" s="1" t="s">
        <v>83</v>
      </c>
      <c r="X182">
        <v>411275.04</v>
      </c>
      <c r="Y182" s="1" t="s">
        <v>2093</v>
      </c>
      <c r="Z182" s="1" t="s">
        <v>2080</v>
      </c>
      <c r="AO182" t="str">
        <v>P00213</v>
      </c>
    </row>
    <row r="183" spans="1:41" x14ac:dyDescent="0.35">
      <c r="A183" s="1" t="s">
        <v>728</v>
      </c>
      <c r="B183" s="1" t="s">
        <v>729</v>
      </c>
      <c r="C183">
        <v>33</v>
      </c>
      <c r="D183" s="1" t="s">
        <v>119</v>
      </c>
      <c r="E183" s="1" t="s">
        <v>263</v>
      </c>
      <c r="F183" s="1" t="s">
        <v>120</v>
      </c>
      <c r="G183" s="2">
        <v>45969</v>
      </c>
      <c r="H183" s="2">
        <v>45970</v>
      </c>
      <c r="I183" s="1" t="s">
        <v>173</v>
      </c>
      <c r="J183" s="1" t="s">
        <v>87</v>
      </c>
      <c r="K183" s="1" t="s">
        <v>153</v>
      </c>
      <c r="L183" s="1" t="s">
        <v>32</v>
      </c>
      <c r="M183" s="1" t="s">
        <v>2085</v>
      </c>
      <c r="N183">
        <v>380782.4</v>
      </c>
      <c r="O183">
        <v>32831.760000000002</v>
      </c>
      <c r="P183">
        <v>1851.66</v>
      </c>
      <c r="Q183">
        <v>1</v>
      </c>
      <c r="R183">
        <v>163</v>
      </c>
      <c r="S183">
        <v>2.8</v>
      </c>
      <c r="T183" s="1" t="s">
        <v>34</v>
      </c>
      <c r="U183" s="1" t="s">
        <v>101</v>
      </c>
      <c r="V183" s="1" t="s">
        <v>102</v>
      </c>
      <c r="W183" s="1" t="s">
        <v>83</v>
      </c>
      <c r="X183">
        <v>415465.82</v>
      </c>
      <c r="Y183" s="1" t="s">
        <v>2082</v>
      </c>
      <c r="Z183" s="1" t="s">
        <v>2080</v>
      </c>
      <c r="AO183" t="str">
        <v>P00214</v>
      </c>
    </row>
    <row r="184" spans="1:41" x14ac:dyDescent="0.35">
      <c r="A184" s="1" t="s">
        <v>731</v>
      </c>
      <c r="B184" s="1" t="s">
        <v>669</v>
      </c>
      <c r="C184">
        <v>66</v>
      </c>
      <c r="D184" s="1" t="s">
        <v>25</v>
      </c>
      <c r="E184" s="1" t="s">
        <v>2084</v>
      </c>
      <c r="F184" s="1" t="s">
        <v>227</v>
      </c>
      <c r="G184" s="2">
        <v>45510</v>
      </c>
      <c r="H184" s="2">
        <v>45521</v>
      </c>
      <c r="I184" s="1" t="s">
        <v>114</v>
      </c>
      <c r="J184" s="1" t="s">
        <v>30</v>
      </c>
      <c r="K184" s="1" t="s">
        <v>153</v>
      </c>
      <c r="L184" s="1" t="s">
        <v>32</v>
      </c>
      <c r="M184" s="1" t="s">
        <v>2089</v>
      </c>
      <c r="N184">
        <v>157374.93</v>
      </c>
      <c r="O184">
        <v>62025.41</v>
      </c>
      <c r="P184">
        <v>47035.67</v>
      </c>
      <c r="Q184">
        <v>11</v>
      </c>
      <c r="R184">
        <v>158</v>
      </c>
      <c r="S184">
        <v>4.3</v>
      </c>
      <c r="T184" s="1" t="s">
        <v>46</v>
      </c>
      <c r="U184" s="1" t="s">
        <v>95</v>
      </c>
      <c r="V184" s="1" t="s">
        <v>75</v>
      </c>
      <c r="W184" s="1" t="s">
        <v>83</v>
      </c>
      <c r="X184">
        <v>266436.01</v>
      </c>
      <c r="Y184" s="1" t="s">
        <v>2088</v>
      </c>
      <c r="Z184" s="1" t="s">
        <v>2080</v>
      </c>
      <c r="AO184" t="str">
        <v>P00215</v>
      </c>
    </row>
    <row r="185" spans="1:41" x14ac:dyDescent="0.35">
      <c r="A185" s="1" t="s">
        <v>733</v>
      </c>
      <c r="B185" s="1" t="s">
        <v>358</v>
      </c>
      <c r="C185">
        <v>28</v>
      </c>
      <c r="D185" s="1" t="s">
        <v>25</v>
      </c>
      <c r="E185" s="1" t="s">
        <v>26</v>
      </c>
      <c r="F185" s="1" t="s">
        <v>120</v>
      </c>
      <c r="G185" s="2">
        <v>46198</v>
      </c>
      <c r="H185" s="2">
        <v>46199</v>
      </c>
      <c r="I185" s="1" t="s">
        <v>127</v>
      </c>
      <c r="J185" s="1" t="s">
        <v>115</v>
      </c>
      <c r="K185" s="1" t="s">
        <v>153</v>
      </c>
      <c r="L185" s="1" t="s">
        <v>32</v>
      </c>
      <c r="M185" s="1" t="s">
        <v>57</v>
      </c>
      <c r="N185">
        <v>364194.51</v>
      </c>
      <c r="O185">
        <v>21630.62</v>
      </c>
      <c r="P185">
        <v>32890.550000000003</v>
      </c>
      <c r="Q185">
        <v>1</v>
      </c>
      <c r="R185">
        <v>23</v>
      </c>
      <c r="S185">
        <v>4.3</v>
      </c>
      <c r="T185" s="1" t="s">
        <v>46</v>
      </c>
      <c r="U185" s="1" t="s">
        <v>95</v>
      </c>
      <c r="V185" s="1" t="s">
        <v>102</v>
      </c>
      <c r="W185" s="1" t="s">
        <v>83</v>
      </c>
      <c r="X185">
        <v>418715.68</v>
      </c>
      <c r="Y185" s="1" t="s">
        <v>2082</v>
      </c>
      <c r="Z185" s="1" t="s">
        <v>2083</v>
      </c>
      <c r="AO185" t="str">
        <v>P00216</v>
      </c>
    </row>
    <row r="186" spans="1:41" x14ac:dyDescent="0.35">
      <c r="A186" s="1" t="s">
        <v>735</v>
      </c>
      <c r="B186" s="1" t="s">
        <v>736</v>
      </c>
      <c r="C186">
        <v>19</v>
      </c>
      <c r="D186" s="1" t="s">
        <v>25</v>
      </c>
      <c r="E186" s="1" t="s">
        <v>192</v>
      </c>
      <c r="F186" s="1" t="s">
        <v>120</v>
      </c>
      <c r="G186" s="2">
        <v>46262</v>
      </c>
      <c r="H186" s="2">
        <v>46275</v>
      </c>
      <c r="I186" s="1" t="s">
        <v>273</v>
      </c>
      <c r="J186" s="1" t="s">
        <v>141</v>
      </c>
      <c r="K186" s="1" t="s">
        <v>55</v>
      </c>
      <c r="L186" s="1" t="s">
        <v>32</v>
      </c>
      <c r="M186" s="1" t="s">
        <v>57</v>
      </c>
      <c r="N186">
        <v>223390.72</v>
      </c>
      <c r="O186">
        <v>65305.51</v>
      </c>
      <c r="P186">
        <v>42610.76</v>
      </c>
      <c r="Q186">
        <v>13</v>
      </c>
      <c r="R186">
        <v>128</v>
      </c>
      <c r="S186">
        <v>2.2999999999999998</v>
      </c>
      <c r="T186" s="1" t="s">
        <v>46</v>
      </c>
      <c r="U186" s="1" t="s">
        <v>101</v>
      </c>
      <c r="V186" s="1" t="s">
        <v>102</v>
      </c>
      <c r="W186" s="1" t="s">
        <v>131</v>
      </c>
      <c r="X186">
        <v>331306.99</v>
      </c>
      <c r="Y186" s="1" t="s">
        <v>2082</v>
      </c>
      <c r="Z186" s="1" t="s">
        <v>2080</v>
      </c>
      <c r="AO186" t="str">
        <v>P00217</v>
      </c>
    </row>
    <row r="187" spans="1:41" x14ac:dyDescent="0.35">
      <c r="A187" s="1" t="s">
        <v>743</v>
      </c>
      <c r="B187" s="1" t="s">
        <v>508</v>
      </c>
      <c r="C187">
        <v>71</v>
      </c>
      <c r="D187" s="1" t="s">
        <v>119</v>
      </c>
      <c r="E187" s="1" t="s">
        <v>26</v>
      </c>
      <c r="F187" s="1" t="s">
        <v>87</v>
      </c>
      <c r="G187" s="2">
        <v>46240</v>
      </c>
      <c r="H187" s="2">
        <v>46247</v>
      </c>
      <c r="I187" s="1" t="s">
        <v>273</v>
      </c>
      <c r="J187" s="1" t="s">
        <v>137</v>
      </c>
      <c r="K187" s="1" t="s">
        <v>163</v>
      </c>
      <c r="L187" s="1" t="s">
        <v>32</v>
      </c>
      <c r="M187" s="1" t="s">
        <v>2092</v>
      </c>
      <c r="N187">
        <v>203470.41</v>
      </c>
      <c r="O187">
        <v>0</v>
      </c>
      <c r="P187">
        <v>26765.34</v>
      </c>
      <c r="Q187">
        <v>7</v>
      </c>
      <c r="R187">
        <v>192</v>
      </c>
      <c r="S187">
        <v>3.2</v>
      </c>
      <c r="T187" s="1" t="s">
        <v>34</v>
      </c>
      <c r="U187" s="1" t="s">
        <v>35</v>
      </c>
      <c r="V187" s="1" t="s">
        <v>75</v>
      </c>
      <c r="W187" s="1" t="s">
        <v>83</v>
      </c>
      <c r="X187">
        <v>230235.75</v>
      </c>
      <c r="Y187" s="1" t="s">
        <v>2088</v>
      </c>
      <c r="Z187" s="1" t="s">
        <v>2080</v>
      </c>
      <c r="AO187" t="str">
        <v>P00218</v>
      </c>
    </row>
    <row r="188" spans="1:41" x14ac:dyDescent="0.35">
      <c r="A188" s="1" t="s">
        <v>745</v>
      </c>
      <c r="B188" s="1" t="s">
        <v>279</v>
      </c>
      <c r="C188">
        <v>31</v>
      </c>
      <c r="D188" s="1" t="s">
        <v>119</v>
      </c>
      <c r="E188" s="1" t="s">
        <v>86</v>
      </c>
      <c r="F188" s="1" t="s">
        <v>63</v>
      </c>
      <c r="G188" s="2">
        <v>45902</v>
      </c>
      <c r="H188" s="2">
        <v>45903</v>
      </c>
      <c r="I188" s="1" t="s">
        <v>159</v>
      </c>
      <c r="J188" s="1" t="s">
        <v>87</v>
      </c>
      <c r="K188" s="1" t="s">
        <v>55</v>
      </c>
      <c r="L188" s="1" t="s">
        <v>32</v>
      </c>
      <c r="M188" s="1" t="s">
        <v>2085</v>
      </c>
      <c r="N188">
        <v>337686.8</v>
      </c>
      <c r="O188">
        <v>43668.34</v>
      </c>
      <c r="P188">
        <v>37832.04</v>
      </c>
      <c r="Q188">
        <v>1</v>
      </c>
      <c r="R188">
        <v>67</v>
      </c>
      <c r="S188">
        <v>3.2</v>
      </c>
      <c r="T188" s="1" t="s">
        <v>46</v>
      </c>
      <c r="U188" s="1" t="s">
        <v>35</v>
      </c>
      <c r="V188" s="1" t="s">
        <v>102</v>
      </c>
      <c r="W188" s="1" t="s">
        <v>83</v>
      </c>
      <c r="X188">
        <v>419187.18</v>
      </c>
      <c r="Y188" s="1" t="s">
        <v>2082</v>
      </c>
      <c r="Z188" s="1" t="s">
        <v>2080</v>
      </c>
      <c r="AO188" t="str">
        <v>P00219</v>
      </c>
    </row>
    <row r="189" spans="1:41" x14ac:dyDescent="0.35">
      <c r="A189" s="1" t="s">
        <v>749</v>
      </c>
      <c r="B189" s="1" t="s">
        <v>377</v>
      </c>
      <c r="C189">
        <v>42</v>
      </c>
      <c r="D189" s="1" t="s">
        <v>25</v>
      </c>
      <c r="E189" s="1" t="s">
        <v>86</v>
      </c>
      <c r="F189" s="1" t="s">
        <v>227</v>
      </c>
      <c r="G189" s="2">
        <v>45617</v>
      </c>
      <c r="H189" s="2">
        <v>45621</v>
      </c>
      <c r="I189" s="1" t="s">
        <v>114</v>
      </c>
      <c r="J189" s="1" t="s">
        <v>87</v>
      </c>
      <c r="K189" s="1" t="s">
        <v>81</v>
      </c>
      <c r="L189" s="1" t="s">
        <v>32</v>
      </c>
      <c r="M189" s="1" t="s">
        <v>2086</v>
      </c>
      <c r="N189">
        <v>93481.74</v>
      </c>
      <c r="O189">
        <v>38108.980000000003</v>
      </c>
      <c r="P189">
        <v>9628.81</v>
      </c>
      <c r="Q189">
        <v>4</v>
      </c>
      <c r="R189">
        <v>184</v>
      </c>
      <c r="S189">
        <v>3.1</v>
      </c>
      <c r="T189" s="1" t="s">
        <v>46</v>
      </c>
      <c r="U189" s="1" t="s">
        <v>35</v>
      </c>
      <c r="V189" s="1" t="s">
        <v>102</v>
      </c>
      <c r="W189" s="1" t="s">
        <v>131</v>
      </c>
      <c r="X189">
        <v>141219.53</v>
      </c>
      <c r="Y189" s="1" t="s">
        <v>2079</v>
      </c>
      <c r="Z189" s="1" t="s">
        <v>2080</v>
      </c>
      <c r="AO189" t="str">
        <v>P00220</v>
      </c>
    </row>
    <row r="190" spans="1:41" x14ac:dyDescent="0.35">
      <c r="A190" s="1" t="s">
        <v>752</v>
      </c>
      <c r="B190" s="1" t="s">
        <v>753</v>
      </c>
      <c r="C190">
        <v>85</v>
      </c>
      <c r="D190" s="1" t="s">
        <v>25</v>
      </c>
      <c r="E190" s="1" t="s">
        <v>263</v>
      </c>
      <c r="F190" s="1" t="s">
        <v>227</v>
      </c>
      <c r="G190" s="2">
        <v>45843</v>
      </c>
      <c r="H190" s="2">
        <v>45846</v>
      </c>
      <c r="I190" s="1" t="s">
        <v>221</v>
      </c>
      <c r="J190" s="1" t="s">
        <v>87</v>
      </c>
      <c r="K190" s="1" t="s">
        <v>55</v>
      </c>
      <c r="L190" s="1" t="s">
        <v>44</v>
      </c>
      <c r="M190" s="1" t="s">
        <v>2089</v>
      </c>
      <c r="N190">
        <v>79953.61</v>
      </c>
      <c r="O190">
        <v>13056.38</v>
      </c>
      <c r="P190">
        <v>60417.24</v>
      </c>
      <c r="Q190">
        <v>3</v>
      </c>
      <c r="R190">
        <v>108</v>
      </c>
      <c r="S190">
        <v>4.2</v>
      </c>
      <c r="T190" s="1" t="s">
        <v>34</v>
      </c>
      <c r="U190" s="1" t="s">
        <v>95</v>
      </c>
      <c r="V190" s="1" t="s">
        <v>102</v>
      </c>
      <c r="W190" s="1" t="s">
        <v>59</v>
      </c>
      <c r="X190">
        <v>153427.23000000001</v>
      </c>
      <c r="Y190" s="1" t="s">
        <v>2088</v>
      </c>
      <c r="Z190" s="1" t="s">
        <v>2080</v>
      </c>
      <c r="AO190" t="str">
        <v>P00222</v>
      </c>
    </row>
    <row r="191" spans="1:41" x14ac:dyDescent="0.35">
      <c r="A191" s="1" t="s">
        <v>755</v>
      </c>
      <c r="B191" s="1" t="s">
        <v>303</v>
      </c>
      <c r="C191">
        <v>56</v>
      </c>
      <c r="D191" s="1" t="s">
        <v>119</v>
      </c>
      <c r="E191" s="1" t="s">
        <v>40</v>
      </c>
      <c r="F191" s="1" t="s">
        <v>120</v>
      </c>
      <c r="G191" s="2">
        <v>45666</v>
      </c>
      <c r="H191" s="2">
        <v>45670</v>
      </c>
      <c r="I191" s="1" t="s">
        <v>114</v>
      </c>
      <c r="J191" s="1" t="s">
        <v>147</v>
      </c>
      <c r="K191" s="1" t="s">
        <v>91</v>
      </c>
      <c r="L191" s="1" t="s">
        <v>32</v>
      </c>
      <c r="M191" s="1" t="s">
        <v>2089</v>
      </c>
      <c r="N191">
        <v>375357.98</v>
      </c>
      <c r="O191">
        <v>40245.47</v>
      </c>
      <c r="P191">
        <v>37762.269999999997</v>
      </c>
      <c r="Q191">
        <v>4</v>
      </c>
      <c r="R191">
        <v>145</v>
      </c>
      <c r="S191">
        <v>5</v>
      </c>
      <c r="T191" s="1" t="s">
        <v>34</v>
      </c>
      <c r="U191" s="1" t="s">
        <v>95</v>
      </c>
      <c r="V191" s="1" t="s">
        <v>102</v>
      </c>
      <c r="W191" s="1" t="s">
        <v>59</v>
      </c>
      <c r="X191">
        <v>453365.72</v>
      </c>
      <c r="Y191" s="1" t="s">
        <v>2079</v>
      </c>
      <c r="Z191" s="1" t="s">
        <v>2080</v>
      </c>
      <c r="AO191" t="str">
        <v>P00225</v>
      </c>
    </row>
    <row r="192" spans="1:41" x14ac:dyDescent="0.35">
      <c r="A192" s="1" t="s">
        <v>756</v>
      </c>
      <c r="B192" s="1" t="s">
        <v>266</v>
      </c>
      <c r="C192">
        <v>21</v>
      </c>
      <c r="D192" s="1" t="s">
        <v>119</v>
      </c>
      <c r="E192" s="1" t="s">
        <v>192</v>
      </c>
      <c r="F192" s="1" t="s">
        <v>135</v>
      </c>
      <c r="G192" s="2">
        <v>45435</v>
      </c>
      <c r="H192" s="2">
        <v>45437</v>
      </c>
      <c r="I192" s="1" t="s">
        <v>277</v>
      </c>
      <c r="J192" s="1" t="s">
        <v>87</v>
      </c>
      <c r="K192" s="1" t="s">
        <v>55</v>
      </c>
      <c r="L192" s="1" t="s">
        <v>44</v>
      </c>
      <c r="M192" s="1" t="s">
        <v>2085</v>
      </c>
      <c r="N192">
        <v>374991.29</v>
      </c>
      <c r="O192">
        <v>26990.47</v>
      </c>
      <c r="P192">
        <v>0</v>
      </c>
      <c r="Q192">
        <v>2</v>
      </c>
      <c r="R192">
        <v>158</v>
      </c>
      <c r="S192">
        <v>3</v>
      </c>
      <c r="T192" s="1" t="s">
        <v>34</v>
      </c>
      <c r="U192" s="1" t="s">
        <v>101</v>
      </c>
      <c r="V192" s="1" t="s">
        <v>102</v>
      </c>
      <c r="W192" s="1" t="s">
        <v>59</v>
      </c>
      <c r="X192">
        <v>401981.76</v>
      </c>
      <c r="Y192" s="1" t="s">
        <v>2082</v>
      </c>
      <c r="Z192" s="1" t="s">
        <v>2080</v>
      </c>
      <c r="AO192" t="str">
        <v>P00226</v>
      </c>
    </row>
    <row r="193" spans="1:41" x14ac:dyDescent="0.35">
      <c r="A193" s="1" t="s">
        <v>760</v>
      </c>
      <c r="B193" s="1" t="s">
        <v>761</v>
      </c>
      <c r="C193">
        <v>56</v>
      </c>
      <c r="D193" s="1" t="s">
        <v>119</v>
      </c>
      <c r="E193" s="1" t="s">
        <v>26</v>
      </c>
      <c r="F193" s="1" t="s">
        <v>108</v>
      </c>
      <c r="G193" s="2">
        <v>45821</v>
      </c>
      <c r="H193" s="2">
        <v>45826</v>
      </c>
      <c r="I193" s="1" t="s">
        <v>53</v>
      </c>
      <c r="J193" s="1" t="s">
        <v>115</v>
      </c>
      <c r="K193" s="1" t="s">
        <v>122</v>
      </c>
      <c r="L193" s="1" t="s">
        <v>44</v>
      </c>
      <c r="M193" s="1" t="s">
        <v>2085</v>
      </c>
      <c r="N193">
        <v>89038.58</v>
      </c>
      <c r="O193">
        <v>57149.55</v>
      </c>
      <c r="P193">
        <v>28921.1</v>
      </c>
      <c r="Q193">
        <v>5</v>
      </c>
      <c r="R193">
        <v>155</v>
      </c>
      <c r="S193">
        <v>4.2</v>
      </c>
      <c r="T193" s="1" t="s">
        <v>46</v>
      </c>
      <c r="U193" s="1" t="s">
        <v>95</v>
      </c>
      <c r="V193" s="1" t="s">
        <v>130</v>
      </c>
      <c r="W193" s="1" t="s">
        <v>59</v>
      </c>
      <c r="X193">
        <v>175109.23</v>
      </c>
      <c r="Y193" s="1" t="s">
        <v>2079</v>
      </c>
      <c r="Z193" s="1" t="s">
        <v>2080</v>
      </c>
      <c r="AO193" t="str">
        <v>P00227</v>
      </c>
    </row>
    <row r="194" spans="1:41" x14ac:dyDescent="0.35">
      <c r="A194" s="1" t="s">
        <v>767</v>
      </c>
      <c r="B194" s="1" t="s">
        <v>768</v>
      </c>
      <c r="C194">
        <v>22</v>
      </c>
      <c r="D194" s="1" t="s">
        <v>25</v>
      </c>
      <c r="E194" s="1" t="s">
        <v>112</v>
      </c>
      <c r="F194" s="1" t="s">
        <v>41</v>
      </c>
      <c r="G194" s="2">
        <v>46261</v>
      </c>
      <c r="H194" s="2">
        <v>46268</v>
      </c>
      <c r="I194" s="1" t="s">
        <v>257</v>
      </c>
      <c r="J194" s="1" t="s">
        <v>141</v>
      </c>
      <c r="K194" s="1" t="s">
        <v>91</v>
      </c>
      <c r="L194" s="1" t="s">
        <v>32</v>
      </c>
      <c r="M194" s="1" t="s">
        <v>2092</v>
      </c>
      <c r="N194">
        <v>253371.66</v>
      </c>
      <c r="O194">
        <v>54379.94</v>
      </c>
      <c r="P194">
        <v>60032.83</v>
      </c>
      <c r="Q194">
        <v>7</v>
      </c>
      <c r="R194">
        <v>109</v>
      </c>
      <c r="S194">
        <v>5</v>
      </c>
      <c r="T194" s="1" t="s">
        <v>46</v>
      </c>
      <c r="U194" s="1" t="s">
        <v>95</v>
      </c>
      <c r="V194" s="1" t="s">
        <v>102</v>
      </c>
      <c r="W194" s="1" t="s">
        <v>83</v>
      </c>
      <c r="X194">
        <v>367784.43</v>
      </c>
      <c r="Y194" s="1" t="s">
        <v>2082</v>
      </c>
      <c r="Z194" s="1" t="s">
        <v>2080</v>
      </c>
      <c r="AO194" t="str">
        <v>P00228</v>
      </c>
    </row>
    <row r="195" spans="1:41" x14ac:dyDescent="0.35">
      <c r="A195" s="1" t="s">
        <v>769</v>
      </c>
      <c r="B195" s="1" t="s">
        <v>770</v>
      </c>
      <c r="C195">
        <v>57</v>
      </c>
      <c r="D195" s="1" t="s">
        <v>25</v>
      </c>
      <c r="E195" s="1" t="s">
        <v>26</v>
      </c>
      <c r="F195" s="1" t="s">
        <v>87</v>
      </c>
      <c r="G195" s="2">
        <v>45362</v>
      </c>
      <c r="H195" s="2">
        <v>45363</v>
      </c>
      <c r="I195" s="1" t="s">
        <v>277</v>
      </c>
      <c r="J195" s="1" t="s">
        <v>87</v>
      </c>
      <c r="K195" s="1" t="s">
        <v>148</v>
      </c>
      <c r="L195" s="1" t="s">
        <v>32</v>
      </c>
      <c r="M195" s="1" t="s">
        <v>2089</v>
      </c>
      <c r="N195">
        <v>128429.4</v>
      </c>
      <c r="O195">
        <v>0</v>
      </c>
      <c r="P195">
        <v>60336.08</v>
      </c>
      <c r="Q195">
        <v>1</v>
      </c>
      <c r="R195">
        <v>198</v>
      </c>
      <c r="S195">
        <v>3.5</v>
      </c>
      <c r="T195" s="1" t="s">
        <v>46</v>
      </c>
      <c r="U195" s="1" t="s">
        <v>95</v>
      </c>
      <c r="V195" s="1" t="s">
        <v>102</v>
      </c>
      <c r="W195" s="1" t="s">
        <v>131</v>
      </c>
      <c r="X195">
        <v>188765.47999999998</v>
      </c>
      <c r="Y195" s="1" t="s">
        <v>2079</v>
      </c>
      <c r="Z195" s="1" t="s">
        <v>2080</v>
      </c>
      <c r="AO195" t="str">
        <v>P00229</v>
      </c>
    </row>
    <row r="196" spans="1:41" x14ac:dyDescent="0.35">
      <c r="A196" s="1" t="s">
        <v>774</v>
      </c>
      <c r="B196" s="1" t="s">
        <v>569</v>
      </c>
      <c r="C196">
        <v>24</v>
      </c>
      <c r="D196" s="1" t="s">
        <v>25</v>
      </c>
      <c r="E196" s="1" t="s">
        <v>26</v>
      </c>
      <c r="F196" s="1" t="s">
        <v>135</v>
      </c>
      <c r="G196" s="2">
        <v>45895</v>
      </c>
      <c r="H196" s="2">
        <v>45897</v>
      </c>
      <c r="I196" s="1" t="s">
        <v>29</v>
      </c>
      <c r="J196" s="1" t="s">
        <v>137</v>
      </c>
      <c r="K196" s="1" t="s">
        <v>128</v>
      </c>
      <c r="L196" s="1" t="s">
        <v>32</v>
      </c>
      <c r="M196" s="1" t="s">
        <v>57</v>
      </c>
      <c r="N196">
        <v>523931.98</v>
      </c>
      <c r="O196">
        <v>25602.85</v>
      </c>
      <c r="P196">
        <v>48696.14</v>
      </c>
      <c r="Q196">
        <v>2</v>
      </c>
      <c r="R196">
        <v>136</v>
      </c>
      <c r="S196">
        <v>3.8</v>
      </c>
      <c r="T196" s="1" t="s">
        <v>34</v>
      </c>
      <c r="U196" s="1" t="s">
        <v>95</v>
      </c>
      <c r="V196" s="1" t="s">
        <v>75</v>
      </c>
      <c r="W196" s="1" t="s">
        <v>59</v>
      </c>
      <c r="X196">
        <v>598230.97</v>
      </c>
      <c r="Y196" s="1" t="s">
        <v>2082</v>
      </c>
      <c r="Z196" s="1" t="s">
        <v>2080</v>
      </c>
      <c r="AO196" t="str">
        <v>P00231</v>
      </c>
    </row>
    <row r="197" spans="1:41" x14ac:dyDescent="0.35">
      <c r="A197" s="1" t="s">
        <v>775</v>
      </c>
      <c r="B197" s="1" t="s">
        <v>776</v>
      </c>
      <c r="C197">
        <v>29</v>
      </c>
      <c r="D197" s="1" t="s">
        <v>25</v>
      </c>
      <c r="E197" s="1" t="s">
        <v>26</v>
      </c>
      <c r="F197" s="1" t="s">
        <v>227</v>
      </c>
      <c r="G197" s="2">
        <v>46115</v>
      </c>
      <c r="H197" s="2">
        <v>46125</v>
      </c>
      <c r="I197" s="1" t="s">
        <v>127</v>
      </c>
      <c r="J197" s="1" t="s">
        <v>147</v>
      </c>
      <c r="K197" s="1" t="s">
        <v>128</v>
      </c>
      <c r="L197" s="1" t="s">
        <v>32</v>
      </c>
      <c r="M197" s="1" t="s">
        <v>2086</v>
      </c>
      <c r="N197">
        <v>247245.04</v>
      </c>
      <c r="O197">
        <v>11438.24</v>
      </c>
      <c r="P197">
        <v>5399.32</v>
      </c>
      <c r="Q197">
        <v>10</v>
      </c>
      <c r="R197">
        <v>49</v>
      </c>
      <c r="S197">
        <v>3.7</v>
      </c>
      <c r="T197" s="1" t="s">
        <v>34</v>
      </c>
      <c r="U197" s="1" t="s">
        <v>95</v>
      </c>
      <c r="V197" s="1" t="s">
        <v>75</v>
      </c>
      <c r="W197" s="1" t="s">
        <v>83</v>
      </c>
      <c r="X197">
        <v>264082.59999999998</v>
      </c>
      <c r="Y197" s="1" t="s">
        <v>2082</v>
      </c>
      <c r="Z197" s="1" t="s">
        <v>2091</v>
      </c>
      <c r="AO197" t="str">
        <v>P00232</v>
      </c>
    </row>
    <row r="198" spans="1:41" x14ac:dyDescent="0.35">
      <c r="A198" s="1" t="s">
        <v>778</v>
      </c>
      <c r="B198" s="1" t="s">
        <v>318</v>
      </c>
      <c r="C198">
        <v>27</v>
      </c>
      <c r="D198" s="1" t="s">
        <v>25</v>
      </c>
      <c r="E198" s="1" t="s">
        <v>26</v>
      </c>
      <c r="F198" s="1" t="s">
        <v>63</v>
      </c>
      <c r="G198" s="2">
        <v>45475</v>
      </c>
      <c r="H198" s="2">
        <v>45477</v>
      </c>
      <c r="I198" s="1" t="s">
        <v>114</v>
      </c>
      <c r="J198" s="1" t="s">
        <v>90</v>
      </c>
      <c r="K198" s="1" t="s">
        <v>122</v>
      </c>
      <c r="L198" s="1" t="s">
        <v>32</v>
      </c>
      <c r="M198" s="1" t="s">
        <v>2078</v>
      </c>
      <c r="N198">
        <v>23115.56</v>
      </c>
      <c r="O198">
        <v>27922.36</v>
      </c>
      <c r="P198">
        <v>0</v>
      </c>
      <c r="Q198">
        <v>2</v>
      </c>
      <c r="R198">
        <v>152</v>
      </c>
      <c r="S198">
        <v>3.8</v>
      </c>
      <c r="T198" s="1" t="s">
        <v>46</v>
      </c>
      <c r="U198" s="1" t="s">
        <v>149</v>
      </c>
      <c r="V198" s="1" t="s">
        <v>75</v>
      </c>
      <c r="W198" s="1" t="s">
        <v>59</v>
      </c>
      <c r="X198">
        <v>51037.919999999998</v>
      </c>
      <c r="Y198" s="1" t="s">
        <v>2082</v>
      </c>
      <c r="Z198" s="1" t="s">
        <v>2080</v>
      </c>
      <c r="AO198" t="str">
        <v>P00233</v>
      </c>
    </row>
    <row r="199" spans="1:41" x14ac:dyDescent="0.35">
      <c r="A199" s="1" t="s">
        <v>780</v>
      </c>
      <c r="B199" s="1" t="s">
        <v>781</v>
      </c>
      <c r="C199">
        <v>36</v>
      </c>
      <c r="D199" s="1" t="s">
        <v>119</v>
      </c>
      <c r="E199" s="1" t="s">
        <v>192</v>
      </c>
      <c r="F199" s="1" t="s">
        <v>87</v>
      </c>
      <c r="G199" s="2">
        <v>46005</v>
      </c>
      <c r="H199" s="2">
        <v>46006</v>
      </c>
      <c r="I199" s="1" t="s">
        <v>273</v>
      </c>
      <c r="J199" s="1" t="s">
        <v>2081</v>
      </c>
      <c r="K199" s="1" t="s">
        <v>55</v>
      </c>
      <c r="L199" s="1" t="s">
        <v>32</v>
      </c>
      <c r="M199" s="1" t="s">
        <v>2078</v>
      </c>
      <c r="N199">
        <v>114698.1</v>
      </c>
      <c r="O199">
        <v>37979.360000000001</v>
      </c>
      <c r="P199">
        <v>85213.51</v>
      </c>
      <c r="Q199">
        <v>1</v>
      </c>
      <c r="R199">
        <v>0</v>
      </c>
      <c r="S199">
        <v>3.8</v>
      </c>
      <c r="T199" s="1" t="s">
        <v>34</v>
      </c>
      <c r="U199" s="1" t="s">
        <v>149</v>
      </c>
      <c r="V199" s="1" t="s">
        <v>75</v>
      </c>
      <c r="W199" s="1" t="s">
        <v>131</v>
      </c>
      <c r="X199">
        <v>237890.97000000003</v>
      </c>
      <c r="Y199" s="1" t="s">
        <v>2079</v>
      </c>
      <c r="Z199" s="1" t="s">
        <v>2083</v>
      </c>
      <c r="AO199" t="str">
        <v>P00234</v>
      </c>
    </row>
    <row r="200" spans="1:41" x14ac:dyDescent="0.35">
      <c r="A200" s="1" t="s">
        <v>783</v>
      </c>
      <c r="B200" s="1" t="s">
        <v>435</v>
      </c>
      <c r="C200">
        <v>57</v>
      </c>
      <c r="D200" s="1" t="s">
        <v>119</v>
      </c>
      <c r="E200" s="1" t="s">
        <v>51</v>
      </c>
      <c r="F200" s="1" t="s">
        <v>120</v>
      </c>
      <c r="G200" s="2">
        <v>45920</v>
      </c>
      <c r="H200" s="2">
        <v>45922</v>
      </c>
      <c r="I200" s="1" t="s">
        <v>100</v>
      </c>
      <c r="J200" s="1" t="s">
        <v>141</v>
      </c>
      <c r="K200" s="1" t="s">
        <v>91</v>
      </c>
      <c r="L200" s="1" t="s">
        <v>44</v>
      </c>
      <c r="M200" s="1" t="s">
        <v>2089</v>
      </c>
      <c r="N200">
        <v>249847.53</v>
      </c>
      <c r="O200">
        <v>11200.77</v>
      </c>
      <c r="P200">
        <v>35428.379999999997</v>
      </c>
      <c r="Q200">
        <v>2</v>
      </c>
      <c r="R200">
        <v>35</v>
      </c>
      <c r="S200">
        <v>5</v>
      </c>
      <c r="T200" s="1" t="s">
        <v>34</v>
      </c>
      <c r="U200" s="1" t="s">
        <v>95</v>
      </c>
      <c r="V200" s="1" t="s">
        <v>130</v>
      </c>
      <c r="W200" s="1" t="s">
        <v>36</v>
      </c>
      <c r="X200">
        <v>296476.68</v>
      </c>
      <c r="Y200" s="1" t="s">
        <v>2079</v>
      </c>
      <c r="Z200" s="1" t="s">
        <v>2091</v>
      </c>
      <c r="AO200" t="str">
        <v>P00235</v>
      </c>
    </row>
    <row r="201" spans="1:41" x14ac:dyDescent="0.35">
      <c r="A201" s="1" t="s">
        <v>784</v>
      </c>
      <c r="B201" s="1" t="s">
        <v>133</v>
      </c>
      <c r="C201">
        <v>84</v>
      </c>
      <c r="D201" s="1" t="s">
        <v>119</v>
      </c>
      <c r="E201" s="1" t="s">
        <v>192</v>
      </c>
      <c r="F201" s="1" t="s">
        <v>120</v>
      </c>
      <c r="G201" s="2">
        <v>45962</v>
      </c>
      <c r="H201" s="2">
        <v>45965</v>
      </c>
      <c r="I201" s="1" t="s">
        <v>29</v>
      </c>
      <c r="J201" s="1" t="s">
        <v>2081</v>
      </c>
      <c r="K201" s="1" t="s">
        <v>128</v>
      </c>
      <c r="L201" s="1" t="s">
        <v>66</v>
      </c>
      <c r="M201" s="1" t="s">
        <v>2089</v>
      </c>
      <c r="N201">
        <v>211507.49</v>
      </c>
      <c r="O201">
        <v>12289.83</v>
      </c>
      <c r="P201">
        <v>0</v>
      </c>
      <c r="Q201">
        <v>3</v>
      </c>
      <c r="R201">
        <v>0</v>
      </c>
      <c r="S201">
        <v>1.6</v>
      </c>
      <c r="T201" s="1" t="s">
        <v>34</v>
      </c>
      <c r="U201" s="1" t="s">
        <v>95</v>
      </c>
      <c r="V201" s="1" t="s">
        <v>130</v>
      </c>
      <c r="W201" s="1" t="s">
        <v>36</v>
      </c>
      <c r="X201">
        <v>223797.31999999998</v>
      </c>
      <c r="Y201" s="1" t="s">
        <v>2088</v>
      </c>
      <c r="Z201" s="1" t="s">
        <v>2083</v>
      </c>
      <c r="AO201" t="str">
        <v>P00238</v>
      </c>
    </row>
    <row r="202" spans="1:41" x14ac:dyDescent="0.35">
      <c r="A202" s="1" t="s">
        <v>786</v>
      </c>
      <c r="B202" s="1" t="s">
        <v>787</v>
      </c>
      <c r="C202">
        <v>54</v>
      </c>
      <c r="D202" s="1" t="s">
        <v>25</v>
      </c>
      <c r="E202" s="1" t="s">
        <v>263</v>
      </c>
      <c r="F202" s="1" t="s">
        <v>108</v>
      </c>
      <c r="G202" s="2">
        <v>45648</v>
      </c>
      <c r="H202" s="2">
        <v>45651</v>
      </c>
      <c r="I202" s="1" t="s">
        <v>159</v>
      </c>
      <c r="J202" s="1" t="s">
        <v>137</v>
      </c>
      <c r="K202" s="1" t="s">
        <v>128</v>
      </c>
      <c r="L202" s="1" t="s">
        <v>32</v>
      </c>
      <c r="M202" s="1" t="s">
        <v>2089</v>
      </c>
      <c r="N202">
        <v>0</v>
      </c>
      <c r="O202">
        <v>52375.96</v>
      </c>
      <c r="P202">
        <v>30508.17</v>
      </c>
      <c r="Q202">
        <v>3</v>
      </c>
      <c r="R202">
        <v>106</v>
      </c>
      <c r="S202">
        <v>5</v>
      </c>
      <c r="T202" s="1" t="s">
        <v>34</v>
      </c>
      <c r="U202" s="1" t="s">
        <v>149</v>
      </c>
      <c r="V202" s="1" t="s">
        <v>130</v>
      </c>
      <c r="W202" s="1" t="s">
        <v>36</v>
      </c>
      <c r="X202">
        <v>82884.13</v>
      </c>
      <c r="Y202" s="1" t="s">
        <v>2079</v>
      </c>
      <c r="Z202" s="1" t="s">
        <v>2080</v>
      </c>
      <c r="AO202" t="str">
        <v>P00239</v>
      </c>
    </row>
    <row r="203" spans="1:41" x14ac:dyDescent="0.35">
      <c r="A203" s="1" t="s">
        <v>789</v>
      </c>
      <c r="B203" s="1" t="s">
        <v>790</v>
      </c>
      <c r="C203">
        <v>37</v>
      </c>
      <c r="D203" s="1" t="s">
        <v>119</v>
      </c>
      <c r="E203" s="1" t="s">
        <v>86</v>
      </c>
      <c r="F203" s="1" t="s">
        <v>87</v>
      </c>
      <c r="G203" s="2">
        <v>45555</v>
      </c>
      <c r="H203" s="2">
        <v>45560</v>
      </c>
      <c r="I203" s="1" t="s">
        <v>159</v>
      </c>
      <c r="J203" s="1" t="s">
        <v>2081</v>
      </c>
      <c r="K203" s="1" t="s">
        <v>31</v>
      </c>
      <c r="L203" s="1" t="s">
        <v>32</v>
      </c>
      <c r="M203" s="1" t="s">
        <v>2085</v>
      </c>
      <c r="N203">
        <v>95233.09</v>
      </c>
      <c r="O203">
        <v>0</v>
      </c>
      <c r="P203">
        <v>23425.4</v>
      </c>
      <c r="Q203">
        <v>5</v>
      </c>
      <c r="R203">
        <v>79</v>
      </c>
      <c r="S203">
        <v>2.4</v>
      </c>
      <c r="T203" s="1" t="s">
        <v>46</v>
      </c>
      <c r="U203" s="1" t="s">
        <v>149</v>
      </c>
      <c r="V203" s="1" t="s">
        <v>130</v>
      </c>
      <c r="W203" s="1" t="s">
        <v>36</v>
      </c>
      <c r="X203">
        <v>118658.48999999999</v>
      </c>
      <c r="Y203" s="1" t="s">
        <v>2079</v>
      </c>
      <c r="Z203" s="1" t="s">
        <v>2080</v>
      </c>
      <c r="AO203" t="str">
        <v>P00241</v>
      </c>
    </row>
    <row r="204" spans="1:41" x14ac:dyDescent="0.35">
      <c r="A204" s="1" t="s">
        <v>792</v>
      </c>
      <c r="B204" s="1" t="s">
        <v>85</v>
      </c>
      <c r="C204">
        <v>44</v>
      </c>
      <c r="D204" s="1" t="s">
        <v>25</v>
      </c>
      <c r="E204" s="1" t="s">
        <v>26</v>
      </c>
      <c r="F204" s="1" t="s">
        <v>227</v>
      </c>
      <c r="G204" s="2">
        <v>45527</v>
      </c>
      <c r="H204" s="2">
        <v>45529</v>
      </c>
      <c r="I204" s="1" t="s">
        <v>159</v>
      </c>
      <c r="J204" s="1" t="s">
        <v>54</v>
      </c>
      <c r="K204" s="1" t="s">
        <v>148</v>
      </c>
      <c r="L204" s="1" t="s">
        <v>32</v>
      </c>
      <c r="M204" s="1" t="s">
        <v>2087</v>
      </c>
      <c r="N204">
        <v>188520.16</v>
      </c>
      <c r="O204">
        <v>13749.94</v>
      </c>
      <c r="P204">
        <v>50059.64</v>
      </c>
      <c r="Q204">
        <v>2</v>
      </c>
      <c r="R204">
        <v>128</v>
      </c>
      <c r="S204">
        <v>2.2999999999999998</v>
      </c>
      <c r="T204" s="1" t="s">
        <v>46</v>
      </c>
      <c r="U204" s="1" t="s">
        <v>95</v>
      </c>
      <c r="V204" s="1" t="s">
        <v>75</v>
      </c>
      <c r="W204" s="1" t="s">
        <v>131</v>
      </c>
      <c r="X204">
        <v>252329.74</v>
      </c>
      <c r="Y204" s="1" t="s">
        <v>2079</v>
      </c>
      <c r="Z204" s="1" t="s">
        <v>2080</v>
      </c>
      <c r="AO204" t="str">
        <v>P00243</v>
      </c>
    </row>
    <row r="205" spans="1:41" x14ac:dyDescent="0.35">
      <c r="A205" s="1" t="s">
        <v>794</v>
      </c>
      <c r="B205" s="1" t="s">
        <v>795</v>
      </c>
      <c r="C205">
        <v>40</v>
      </c>
      <c r="D205" s="1" t="s">
        <v>119</v>
      </c>
      <c r="E205" s="1" t="s">
        <v>192</v>
      </c>
      <c r="F205" s="1" t="s">
        <v>227</v>
      </c>
      <c r="G205" s="2">
        <v>45879</v>
      </c>
      <c r="H205" s="2">
        <v>45887</v>
      </c>
      <c r="I205" s="1" t="s">
        <v>159</v>
      </c>
      <c r="J205" s="1" t="s">
        <v>137</v>
      </c>
      <c r="K205" s="1" t="s">
        <v>55</v>
      </c>
      <c r="L205" s="1" t="s">
        <v>32</v>
      </c>
      <c r="M205" s="1" t="s">
        <v>2092</v>
      </c>
      <c r="N205">
        <v>222638.95</v>
      </c>
      <c r="O205">
        <v>47705.36</v>
      </c>
      <c r="P205">
        <v>51996.480000000003</v>
      </c>
      <c r="Q205">
        <v>8</v>
      </c>
      <c r="R205">
        <v>166</v>
      </c>
      <c r="S205">
        <v>4.0999999999999996</v>
      </c>
      <c r="T205" s="1" t="s">
        <v>46</v>
      </c>
      <c r="U205" s="1" t="s">
        <v>101</v>
      </c>
      <c r="V205" s="1" t="s">
        <v>75</v>
      </c>
      <c r="W205" s="1" t="s">
        <v>59</v>
      </c>
      <c r="X205">
        <v>322340.78999999998</v>
      </c>
      <c r="Y205" s="1" t="s">
        <v>2079</v>
      </c>
      <c r="Z205" s="1" t="s">
        <v>2080</v>
      </c>
      <c r="AO205" t="str">
        <v>P00244</v>
      </c>
    </row>
    <row r="206" spans="1:41" x14ac:dyDescent="0.35">
      <c r="A206" s="1" t="s">
        <v>796</v>
      </c>
      <c r="B206" s="1" t="s">
        <v>797</v>
      </c>
      <c r="C206">
        <v>50</v>
      </c>
      <c r="D206" s="1" t="s">
        <v>25</v>
      </c>
      <c r="E206" s="1" t="s">
        <v>192</v>
      </c>
      <c r="F206" s="1" t="s">
        <v>193</v>
      </c>
      <c r="G206" s="2">
        <v>46234</v>
      </c>
      <c r="H206" s="2">
        <v>46236</v>
      </c>
      <c r="I206" s="1" t="s">
        <v>273</v>
      </c>
      <c r="J206" s="1" t="s">
        <v>2081</v>
      </c>
      <c r="K206" s="1" t="s">
        <v>128</v>
      </c>
      <c r="L206" s="1" t="s">
        <v>32</v>
      </c>
      <c r="M206" s="1" t="s">
        <v>2089</v>
      </c>
      <c r="N206">
        <v>59878.33</v>
      </c>
      <c r="O206">
        <v>32713.99</v>
      </c>
      <c r="P206">
        <v>44003.1</v>
      </c>
      <c r="Q206">
        <v>2</v>
      </c>
      <c r="R206">
        <v>79</v>
      </c>
      <c r="S206">
        <v>3.5</v>
      </c>
      <c r="T206" s="1" t="s">
        <v>46</v>
      </c>
      <c r="U206" s="1" t="s">
        <v>101</v>
      </c>
      <c r="V206" s="1" t="s">
        <v>102</v>
      </c>
      <c r="W206" s="1" t="s">
        <v>83</v>
      </c>
      <c r="X206">
        <v>136595.42000000001</v>
      </c>
      <c r="Y206" s="1" t="s">
        <v>2079</v>
      </c>
      <c r="Z206" s="1" t="s">
        <v>2080</v>
      </c>
      <c r="AO206" t="str">
        <v>P00245</v>
      </c>
    </row>
    <row r="207" spans="1:41" x14ac:dyDescent="0.35">
      <c r="A207" s="1" t="s">
        <v>801</v>
      </c>
      <c r="B207" s="1" t="s">
        <v>574</v>
      </c>
      <c r="C207">
        <v>52</v>
      </c>
      <c r="D207" s="1" t="s">
        <v>25</v>
      </c>
      <c r="E207" s="1" t="s">
        <v>2084</v>
      </c>
      <c r="F207" s="1" t="s">
        <v>227</v>
      </c>
      <c r="G207" s="2">
        <v>45680</v>
      </c>
      <c r="H207" s="2">
        <v>45686</v>
      </c>
      <c r="I207" s="1" t="s">
        <v>29</v>
      </c>
      <c r="J207" s="1" t="s">
        <v>147</v>
      </c>
      <c r="K207" s="1" t="s">
        <v>174</v>
      </c>
      <c r="L207" s="1" t="s">
        <v>66</v>
      </c>
      <c r="M207" s="1" t="s">
        <v>2092</v>
      </c>
      <c r="N207">
        <v>129528.18</v>
      </c>
      <c r="O207">
        <v>74382.77</v>
      </c>
      <c r="P207">
        <v>9190.9</v>
      </c>
      <c r="Q207">
        <v>6</v>
      </c>
      <c r="R207">
        <v>163</v>
      </c>
      <c r="S207">
        <v>5</v>
      </c>
      <c r="T207" s="1" t="s">
        <v>46</v>
      </c>
      <c r="U207" s="1" t="s">
        <v>35</v>
      </c>
      <c r="V207" s="1" t="s">
        <v>102</v>
      </c>
      <c r="W207" s="1" t="s">
        <v>83</v>
      </c>
      <c r="X207">
        <v>213101.85</v>
      </c>
      <c r="Y207" s="1" t="s">
        <v>2079</v>
      </c>
      <c r="Z207" s="1" t="s">
        <v>2080</v>
      </c>
      <c r="AO207" t="str">
        <v>P00247</v>
      </c>
    </row>
    <row r="208" spans="1:41" x14ac:dyDescent="0.35">
      <c r="A208" s="1" t="s">
        <v>803</v>
      </c>
      <c r="B208" s="1" t="s">
        <v>558</v>
      </c>
      <c r="C208">
        <v>73</v>
      </c>
      <c r="D208" s="1" t="s">
        <v>25</v>
      </c>
      <c r="E208" s="1" t="s">
        <v>192</v>
      </c>
      <c r="F208" s="1" t="s">
        <v>193</v>
      </c>
      <c r="G208" s="2">
        <v>45578</v>
      </c>
      <c r="H208" s="2">
        <v>45579</v>
      </c>
      <c r="I208" s="1" t="s">
        <v>277</v>
      </c>
      <c r="J208" s="1" t="s">
        <v>90</v>
      </c>
      <c r="K208" s="1" t="s">
        <v>148</v>
      </c>
      <c r="L208" s="1" t="s">
        <v>32</v>
      </c>
      <c r="M208" s="1" t="s">
        <v>57</v>
      </c>
      <c r="N208">
        <v>184993.49</v>
      </c>
      <c r="O208">
        <v>37217.339999999997</v>
      </c>
      <c r="P208">
        <v>52809.66</v>
      </c>
      <c r="Q208">
        <v>1</v>
      </c>
      <c r="R208">
        <v>84</v>
      </c>
      <c r="S208">
        <v>4.8</v>
      </c>
      <c r="T208" s="1" t="s">
        <v>46</v>
      </c>
      <c r="U208" s="1" t="s">
        <v>95</v>
      </c>
      <c r="V208" s="1" t="s">
        <v>130</v>
      </c>
      <c r="W208" s="1" t="s">
        <v>83</v>
      </c>
      <c r="X208">
        <v>275020.49</v>
      </c>
      <c r="Y208" s="1" t="s">
        <v>2088</v>
      </c>
      <c r="Z208" s="1" t="s">
        <v>2080</v>
      </c>
      <c r="AO208" t="str">
        <v>P00250</v>
      </c>
    </row>
    <row r="209" spans="1:41" x14ac:dyDescent="0.35">
      <c r="A209" s="1" t="s">
        <v>805</v>
      </c>
      <c r="B209" s="1" t="s">
        <v>456</v>
      </c>
      <c r="C209">
        <v>4</v>
      </c>
      <c r="D209" s="1" t="s">
        <v>25</v>
      </c>
      <c r="E209" s="1" t="s">
        <v>192</v>
      </c>
      <c r="F209" s="1" t="s">
        <v>135</v>
      </c>
      <c r="G209" s="2">
        <v>45472</v>
      </c>
      <c r="H209" s="2">
        <v>45477</v>
      </c>
      <c r="I209" s="1" t="s">
        <v>277</v>
      </c>
      <c r="J209" s="1" t="s">
        <v>54</v>
      </c>
      <c r="K209" s="1" t="s">
        <v>55</v>
      </c>
      <c r="L209" s="1" t="s">
        <v>66</v>
      </c>
      <c r="M209" s="1" t="s">
        <v>2090</v>
      </c>
      <c r="N209">
        <v>402607.63</v>
      </c>
      <c r="O209">
        <v>0</v>
      </c>
      <c r="P209">
        <v>75976.39</v>
      </c>
      <c r="Q209">
        <v>5</v>
      </c>
      <c r="R209">
        <v>179</v>
      </c>
      <c r="S209">
        <v>2.2999999999999998</v>
      </c>
      <c r="T209" s="1" t="s">
        <v>34</v>
      </c>
      <c r="U209" s="1" t="s">
        <v>95</v>
      </c>
      <c r="V209" s="1" t="s">
        <v>130</v>
      </c>
      <c r="W209" s="1" t="s">
        <v>131</v>
      </c>
      <c r="X209">
        <v>478584.02</v>
      </c>
      <c r="Y209" s="1" t="s">
        <v>2093</v>
      </c>
      <c r="Z209" s="1" t="s">
        <v>2080</v>
      </c>
      <c r="AO209" t="str">
        <v>P00251</v>
      </c>
    </row>
    <row r="210" spans="1:41" x14ac:dyDescent="0.35">
      <c r="A210" s="1" t="s">
        <v>807</v>
      </c>
      <c r="B210" s="1" t="s">
        <v>624</v>
      </c>
      <c r="C210">
        <v>18</v>
      </c>
      <c r="D210" s="1" t="s">
        <v>25</v>
      </c>
      <c r="E210" s="1" t="s">
        <v>263</v>
      </c>
      <c r="F210" s="1" t="s">
        <v>227</v>
      </c>
      <c r="G210" s="2">
        <v>46054</v>
      </c>
      <c r="H210" s="2">
        <v>46056</v>
      </c>
      <c r="I210" s="1" t="s">
        <v>173</v>
      </c>
      <c r="J210" s="1" t="s">
        <v>54</v>
      </c>
      <c r="K210" s="1" t="s">
        <v>174</v>
      </c>
      <c r="L210" s="1" t="s">
        <v>66</v>
      </c>
      <c r="M210" s="1" t="s">
        <v>2087</v>
      </c>
      <c r="N210">
        <v>189911.06</v>
      </c>
      <c r="O210">
        <v>22299.14</v>
      </c>
      <c r="P210">
        <v>68389.820000000007</v>
      </c>
      <c r="Q210">
        <v>2</v>
      </c>
      <c r="R210">
        <v>193</v>
      </c>
      <c r="S210">
        <v>5</v>
      </c>
      <c r="T210" s="1" t="s">
        <v>34</v>
      </c>
      <c r="U210" s="1" t="s">
        <v>95</v>
      </c>
      <c r="V210" s="1" t="s">
        <v>130</v>
      </c>
      <c r="W210" s="1" t="s">
        <v>131</v>
      </c>
      <c r="X210">
        <v>280600.02</v>
      </c>
      <c r="Y210" s="1" t="s">
        <v>2082</v>
      </c>
      <c r="Z210" s="1" t="s">
        <v>2080</v>
      </c>
      <c r="AO210" t="str">
        <v>P00253</v>
      </c>
    </row>
    <row r="211" spans="1:41" x14ac:dyDescent="0.35">
      <c r="A211" s="1" t="s">
        <v>812</v>
      </c>
      <c r="B211" s="1" t="s">
        <v>530</v>
      </c>
      <c r="C211">
        <v>42</v>
      </c>
      <c r="D211" s="1" t="s">
        <v>119</v>
      </c>
      <c r="E211" s="1" t="s">
        <v>86</v>
      </c>
      <c r="F211" s="1" t="s">
        <v>120</v>
      </c>
      <c r="G211" s="2">
        <v>45877</v>
      </c>
      <c r="H211" s="2">
        <v>45879</v>
      </c>
      <c r="I211" s="1" t="s">
        <v>100</v>
      </c>
      <c r="J211" s="1" t="s">
        <v>152</v>
      </c>
      <c r="K211" s="1" t="s">
        <v>31</v>
      </c>
      <c r="L211" s="1" t="s">
        <v>66</v>
      </c>
      <c r="M211" s="1" t="s">
        <v>2085</v>
      </c>
      <c r="N211">
        <v>259222.56</v>
      </c>
      <c r="O211">
        <v>9759.91</v>
      </c>
      <c r="P211">
        <v>57721.83</v>
      </c>
      <c r="Q211">
        <v>2</v>
      </c>
      <c r="R211">
        <v>59</v>
      </c>
      <c r="S211">
        <v>3.7</v>
      </c>
      <c r="T211" s="1" t="s">
        <v>34</v>
      </c>
      <c r="U211" s="1" t="s">
        <v>95</v>
      </c>
      <c r="V211" s="1" t="s">
        <v>75</v>
      </c>
      <c r="W211" s="1" t="s">
        <v>131</v>
      </c>
      <c r="X211">
        <v>326704.3</v>
      </c>
      <c r="Y211" s="1" t="s">
        <v>2079</v>
      </c>
      <c r="Z211" s="1" t="s">
        <v>2091</v>
      </c>
      <c r="AO211" t="str">
        <v>P00254</v>
      </c>
    </row>
    <row r="212" spans="1:41" x14ac:dyDescent="0.35">
      <c r="A212" s="1" t="s">
        <v>814</v>
      </c>
      <c r="B212" s="1" t="s">
        <v>815</v>
      </c>
      <c r="C212">
        <v>43</v>
      </c>
      <c r="D212" s="1" t="s">
        <v>119</v>
      </c>
      <c r="E212" s="1" t="s">
        <v>192</v>
      </c>
      <c r="F212" s="1" t="s">
        <v>120</v>
      </c>
      <c r="G212" s="2">
        <v>45715</v>
      </c>
      <c r="H212" s="2">
        <v>45719</v>
      </c>
      <c r="I212" s="1" t="s">
        <v>273</v>
      </c>
      <c r="J212" s="1" t="s">
        <v>147</v>
      </c>
      <c r="K212" s="1" t="s">
        <v>55</v>
      </c>
      <c r="L212" s="1" t="s">
        <v>32</v>
      </c>
      <c r="M212" s="1" t="s">
        <v>2087</v>
      </c>
      <c r="N212">
        <v>158905.98000000001</v>
      </c>
      <c r="O212">
        <v>27259.75</v>
      </c>
      <c r="P212">
        <v>42349.11</v>
      </c>
      <c r="Q212">
        <v>4</v>
      </c>
      <c r="R212">
        <v>67</v>
      </c>
      <c r="S212">
        <v>4.2</v>
      </c>
      <c r="T212" s="1" t="s">
        <v>46</v>
      </c>
      <c r="U212" s="1" t="s">
        <v>35</v>
      </c>
      <c r="V212" s="1" t="s">
        <v>130</v>
      </c>
      <c r="W212" s="1" t="s">
        <v>83</v>
      </c>
      <c r="X212">
        <v>228514.84000000003</v>
      </c>
      <c r="Y212" s="1" t="s">
        <v>2079</v>
      </c>
      <c r="Z212" s="1" t="s">
        <v>2080</v>
      </c>
      <c r="AO212" t="str">
        <v>P00255</v>
      </c>
    </row>
    <row r="213" spans="1:41" x14ac:dyDescent="0.35">
      <c r="A213" s="1" t="s">
        <v>817</v>
      </c>
      <c r="B213" s="1" t="s">
        <v>206</v>
      </c>
      <c r="C213">
        <v>55</v>
      </c>
      <c r="D213" s="1" t="s">
        <v>25</v>
      </c>
      <c r="E213" s="1" t="s">
        <v>157</v>
      </c>
      <c r="F213" s="1" t="s">
        <v>63</v>
      </c>
      <c r="G213" s="2">
        <v>45698</v>
      </c>
      <c r="H213" s="2">
        <v>45707</v>
      </c>
      <c r="I213" s="1" t="s">
        <v>277</v>
      </c>
      <c r="J213" s="1" t="s">
        <v>87</v>
      </c>
      <c r="K213" s="1" t="s">
        <v>148</v>
      </c>
      <c r="L213" s="1" t="s">
        <v>44</v>
      </c>
      <c r="M213" s="1" t="s">
        <v>2087</v>
      </c>
      <c r="N213">
        <v>178632.76</v>
      </c>
      <c r="O213">
        <v>47423.86</v>
      </c>
      <c r="P213">
        <v>34985.42</v>
      </c>
      <c r="Q213">
        <v>9</v>
      </c>
      <c r="R213">
        <v>182</v>
      </c>
      <c r="S213">
        <v>4.2</v>
      </c>
      <c r="T213" s="1" t="s">
        <v>46</v>
      </c>
      <c r="U213" s="1" t="s">
        <v>101</v>
      </c>
      <c r="V213" s="1" t="s">
        <v>75</v>
      </c>
      <c r="W213" s="1" t="s">
        <v>83</v>
      </c>
      <c r="X213">
        <v>261042.03999999998</v>
      </c>
      <c r="Y213" s="1" t="s">
        <v>2079</v>
      </c>
      <c r="Z213" s="1" t="s">
        <v>2080</v>
      </c>
      <c r="AO213" t="str">
        <v>P00256</v>
      </c>
    </row>
    <row r="214" spans="1:41" x14ac:dyDescent="0.35">
      <c r="A214" s="1" t="s">
        <v>818</v>
      </c>
      <c r="B214" s="1" t="s">
        <v>753</v>
      </c>
      <c r="C214">
        <v>52</v>
      </c>
      <c r="D214" s="1" t="s">
        <v>25</v>
      </c>
      <c r="E214" s="1" t="s">
        <v>157</v>
      </c>
      <c r="F214" s="1" t="s">
        <v>41</v>
      </c>
      <c r="G214" s="2">
        <v>46229</v>
      </c>
      <c r="H214" s="2">
        <v>46231</v>
      </c>
      <c r="I214" s="1" t="s">
        <v>29</v>
      </c>
      <c r="J214" s="1" t="s">
        <v>54</v>
      </c>
      <c r="K214" s="1" t="s">
        <v>91</v>
      </c>
      <c r="L214" s="1" t="s">
        <v>32</v>
      </c>
      <c r="M214" s="1" t="s">
        <v>2089</v>
      </c>
      <c r="N214">
        <v>77.34</v>
      </c>
      <c r="O214">
        <v>1830.81</v>
      </c>
      <c r="P214">
        <v>9182.25</v>
      </c>
      <c r="Q214">
        <v>2</v>
      </c>
      <c r="R214">
        <v>105</v>
      </c>
      <c r="S214">
        <v>5</v>
      </c>
      <c r="T214" s="1" t="s">
        <v>46</v>
      </c>
      <c r="U214" s="1" t="s">
        <v>149</v>
      </c>
      <c r="V214" s="1" t="s">
        <v>75</v>
      </c>
      <c r="W214" s="1" t="s">
        <v>131</v>
      </c>
      <c r="X214">
        <v>11090.4</v>
      </c>
      <c r="Y214" s="1" t="s">
        <v>2079</v>
      </c>
      <c r="Z214" s="1" t="s">
        <v>2080</v>
      </c>
      <c r="AO214" t="str">
        <v>P00257</v>
      </c>
    </row>
    <row r="215" spans="1:41" x14ac:dyDescent="0.35">
      <c r="A215" s="1" t="s">
        <v>820</v>
      </c>
      <c r="B215" s="1" t="s">
        <v>821</v>
      </c>
      <c r="C215">
        <v>57</v>
      </c>
      <c r="D215" s="1" t="s">
        <v>25</v>
      </c>
      <c r="E215" s="1" t="s">
        <v>26</v>
      </c>
      <c r="F215" s="1" t="s">
        <v>63</v>
      </c>
      <c r="G215" s="2">
        <v>45607</v>
      </c>
      <c r="H215" s="2">
        <v>45622</v>
      </c>
      <c r="I215" s="1" t="s">
        <v>277</v>
      </c>
      <c r="J215" s="1" t="s">
        <v>2081</v>
      </c>
      <c r="K215" s="1" t="s">
        <v>148</v>
      </c>
      <c r="L215" s="1" t="s">
        <v>44</v>
      </c>
      <c r="M215" s="1" t="s">
        <v>2089</v>
      </c>
      <c r="N215">
        <v>290118.23</v>
      </c>
      <c r="O215">
        <v>0</v>
      </c>
      <c r="P215">
        <v>28719.79</v>
      </c>
      <c r="Q215">
        <v>15</v>
      </c>
      <c r="R215">
        <v>35</v>
      </c>
      <c r="S215">
        <v>2.9</v>
      </c>
      <c r="T215" s="1" t="s">
        <v>46</v>
      </c>
      <c r="U215" s="1" t="s">
        <v>149</v>
      </c>
      <c r="V215" s="1" t="s">
        <v>102</v>
      </c>
      <c r="W215" s="1" t="s">
        <v>12</v>
      </c>
      <c r="X215">
        <v>318838.01999999996</v>
      </c>
      <c r="Y215" s="1" t="s">
        <v>2079</v>
      </c>
      <c r="Z215" s="1" t="s">
        <v>2091</v>
      </c>
      <c r="AO215" t="str">
        <v>P00258</v>
      </c>
    </row>
    <row r="216" spans="1:41" x14ac:dyDescent="0.35">
      <c r="A216" s="1" t="s">
        <v>823</v>
      </c>
      <c r="B216" s="1" t="s">
        <v>202</v>
      </c>
      <c r="C216">
        <v>32</v>
      </c>
      <c r="D216" s="1" t="s">
        <v>25</v>
      </c>
      <c r="E216" s="1" t="s">
        <v>107</v>
      </c>
      <c r="F216" s="1" t="s">
        <v>193</v>
      </c>
      <c r="G216" s="2">
        <v>46076</v>
      </c>
      <c r="H216" s="2">
        <v>46078</v>
      </c>
      <c r="I216" s="1" t="s">
        <v>257</v>
      </c>
      <c r="J216" s="1" t="s">
        <v>2081</v>
      </c>
      <c r="K216" s="1" t="s">
        <v>148</v>
      </c>
      <c r="L216" s="1" t="s">
        <v>32</v>
      </c>
      <c r="M216" s="1" t="s">
        <v>2085</v>
      </c>
      <c r="N216">
        <v>0</v>
      </c>
      <c r="O216">
        <v>48697.760000000002</v>
      </c>
      <c r="P216">
        <v>12817.71</v>
      </c>
      <c r="Q216">
        <v>2</v>
      </c>
      <c r="R216">
        <v>112</v>
      </c>
      <c r="S216">
        <v>5</v>
      </c>
      <c r="T216" s="1" t="s">
        <v>46</v>
      </c>
      <c r="U216" s="1" t="s">
        <v>149</v>
      </c>
      <c r="V216" s="1" t="s">
        <v>102</v>
      </c>
      <c r="W216" s="1" t="s">
        <v>131</v>
      </c>
      <c r="X216">
        <v>61515.47</v>
      </c>
      <c r="Y216" s="1" t="s">
        <v>2082</v>
      </c>
      <c r="Z216" s="1" t="s">
        <v>2080</v>
      </c>
      <c r="AO216" t="str">
        <v>P00259</v>
      </c>
    </row>
    <row r="217" spans="1:41" x14ac:dyDescent="0.35">
      <c r="A217" s="1" t="s">
        <v>825</v>
      </c>
      <c r="B217" s="1" t="s">
        <v>826</v>
      </c>
      <c r="C217">
        <v>0</v>
      </c>
      <c r="D217" s="1" t="s">
        <v>25</v>
      </c>
      <c r="E217" s="1" t="s">
        <v>107</v>
      </c>
      <c r="F217" s="1" t="s">
        <v>120</v>
      </c>
      <c r="G217" s="2">
        <v>45724</v>
      </c>
      <c r="H217" s="2">
        <v>45725</v>
      </c>
      <c r="I217" s="1" t="s">
        <v>29</v>
      </c>
      <c r="J217" s="1" t="s">
        <v>2081</v>
      </c>
      <c r="K217" s="1" t="s">
        <v>148</v>
      </c>
      <c r="L217" s="1" t="s">
        <v>32</v>
      </c>
      <c r="M217" s="1" t="s">
        <v>2089</v>
      </c>
      <c r="N217">
        <v>179959.41</v>
      </c>
      <c r="O217">
        <v>57523.99</v>
      </c>
      <c r="P217">
        <v>103750.42</v>
      </c>
      <c r="Q217">
        <v>1</v>
      </c>
      <c r="R217">
        <v>2</v>
      </c>
      <c r="S217">
        <v>4.3</v>
      </c>
      <c r="T217" s="1" t="s">
        <v>34</v>
      </c>
      <c r="U217" s="1" t="s">
        <v>95</v>
      </c>
      <c r="V217" s="1" t="s">
        <v>102</v>
      </c>
      <c r="W217" s="1" t="s">
        <v>59</v>
      </c>
      <c r="X217">
        <v>341233.82</v>
      </c>
      <c r="Y217" s="1" t="s">
        <v>2093</v>
      </c>
      <c r="Z217" s="1" t="s">
        <v>2083</v>
      </c>
      <c r="AO217" t="str">
        <v>P00260</v>
      </c>
    </row>
    <row r="218" spans="1:41" x14ac:dyDescent="0.35">
      <c r="A218" s="1" t="s">
        <v>831</v>
      </c>
      <c r="B218" s="1" t="s">
        <v>580</v>
      </c>
      <c r="C218">
        <v>49</v>
      </c>
      <c r="D218" s="1" t="s">
        <v>119</v>
      </c>
      <c r="E218" s="1" t="s">
        <v>112</v>
      </c>
      <c r="F218" s="1" t="s">
        <v>227</v>
      </c>
      <c r="G218" s="2">
        <v>45722</v>
      </c>
      <c r="H218" s="2">
        <v>45725</v>
      </c>
      <c r="I218" s="1" t="s">
        <v>53</v>
      </c>
      <c r="J218" s="1" t="s">
        <v>87</v>
      </c>
      <c r="K218" s="1" t="s">
        <v>174</v>
      </c>
      <c r="L218" s="1" t="s">
        <v>44</v>
      </c>
      <c r="M218" s="1" t="s">
        <v>2085</v>
      </c>
      <c r="N218">
        <v>165169.20000000001</v>
      </c>
      <c r="O218">
        <v>36728.17</v>
      </c>
      <c r="P218">
        <v>34704.230000000003</v>
      </c>
      <c r="Q218">
        <v>3</v>
      </c>
      <c r="R218">
        <v>141</v>
      </c>
      <c r="S218">
        <v>3.2</v>
      </c>
      <c r="T218" s="1" t="s">
        <v>46</v>
      </c>
      <c r="U218" s="1" t="s">
        <v>149</v>
      </c>
      <c r="V218" s="1" t="s">
        <v>130</v>
      </c>
      <c r="W218" s="1" t="s">
        <v>12</v>
      </c>
      <c r="X218">
        <v>236601.60000000001</v>
      </c>
      <c r="Y218" s="1" t="s">
        <v>2079</v>
      </c>
      <c r="Z218" s="1" t="s">
        <v>2080</v>
      </c>
      <c r="AO218" t="str">
        <v>P00261</v>
      </c>
    </row>
    <row r="219" spans="1:41" x14ac:dyDescent="0.35">
      <c r="A219" s="1" t="s">
        <v>832</v>
      </c>
      <c r="B219" s="1" t="s">
        <v>833</v>
      </c>
      <c r="C219">
        <v>42</v>
      </c>
      <c r="D219" s="1" t="s">
        <v>119</v>
      </c>
      <c r="E219" s="1" t="s">
        <v>157</v>
      </c>
      <c r="F219" s="1" t="s">
        <v>120</v>
      </c>
      <c r="G219" s="2">
        <v>46140</v>
      </c>
      <c r="H219" s="2">
        <v>46144</v>
      </c>
      <c r="I219" s="1" t="s">
        <v>257</v>
      </c>
      <c r="J219" s="1" t="s">
        <v>115</v>
      </c>
      <c r="K219" s="1" t="s">
        <v>174</v>
      </c>
      <c r="L219" s="1" t="s">
        <v>44</v>
      </c>
      <c r="M219" s="1" t="s">
        <v>2092</v>
      </c>
      <c r="N219">
        <v>377647.04</v>
      </c>
      <c r="O219">
        <v>28715.16</v>
      </c>
      <c r="P219">
        <v>0</v>
      </c>
      <c r="Q219">
        <v>4</v>
      </c>
      <c r="R219">
        <v>189</v>
      </c>
      <c r="S219">
        <v>2.5</v>
      </c>
      <c r="T219" s="1" t="s">
        <v>46</v>
      </c>
      <c r="U219" s="1" t="s">
        <v>95</v>
      </c>
      <c r="V219" s="1" t="s">
        <v>130</v>
      </c>
      <c r="W219" s="1" t="s">
        <v>12</v>
      </c>
      <c r="X219">
        <v>406362.19999999995</v>
      </c>
      <c r="Y219" s="1" t="s">
        <v>2079</v>
      </c>
      <c r="Z219" s="1" t="s">
        <v>2080</v>
      </c>
      <c r="AO219" t="str">
        <v>P00262</v>
      </c>
    </row>
    <row r="220" spans="1:41" x14ac:dyDescent="0.35">
      <c r="A220" s="1" t="s">
        <v>837</v>
      </c>
      <c r="B220" s="1" t="s">
        <v>315</v>
      </c>
      <c r="C220">
        <v>49</v>
      </c>
      <c r="D220" s="1" t="s">
        <v>119</v>
      </c>
      <c r="E220" s="1" t="s">
        <v>263</v>
      </c>
      <c r="F220" s="1" t="s">
        <v>193</v>
      </c>
      <c r="G220" s="2">
        <v>45307</v>
      </c>
      <c r="H220" s="2">
        <v>45310</v>
      </c>
      <c r="I220" s="1" t="s">
        <v>127</v>
      </c>
      <c r="J220" s="1" t="s">
        <v>115</v>
      </c>
      <c r="K220" s="1" t="s">
        <v>174</v>
      </c>
      <c r="L220" s="1" t="s">
        <v>32</v>
      </c>
      <c r="M220" s="1" t="s">
        <v>2089</v>
      </c>
      <c r="N220">
        <v>292957.14</v>
      </c>
      <c r="O220">
        <v>46130.39</v>
      </c>
      <c r="P220">
        <v>61668.13</v>
      </c>
      <c r="Q220">
        <v>3</v>
      </c>
      <c r="R220">
        <v>101</v>
      </c>
      <c r="S220">
        <v>3.4</v>
      </c>
      <c r="T220" s="1" t="s">
        <v>34</v>
      </c>
      <c r="U220" s="1" t="s">
        <v>95</v>
      </c>
      <c r="V220" s="1" t="s">
        <v>102</v>
      </c>
      <c r="W220" s="1" t="s">
        <v>83</v>
      </c>
      <c r="X220">
        <v>400755.66000000003</v>
      </c>
      <c r="Y220" s="1" t="s">
        <v>2079</v>
      </c>
      <c r="Z220" s="1" t="s">
        <v>2080</v>
      </c>
      <c r="AO220" t="str">
        <v>P00263</v>
      </c>
    </row>
    <row r="221" spans="1:41" x14ac:dyDescent="0.35">
      <c r="A221" s="1" t="s">
        <v>838</v>
      </c>
      <c r="B221" s="1" t="s">
        <v>644</v>
      </c>
      <c r="C221">
        <v>38</v>
      </c>
      <c r="D221" s="1" t="s">
        <v>119</v>
      </c>
      <c r="E221" s="1" t="s">
        <v>51</v>
      </c>
      <c r="F221" s="1" t="s">
        <v>227</v>
      </c>
      <c r="G221" s="2">
        <v>46069</v>
      </c>
      <c r="H221" s="2">
        <v>46071</v>
      </c>
      <c r="I221" s="1" t="s">
        <v>277</v>
      </c>
      <c r="J221" s="1" t="s">
        <v>87</v>
      </c>
      <c r="K221" s="1" t="s">
        <v>174</v>
      </c>
      <c r="L221" s="1" t="s">
        <v>32</v>
      </c>
      <c r="M221" s="1" t="s">
        <v>57</v>
      </c>
      <c r="N221">
        <v>378727.81</v>
      </c>
      <c r="O221">
        <v>44838.92</v>
      </c>
      <c r="P221">
        <v>0</v>
      </c>
      <c r="Q221">
        <v>2</v>
      </c>
      <c r="R221">
        <v>144</v>
      </c>
      <c r="S221">
        <v>4</v>
      </c>
      <c r="T221" s="1" t="s">
        <v>34</v>
      </c>
      <c r="U221" s="1" t="s">
        <v>95</v>
      </c>
      <c r="V221" s="1" t="s">
        <v>130</v>
      </c>
      <c r="W221" s="1" t="s">
        <v>83</v>
      </c>
      <c r="X221">
        <v>423566.73</v>
      </c>
      <c r="Y221" s="1" t="s">
        <v>2079</v>
      </c>
      <c r="Z221" s="1" t="s">
        <v>2080</v>
      </c>
      <c r="AO221" t="str">
        <v>P00265</v>
      </c>
    </row>
    <row r="222" spans="1:41" x14ac:dyDescent="0.35">
      <c r="A222" s="1" t="s">
        <v>842</v>
      </c>
      <c r="B222" s="1" t="s">
        <v>432</v>
      </c>
      <c r="C222">
        <v>29</v>
      </c>
      <c r="D222" s="1" t="s">
        <v>119</v>
      </c>
      <c r="E222" s="1" t="s">
        <v>86</v>
      </c>
      <c r="F222" s="1" t="s">
        <v>145</v>
      </c>
      <c r="G222" s="2">
        <v>45859</v>
      </c>
      <c r="H222" s="2">
        <v>45860</v>
      </c>
      <c r="I222" s="1" t="s">
        <v>277</v>
      </c>
      <c r="J222" s="1" t="s">
        <v>137</v>
      </c>
      <c r="K222" s="1" t="s">
        <v>153</v>
      </c>
      <c r="L222" s="1" t="s">
        <v>32</v>
      </c>
      <c r="M222" s="1" t="s">
        <v>2087</v>
      </c>
      <c r="N222">
        <v>340735.09</v>
      </c>
      <c r="O222">
        <v>53828.13</v>
      </c>
      <c r="P222">
        <v>60392.56</v>
      </c>
      <c r="Q222">
        <v>1</v>
      </c>
      <c r="R222">
        <v>149</v>
      </c>
      <c r="S222">
        <v>4.4000000000000004</v>
      </c>
      <c r="T222" s="1" t="s">
        <v>34</v>
      </c>
      <c r="U222" s="1" t="s">
        <v>35</v>
      </c>
      <c r="V222" s="1" t="s">
        <v>130</v>
      </c>
      <c r="W222" s="1" t="s">
        <v>36</v>
      </c>
      <c r="X222">
        <v>454955.78</v>
      </c>
      <c r="Y222" s="1" t="s">
        <v>2082</v>
      </c>
      <c r="Z222" s="1" t="s">
        <v>2080</v>
      </c>
      <c r="AO222" t="str">
        <v>P00266</v>
      </c>
    </row>
    <row r="223" spans="1:41" x14ac:dyDescent="0.35">
      <c r="A223" s="1" t="s">
        <v>844</v>
      </c>
      <c r="B223" s="1" t="s">
        <v>262</v>
      </c>
      <c r="C223">
        <v>52</v>
      </c>
      <c r="D223" s="1" t="s">
        <v>25</v>
      </c>
      <c r="E223" s="1" t="s">
        <v>2084</v>
      </c>
      <c r="F223" s="1" t="s">
        <v>227</v>
      </c>
      <c r="G223" s="2">
        <v>45927</v>
      </c>
      <c r="H223" s="2">
        <v>45929</v>
      </c>
      <c r="I223" s="1" t="s">
        <v>221</v>
      </c>
      <c r="J223" s="1" t="s">
        <v>141</v>
      </c>
      <c r="K223" s="1" t="s">
        <v>174</v>
      </c>
      <c r="L223" s="1" t="s">
        <v>32</v>
      </c>
      <c r="M223" s="1" t="s">
        <v>2086</v>
      </c>
      <c r="N223">
        <v>332057.33</v>
      </c>
      <c r="O223">
        <v>48857.279999999999</v>
      </c>
      <c r="P223">
        <v>80667.399999999994</v>
      </c>
      <c r="Q223">
        <v>2</v>
      </c>
      <c r="R223">
        <v>148</v>
      </c>
      <c r="S223">
        <v>3.5</v>
      </c>
      <c r="T223" s="1" t="s">
        <v>34</v>
      </c>
      <c r="U223" s="1" t="s">
        <v>35</v>
      </c>
      <c r="V223" s="1" t="s">
        <v>102</v>
      </c>
      <c r="W223" s="1" t="s">
        <v>12</v>
      </c>
      <c r="X223">
        <v>461582.01</v>
      </c>
      <c r="Y223" s="1" t="s">
        <v>2079</v>
      </c>
      <c r="Z223" s="1" t="s">
        <v>2080</v>
      </c>
      <c r="AO223" t="str">
        <v>P00267</v>
      </c>
    </row>
    <row r="224" spans="1:41" x14ac:dyDescent="0.35">
      <c r="A224" s="1" t="s">
        <v>846</v>
      </c>
      <c r="B224" s="1" t="s">
        <v>415</v>
      </c>
      <c r="C224">
        <v>42</v>
      </c>
      <c r="D224" s="1" t="s">
        <v>119</v>
      </c>
      <c r="E224" s="1" t="s">
        <v>192</v>
      </c>
      <c r="F224" s="1" t="s">
        <v>227</v>
      </c>
      <c r="G224" s="2">
        <v>46252</v>
      </c>
      <c r="H224" s="2">
        <v>46258</v>
      </c>
      <c r="I224" s="1" t="s">
        <v>53</v>
      </c>
      <c r="J224" s="1" t="s">
        <v>30</v>
      </c>
      <c r="K224" s="1" t="s">
        <v>55</v>
      </c>
      <c r="L224" s="1" t="s">
        <v>44</v>
      </c>
      <c r="M224" s="1" t="s">
        <v>2092</v>
      </c>
      <c r="N224">
        <v>96537.55</v>
      </c>
      <c r="O224">
        <v>25923.33</v>
      </c>
      <c r="P224">
        <v>22652.92</v>
      </c>
      <c r="Q224">
        <v>6</v>
      </c>
      <c r="R224">
        <v>44</v>
      </c>
      <c r="S224">
        <v>3.5</v>
      </c>
      <c r="T224" s="1" t="s">
        <v>34</v>
      </c>
      <c r="U224" s="1" t="s">
        <v>95</v>
      </c>
      <c r="V224" s="1" t="s">
        <v>102</v>
      </c>
      <c r="W224" s="1" t="s">
        <v>12</v>
      </c>
      <c r="X224">
        <v>145113.79999999999</v>
      </c>
      <c r="Y224" s="1" t="s">
        <v>2079</v>
      </c>
      <c r="Z224" s="1" t="s">
        <v>2091</v>
      </c>
      <c r="AO224" t="str">
        <v>P00268</v>
      </c>
    </row>
    <row r="225" spans="1:41" x14ac:dyDescent="0.35">
      <c r="A225" s="1" t="s">
        <v>848</v>
      </c>
      <c r="B225" s="1" t="s">
        <v>233</v>
      </c>
      <c r="C225">
        <v>36</v>
      </c>
      <c r="D225" s="1" t="s">
        <v>25</v>
      </c>
      <c r="E225" s="1" t="s">
        <v>192</v>
      </c>
      <c r="F225" s="1" t="s">
        <v>227</v>
      </c>
      <c r="G225" s="2">
        <v>45305</v>
      </c>
      <c r="H225" s="2">
        <v>45306</v>
      </c>
      <c r="I225" s="1" t="s">
        <v>221</v>
      </c>
      <c r="J225" s="1" t="s">
        <v>137</v>
      </c>
      <c r="K225" s="1" t="s">
        <v>128</v>
      </c>
      <c r="L225" s="1" t="s">
        <v>44</v>
      </c>
      <c r="M225" s="1" t="s">
        <v>2089</v>
      </c>
      <c r="N225">
        <v>0</v>
      </c>
      <c r="O225">
        <v>35332.339999999997</v>
      </c>
      <c r="P225">
        <v>45036.160000000003</v>
      </c>
      <c r="Q225">
        <v>1</v>
      </c>
      <c r="R225">
        <v>33</v>
      </c>
      <c r="S225">
        <v>4.5999999999999996</v>
      </c>
      <c r="T225" s="1" t="s">
        <v>34</v>
      </c>
      <c r="U225" s="1" t="s">
        <v>95</v>
      </c>
      <c r="V225" s="1" t="s">
        <v>102</v>
      </c>
      <c r="W225" s="1" t="s">
        <v>36</v>
      </c>
      <c r="X225">
        <v>80368.5</v>
      </c>
      <c r="Y225" s="1" t="s">
        <v>2079</v>
      </c>
      <c r="Z225" s="1" t="s">
        <v>2091</v>
      </c>
      <c r="AO225" t="str">
        <v>P00270</v>
      </c>
    </row>
    <row r="226" spans="1:41" x14ac:dyDescent="0.35">
      <c r="A226" s="1" t="s">
        <v>850</v>
      </c>
      <c r="B226" s="1" t="s">
        <v>363</v>
      </c>
      <c r="C226">
        <v>7</v>
      </c>
      <c r="D226" s="1" t="s">
        <v>25</v>
      </c>
      <c r="E226" s="1" t="s">
        <v>157</v>
      </c>
      <c r="F226" s="1" t="s">
        <v>227</v>
      </c>
      <c r="G226" s="2">
        <v>45823</v>
      </c>
      <c r="H226" s="2">
        <v>45829</v>
      </c>
      <c r="I226" s="1" t="s">
        <v>257</v>
      </c>
      <c r="J226" s="1" t="s">
        <v>54</v>
      </c>
      <c r="K226" s="1" t="s">
        <v>128</v>
      </c>
      <c r="L226" s="1" t="s">
        <v>32</v>
      </c>
      <c r="M226" s="1" t="s">
        <v>2092</v>
      </c>
      <c r="N226">
        <v>113218.53</v>
      </c>
      <c r="O226">
        <v>10771.44</v>
      </c>
      <c r="P226">
        <v>16802.91</v>
      </c>
      <c r="Q226">
        <v>6</v>
      </c>
      <c r="R226">
        <v>157</v>
      </c>
      <c r="S226">
        <v>3.4</v>
      </c>
      <c r="T226" s="1" t="s">
        <v>34</v>
      </c>
      <c r="U226" s="1" t="s">
        <v>101</v>
      </c>
      <c r="V226" s="1" t="s">
        <v>102</v>
      </c>
      <c r="W226" s="1" t="s">
        <v>36</v>
      </c>
      <c r="X226">
        <v>140792.88</v>
      </c>
      <c r="Y226" s="1" t="s">
        <v>2093</v>
      </c>
      <c r="Z226" s="1" t="s">
        <v>2080</v>
      </c>
      <c r="AO226" t="str">
        <v>P00271</v>
      </c>
    </row>
    <row r="227" spans="1:41" x14ac:dyDescent="0.35">
      <c r="A227" s="1" t="s">
        <v>852</v>
      </c>
      <c r="B227" s="1" t="s">
        <v>443</v>
      </c>
      <c r="C227">
        <v>0</v>
      </c>
      <c r="D227" s="1" t="s">
        <v>25</v>
      </c>
      <c r="E227" s="1" t="s">
        <v>157</v>
      </c>
      <c r="F227" s="1" t="s">
        <v>135</v>
      </c>
      <c r="G227" s="2">
        <v>46011</v>
      </c>
      <c r="H227" s="2">
        <v>46013</v>
      </c>
      <c r="I227" s="1" t="s">
        <v>100</v>
      </c>
      <c r="J227" s="1" t="s">
        <v>54</v>
      </c>
      <c r="K227" s="1" t="s">
        <v>128</v>
      </c>
      <c r="L227" s="1" t="s">
        <v>32</v>
      </c>
      <c r="M227" s="1" t="s">
        <v>2085</v>
      </c>
      <c r="N227">
        <v>308958.52</v>
      </c>
      <c r="O227">
        <v>0</v>
      </c>
      <c r="P227">
        <v>46797.98</v>
      </c>
      <c r="Q227">
        <v>2</v>
      </c>
      <c r="R227">
        <v>115</v>
      </c>
      <c r="S227">
        <v>5</v>
      </c>
      <c r="T227" s="1" t="s">
        <v>34</v>
      </c>
      <c r="U227" s="1" t="s">
        <v>149</v>
      </c>
      <c r="V227" s="1" t="s">
        <v>102</v>
      </c>
      <c r="W227" s="1" t="s">
        <v>83</v>
      </c>
      <c r="X227">
        <v>355756.5</v>
      </c>
      <c r="Y227" s="1" t="s">
        <v>2093</v>
      </c>
      <c r="Z227" s="1" t="s">
        <v>2080</v>
      </c>
      <c r="AO227" t="str">
        <v>P00272</v>
      </c>
    </row>
    <row r="228" spans="1:41" x14ac:dyDescent="0.35">
      <c r="A228" s="1" t="s">
        <v>854</v>
      </c>
      <c r="B228" s="1" t="s">
        <v>726</v>
      </c>
      <c r="C228">
        <v>0</v>
      </c>
      <c r="D228" s="1" t="s">
        <v>25</v>
      </c>
      <c r="E228" s="1" t="s">
        <v>112</v>
      </c>
      <c r="F228" s="1" t="s">
        <v>87</v>
      </c>
      <c r="G228" s="2">
        <v>45623</v>
      </c>
      <c r="H228" s="2">
        <v>45624</v>
      </c>
      <c r="I228" s="1" t="s">
        <v>29</v>
      </c>
      <c r="J228" s="1" t="s">
        <v>152</v>
      </c>
      <c r="K228" s="1" t="s">
        <v>91</v>
      </c>
      <c r="L228" s="1" t="s">
        <v>44</v>
      </c>
      <c r="M228" s="1" t="s">
        <v>2086</v>
      </c>
      <c r="N228">
        <v>245738.94</v>
      </c>
      <c r="O228">
        <v>75012.78</v>
      </c>
      <c r="P228">
        <v>82168.39</v>
      </c>
      <c r="Q228">
        <v>1</v>
      </c>
      <c r="R228">
        <v>110</v>
      </c>
      <c r="S228">
        <v>3.1</v>
      </c>
      <c r="T228" s="1" t="s">
        <v>34</v>
      </c>
      <c r="U228" s="1" t="s">
        <v>95</v>
      </c>
      <c r="V228" s="1" t="s">
        <v>75</v>
      </c>
      <c r="W228" s="1" t="s">
        <v>36</v>
      </c>
      <c r="X228">
        <v>402920.11</v>
      </c>
      <c r="Y228" s="1" t="s">
        <v>2093</v>
      </c>
      <c r="Z228" s="1" t="s">
        <v>2080</v>
      </c>
      <c r="AO228" t="str">
        <v>P00273</v>
      </c>
    </row>
    <row r="229" spans="1:41" x14ac:dyDescent="0.35">
      <c r="A229" s="1" t="s">
        <v>856</v>
      </c>
      <c r="B229" s="1" t="s">
        <v>857</v>
      </c>
      <c r="C229">
        <v>21</v>
      </c>
      <c r="D229" s="1" t="s">
        <v>119</v>
      </c>
      <c r="E229" s="1" t="s">
        <v>112</v>
      </c>
      <c r="F229" s="1" t="s">
        <v>145</v>
      </c>
      <c r="G229" s="2">
        <v>45314</v>
      </c>
      <c r="H229" s="2">
        <v>45319</v>
      </c>
      <c r="I229" s="1" t="s">
        <v>277</v>
      </c>
      <c r="J229" s="1" t="s">
        <v>87</v>
      </c>
      <c r="K229" s="1" t="s">
        <v>148</v>
      </c>
      <c r="L229" s="1" t="s">
        <v>44</v>
      </c>
      <c r="M229" s="1" t="s">
        <v>2085</v>
      </c>
      <c r="N229">
        <v>286690.09000000003</v>
      </c>
      <c r="O229">
        <v>42636.75</v>
      </c>
      <c r="P229">
        <v>76806.3</v>
      </c>
      <c r="Q229">
        <v>5</v>
      </c>
      <c r="R229">
        <v>301</v>
      </c>
      <c r="S229">
        <v>4.2</v>
      </c>
      <c r="T229" s="1" t="s">
        <v>34</v>
      </c>
      <c r="U229" s="1" t="s">
        <v>149</v>
      </c>
      <c r="V229" s="1" t="s">
        <v>75</v>
      </c>
      <c r="W229" s="1" t="s">
        <v>83</v>
      </c>
      <c r="X229">
        <v>406133.14</v>
      </c>
      <c r="Y229" s="1" t="s">
        <v>2082</v>
      </c>
      <c r="Z229" s="1" t="s">
        <v>2080</v>
      </c>
      <c r="AO229" t="str">
        <v>P00274</v>
      </c>
    </row>
    <row r="230" spans="1:41" x14ac:dyDescent="0.35">
      <c r="A230" s="1" t="s">
        <v>859</v>
      </c>
      <c r="B230" s="1" t="s">
        <v>860</v>
      </c>
      <c r="C230">
        <v>42</v>
      </c>
      <c r="D230" s="1" t="s">
        <v>25</v>
      </c>
      <c r="E230" s="1" t="s">
        <v>2084</v>
      </c>
      <c r="F230" s="1" t="s">
        <v>120</v>
      </c>
      <c r="G230" s="2">
        <v>45514</v>
      </c>
      <c r="H230" s="2">
        <v>45516</v>
      </c>
      <c r="I230" s="1" t="s">
        <v>277</v>
      </c>
      <c r="J230" s="1" t="s">
        <v>147</v>
      </c>
      <c r="K230" s="1" t="s">
        <v>91</v>
      </c>
      <c r="L230" s="1" t="s">
        <v>44</v>
      </c>
      <c r="M230" s="1" t="s">
        <v>2087</v>
      </c>
      <c r="N230">
        <v>0</v>
      </c>
      <c r="O230">
        <v>12632.17</v>
      </c>
      <c r="P230">
        <v>32721.53</v>
      </c>
      <c r="Q230">
        <v>2</v>
      </c>
      <c r="R230">
        <v>55</v>
      </c>
      <c r="S230">
        <v>3.9</v>
      </c>
      <c r="T230" s="1" t="s">
        <v>34</v>
      </c>
      <c r="U230" s="1" t="s">
        <v>35</v>
      </c>
      <c r="V230" s="1" t="s">
        <v>75</v>
      </c>
      <c r="W230" s="1" t="s">
        <v>36</v>
      </c>
      <c r="X230">
        <v>45353.7</v>
      </c>
      <c r="Y230" s="1" t="s">
        <v>2079</v>
      </c>
      <c r="Z230" s="1" t="s">
        <v>2091</v>
      </c>
      <c r="AO230" t="str">
        <v>P00275</v>
      </c>
    </row>
    <row r="231" spans="1:41" x14ac:dyDescent="0.35">
      <c r="A231" s="1" t="s">
        <v>862</v>
      </c>
      <c r="B231" s="1" t="s">
        <v>863</v>
      </c>
      <c r="C231">
        <v>67</v>
      </c>
      <c r="D231" s="1" t="s">
        <v>119</v>
      </c>
      <c r="E231" s="1" t="s">
        <v>26</v>
      </c>
      <c r="F231" s="1" t="s">
        <v>120</v>
      </c>
      <c r="G231" s="2">
        <v>46128</v>
      </c>
      <c r="H231" s="2">
        <v>46129</v>
      </c>
      <c r="I231" s="1" t="s">
        <v>127</v>
      </c>
      <c r="J231" s="1" t="s">
        <v>147</v>
      </c>
      <c r="K231" s="1" t="s">
        <v>31</v>
      </c>
      <c r="L231" s="1" t="s">
        <v>32</v>
      </c>
      <c r="M231" s="1" t="s">
        <v>2087</v>
      </c>
      <c r="N231">
        <v>220028.99</v>
      </c>
      <c r="O231">
        <v>29767.49</v>
      </c>
      <c r="P231">
        <v>35163.160000000003</v>
      </c>
      <c r="Q231">
        <v>1</v>
      </c>
      <c r="R231">
        <v>106</v>
      </c>
      <c r="S231">
        <v>4.8</v>
      </c>
      <c r="T231" s="1" t="s">
        <v>34</v>
      </c>
      <c r="U231" s="1" t="s">
        <v>95</v>
      </c>
      <c r="V231" s="1" t="s">
        <v>75</v>
      </c>
      <c r="W231" s="1" t="s">
        <v>36</v>
      </c>
      <c r="X231">
        <v>284959.64</v>
      </c>
      <c r="Y231" s="1" t="s">
        <v>2088</v>
      </c>
      <c r="Z231" s="1" t="s">
        <v>2080</v>
      </c>
      <c r="AO231" t="str">
        <v>P00276</v>
      </c>
    </row>
    <row r="232" spans="1:41" x14ac:dyDescent="0.35">
      <c r="A232" s="1" t="s">
        <v>865</v>
      </c>
      <c r="B232" s="1" t="s">
        <v>353</v>
      </c>
      <c r="C232">
        <v>28</v>
      </c>
      <c r="D232" s="1" t="s">
        <v>119</v>
      </c>
      <c r="E232" s="1" t="s">
        <v>26</v>
      </c>
      <c r="F232" s="1" t="s">
        <v>41</v>
      </c>
      <c r="G232" s="2">
        <v>45448</v>
      </c>
      <c r="H232" s="2">
        <v>45449</v>
      </c>
      <c r="I232" s="1" t="s">
        <v>127</v>
      </c>
      <c r="J232" s="1" t="s">
        <v>87</v>
      </c>
      <c r="K232" s="1" t="s">
        <v>31</v>
      </c>
      <c r="L232" s="1" t="s">
        <v>44</v>
      </c>
      <c r="M232" s="1" t="s">
        <v>2087</v>
      </c>
      <c r="N232">
        <v>177478.36</v>
      </c>
      <c r="O232">
        <v>0</v>
      </c>
      <c r="P232">
        <v>20422.259999999998</v>
      </c>
      <c r="Q232">
        <v>1</v>
      </c>
      <c r="R232">
        <v>59</v>
      </c>
      <c r="S232">
        <v>4.8</v>
      </c>
      <c r="T232" s="1" t="s">
        <v>34</v>
      </c>
      <c r="U232" s="1" t="s">
        <v>95</v>
      </c>
      <c r="V232" s="1" t="s">
        <v>102</v>
      </c>
      <c r="W232" s="1" t="s">
        <v>83</v>
      </c>
      <c r="X232">
        <v>197900.62</v>
      </c>
      <c r="Y232" s="1" t="s">
        <v>2082</v>
      </c>
      <c r="Z232" s="1" t="s">
        <v>2091</v>
      </c>
      <c r="AO232" t="str">
        <v>P00278</v>
      </c>
    </row>
    <row r="233" spans="1:41" x14ac:dyDescent="0.35">
      <c r="A233" s="1" t="s">
        <v>867</v>
      </c>
      <c r="B233" s="1" t="s">
        <v>587</v>
      </c>
      <c r="C233">
        <v>47</v>
      </c>
      <c r="D233" s="1" t="s">
        <v>119</v>
      </c>
      <c r="E233" s="1" t="s">
        <v>177</v>
      </c>
      <c r="F233" s="1" t="s">
        <v>120</v>
      </c>
      <c r="G233" s="2">
        <v>45805</v>
      </c>
      <c r="H233" s="2">
        <v>45808</v>
      </c>
      <c r="I233" s="1" t="s">
        <v>277</v>
      </c>
      <c r="J233" s="1" t="s">
        <v>137</v>
      </c>
      <c r="K233" s="1" t="s">
        <v>174</v>
      </c>
      <c r="L233" s="1" t="s">
        <v>32</v>
      </c>
      <c r="M233" s="1" t="s">
        <v>2090</v>
      </c>
      <c r="N233">
        <v>339125.71</v>
      </c>
      <c r="O233">
        <v>26565.71</v>
      </c>
      <c r="P233">
        <v>56713.95</v>
      </c>
      <c r="Q233">
        <v>3</v>
      </c>
      <c r="R233">
        <v>87</v>
      </c>
      <c r="S233">
        <v>4</v>
      </c>
      <c r="T233" s="1" t="s">
        <v>34</v>
      </c>
      <c r="U233" s="1" t="s">
        <v>101</v>
      </c>
      <c r="V233" s="1" t="s">
        <v>130</v>
      </c>
      <c r="W233" s="1" t="s">
        <v>59</v>
      </c>
      <c r="X233">
        <v>422405.37000000005</v>
      </c>
      <c r="Y233" s="1" t="s">
        <v>2079</v>
      </c>
      <c r="Z233" s="1" t="s">
        <v>2080</v>
      </c>
      <c r="AO233" t="str">
        <v>P00279</v>
      </c>
    </row>
    <row r="234" spans="1:41" x14ac:dyDescent="0.35">
      <c r="A234" s="1" t="s">
        <v>869</v>
      </c>
      <c r="B234" s="1" t="s">
        <v>695</v>
      </c>
      <c r="C234">
        <v>0</v>
      </c>
      <c r="D234" s="1" t="s">
        <v>119</v>
      </c>
      <c r="E234" s="1" t="s">
        <v>219</v>
      </c>
      <c r="F234" s="1" t="s">
        <v>227</v>
      </c>
      <c r="G234" s="2">
        <v>45715</v>
      </c>
      <c r="H234" s="2">
        <v>45717</v>
      </c>
      <c r="I234" s="1" t="s">
        <v>159</v>
      </c>
      <c r="J234" s="1" t="s">
        <v>152</v>
      </c>
      <c r="K234" s="1" t="s">
        <v>122</v>
      </c>
      <c r="L234" s="1" t="s">
        <v>32</v>
      </c>
      <c r="M234" s="1" t="s">
        <v>2087</v>
      </c>
      <c r="N234">
        <v>201200.92</v>
      </c>
      <c r="O234">
        <v>65568.7</v>
      </c>
      <c r="P234">
        <v>72786.460000000006</v>
      </c>
      <c r="Q234">
        <v>2</v>
      </c>
      <c r="R234">
        <v>167</v>
      </c>
      <c r="S234">
        <v>5</v>
      </c>
      <c r="T234" s="1" t="s">
        <v>34</v>
      </c>
      <c r="U234" s="1" t="s">
        <v>95</v>
      </c>
      <c r="V234" s="1" t="s">
        <v>102</v>
      </c>
      <c r="W234" s="1" t="s">
        <v>83</v>
      </c>
      <c r="X234">
        <v>339556.08</v>
      </c>
      <c r="Y234" s="1" t="s">
        <v>2093</v>
      </c>
      <c r="Z234" s="1" t="s">
        <v>2080</v>
      </c>
      <c r="AO234" t="str">
        <v>P00281</v>
      </c>
    </row>
    <row r="235" spans="1:41" x14ac:dyDescent="0.35">
      <c r="A235" s="1" t="s">
        <v>870</v>
      </c>
      <c r="B235" s="1" t="s">
        <v>871</v>
      </c>
      <c r="C235">
        <v>47</v>
      </c>
      <c r="D235" s="1" t="s">
        <v>119</v>
      </c>
      <c r="E235" s="1" t="s">
        <v>86</v>
      </c>
      <c r="F235" s="1" t="s">
        <v>120</v>
      </c>
      <c r="G235" s="2">
        <v>45674</v>
      </c>
      <c r="H235" s="2">
        <v>45677</v>
      </c>
      <c r="I235" s="1" t="s">
        <v>53</v>
      </c>
      <c r="J235" s="1" t="s">
        <v>30</v>
      </c>
      <c r="K235" s="1" t="s">
        <v>81</v>
      </c>
      <c r="L235" s="1" t="s">
        <v>32</v>
      </c>
      <c r="M235" s="1" t="s">
        <v>2087</v>
      </c>
      <c r="N235">
        <v>133528.73000000001</v>
      </c>
      <c r="O235">
        <v>22098.18</v>
      </c>
      <c r="P235">
        <v>63473.13</v>
      </c>
      <c r="Q235">
        <v>3</v>
      </c>
      <c r="R235">
        <v>185</v>
      </c>
      <c r="S235">
        <v>3.5</v>
      </c>
      <c r="T235" s="1" t="s">
        <v>46</v>
      </c>
      <c r="U235" s="1" t="s">
        <v>35</v>
      </c>
      <c r="V235" s="1" t="s">
        <v>75</v>
      </c>
      <c r="W235" s="1" t="s">
        <v>12</v>
      </c>
      <c r="X235">
        <v>219100.04</v>
      </c>
      <c r="Y235" s="1" t="s">
        <v>2079</v>
      </c>
      <c r="Z235" s="1" t="s">
        <v>2080</v>
      </c>
      <c r="AO235" t="str">
        <v>P00282</v>
      </c>
    </row>
    <row r="236" spans="1:41" x14ac:dyDescent="0.35">
      <c r="A236" s="1" t="s">
        <v>873</v>
      </c>
      <c r="B236" s="1" t="s">
        <v>139</v>
      </c>
      <c r="C236">
        <v>43</v>
      </c>
      <c r="D236" s="1" t="s">
        <v>119</v>
      </c>
      <c r="E236" s="1" t="s">
        <v>86</v>
      </c>
      <c r="F236" s="1" t="s">
        <v>193</v>
      </c>
      <c r="G236" s="2">
        <v>46060</v>
      </c>
      <c r="H236" s="2">
        <v>46062</v>
      </c>
      <c r="I236" s="1" t="s">
        <v>277</v>
      </c>
      <c r="J236" s="1" t="s">
        <v>87</v>
      </c>
      <c r="K236" s="1" t="s">
        <v>55</v>
      </c>
      <c r="L236" s="1" t="s">
        <v>32</v>
      </c>
      <c r="M236" s="1" t="s">
        <v>2089</v>
      </c>
      <c r="N236">
        <v>304168.94</v>
      </c>
      <c r="O236">
        <v>0</v>
      </c>
      <c r="P236">
        <v>0</v>
      </c>
      <c r="Q236">
        <v>2</v>
      </c>
      <c r="R236">
        <v>53</v>
      </c>
      <c r="S236">
        <v>2.1</v>
      </c>
      <c r="T236" s="1" t="s">
        <v>34</v>
      </c>
      <c r="U236" s="1" t="s">
        <v>95</v>
      </c>
      <c r="V236" s="1" t="s">
        <v>75</v>
      </c>
      <c r="W236" s="1" t="s">
        <v>83</v>
      </c>
      <c r="X236">
        <v>304168.94</v>
      </c>
      <c r="Y236" s="1" t="s">
        <v>2079</v>
      </c>
      <c r="Z236" s="1" t="s">
        <v>2091</v>
      </c>
      <c r="AO236" t="str">
        <v>P00284</v>
      </c>
    </row>
    <row r="237" spans="1:41" x14ac:dyDescent="0.35">
      <c r="A237" s="1" t="s">
        <v>877</v>
      </c>
      <c r="B237" s="1" t="s">
        <v>125</v>
      </c>
      <c r="C237">
        <v>65</v>
      </c>
      <c r="D237" s="1" t="s">
        <v>25</v>
      </c>
      <c r="E237" s="1" t="s">
        <v>192</v>
      </c>
      <c r="F237" s="1" t="s">
        <v>108</v>
      </c>
      <c r="G237" s="2">
        <v>45788</v>
      </c>
      <c r="H237" s="2">
        <v>45789</v>
      </c>
      <c r="I237" s="1" t="s">
        <v>29</v>
      </c>
      <c r="J237" s="1" t="s">
        <v>137</v>
      </c>
      <c r="K237" s="1" t="s">
        <v>174</v>
      </c>
      <c r="L237" s="1" t="s">
        <v>32</v>
      </c>
      <c r="M237" s="1" t="s">
        <v>2089</v>
      </c>
      <c r="N237">
        <v>209393</v>
      </c>
      <c r="O237">
        <v>46762.02</v>
      </c>
      <c r="P237">
        <v>12844.28</v>
      </c>
      <c r="Q237">
        <v>1</v>
      </c>
      <c r="R237">
        <v>0</v>
      </c>
      <c r="S237">
        <v>4.8</v>
      </c>
      <c r="T237" s="1" t="s">
        <v>46</v>
      </c>
      <c r="U237" s="1" t="s">
        <v>101</v>
      </c>
      <c r="V237" s="1" t="s">
        <v>75</v>
      </c>
      <c r="W237" s="1" t="s">
        <v>83</v>
      </c>
      <c r="X237">
        <v>268999.3</v>
      </c>
      <c r="Y237" s="1" t="s">
        <v>2088</v>
      </c>
      <c r="Z237" s="1" t="s">
        <v>2083</v>
      </c>
      <c r="AO237" t="str">
        <v>P00285</v>
      </c>
    </row>
    <row r="238" spans="1:41" x14ac:dyDescent="0.35">
      <c r="A238" s="1" t="s">
        <v>881</v>
      </c>
      <c r="B238" s="1" t="s">
        <v>716</v>
      </c>
      <c r="C238">
        <v>35</v>
      </c>
      <c r="D238" s="1" t="s">
        <v>25</v>
      </c>
      <c r="E238" s="1" t="s">
        <v>26</v>
      </c>
      <c r="F238" s="1" t="s">
        <v>108</v>
      </c>
      <c r="G238" s="2">
        <v>46185</v>
      </c>
      <c r="H238" s="2">
        <v>46189</v>
      </c>
      <c r="I238" s="1" t="s">
        <v>277</v>
      </c>
      <c r="J238" s="1" t="s">
        <v>115</v>
      </c>
      <c r="K238" s="1" t="s">
        <v>153</v>
      </c>
      <c r="L238" s="1" t="s">
        <v>32</v>
      </c>
      <c r="M238" s="1" t="s">
        <v>2085</v>
      </c>
      <c r="N238">
        <v>304446.24</v>
      </c>
      <c r="O238">
        <v>16397.150000000001</v>
      </c>
      <c r="P238">
        <v>40116.21</v>
      </c>
      <c r="Q238">
        <v>4</v>
      </c>
      <c r="R238">
        <v>98</v>
      </c>
      <c r="S238">
        <v>2.4</v>
      </c>
      <c r="T238" s="1" t="s">
        <v>34</v>
      </c>
      <c r="U238" s="1" t="s">
        <v>149</v>
      </c>
      <c r="V238" s="1" t="s">
        <v>130</v>
      </c>
      <c r="W238" s="1" t="s">
        <v>83</v>
      </c>
      <c r="X238">
        <v>360959.60000000003</v>
      </c>
      <c r="Y238" s="1" t="s">
        <v>2082</v>
      </c>
      <c r="Z238" s="1" t="s">
        <v>2080</v>
      </c>
      <c r="AO238" t="str">
        <v>P00286</v>
      </c>
    </row>
    <row r="239" spans="1:41" x14ac:dyDescent="0.35">
      <c r="A239" s="1" t="s">
        <v>882</v>
      </c>
      <c r="B239" s="1" t="s">
        <v>883</v>
      </c>
      <c r="C239">
        <v>31</v>
      </c>
      <c r="D239" s="1" t="s">
        <v>119</v>
      </c>
      <c r="E239" s="1" t="s">
        <v>26</v>
      </c>
      <c r="F239" s="1" t="s">
        <v>120</v>
      </c>
      <c r="G239" s="2">
        <v>45828</v>
      </c>
      <c r="H239" s="2">
        <v>45833</v>
      </c>
      <c r="I239" s="1" t="s">
        <v>277</v>
      </c>
      <c r="J239" s="1" t="s">
        <v>141</v>
      </c>
      <c r="K239" s="1" t="s">
        <v>81</v>
      </c>
      <c r="L239" s="1" t="s">
        <v>32</v>
      </c>
      <c r="M239" s="1" t="s">
        <v>2085</v>
      </c>
      <c r="N239">
        <v>187996.01</v>
      </c>
      <c r="O239">
        <v>5141.2700000000004</v>
      </c>
      <c r="P239">
        <v>0</v>
      </c>
      <c r="Q239">
        <v>5</v>
      </c>
      <c r="R239">
        <v>80</v>
      </c>
      <c r="S239">
        <v>5</v>
      </c>
      <c r="T239" s="1" t="s">
        <v>46</v>
      </c>
      <c r="U239" s="1" t="s">
        <v>35</v>
      </c>
      <c r="V239" s="1" t="s">
        <v>102</v>
      </c>
      <c r="W239" s="1" t="s">
        <v>83</v>
      </c>
      <c r="X239">
        <v>193137.28</v>
      </c>
      <c r="Y239" s="1" t="s">
        <v>2082</v>
      </c>
      <c r="Z239" s="1" t="s">
        <v>2080</v>
      </c>
      <c r="AO239" t="str">
        <v>P00287</v>
      </c>
    </row>
    <row r="240" spans="1:41" x14ac:dyDescent="0.35">
      <c r="A240" s="1" t="s">
        <v>885</v>
      </c>
      <c r="B240" s="1" t="s">
        <v>377</v>
      </c>
      <c r="C240">
        <v>42</v>
      </c>
      <c r="D240" s="1" t="s">
        <v>119</v>
      </c>
      <c r="E240" s="1" t="s">
        <v>177</v>
      </c>
      <c r="F240" s="1" t="s">
        <v>120</v>
      </c>
      <c r="G240" s="2">
        <v>46055</v>
      </c>
      <c r="H240" s="2">
        <v>46060</v>
      </c>
      <c r="I240" s="1" t="s">
        <v>159</v>
      </c>
      <c r="J240" s="1" t="s">
        <v>87</v>
      </c>
      <c r="K240" s="1" t="s">
        <v>163</v>
      </c>
      <c r="L240" s="1" t="s">
        <v>32</v>
      </c>
      <c r="M240" s="1" t="s">
        <v>2089</v>
      </c>
      <c r="N240">
        <v>183195.28</v>
      </c>
      <c r="O240">
        <v>30561.65</v>
      </c>
      <c r="P240">
        <v>61413.57</v>
      </c>
      <c r="Q240">
        <v>5</v>
      </c>
      <c r="R240">
        <v>6</v>
      </c>
      <c r="S240">
        <v>5</v>
      </c>
      <c r="T240" s="1" t="s">
        <v>46</v>
      </c>
      <c r="U240" s="1" t="s">
        <v>95</v>
      </c>
      <c r="V240" s="1" t="s">
        <v>130</v>
      </c>
      <c r="W240" s="1" t="s">
        <v>59</v>
      </c>
      <c r="X240">
        <v>275170.5</v>
      </c>
      <c r="Y240" s="1" t="s">
        <v>2079</v>
      </c>
      <c r="Z240" s="1" t="s">
        <v>2083</v>
      </c>
      <c r="AO240" t="str">
        <v>P00288</v>
      </c>
    </row>
    <row r="241" spans="1:41" x14ac:dyDescent="0.35">
      <c r="A241" s="1" t="s">
        <v>886</v>
      </c>
      <c r="B241" s="1" t="s">
        <v>653</v>
      </c>
      <c r="C241">
        <v>58</v>
      </c>
      <c r="D241" s="1" t="s">
        <v>25</v>
      </c>
      <c r="E241" s="1" t="s">
        <v>192</v>
      </c>
      <c r="F241" s="1" t="s">
        <v>120</v>
      </c>
      <c r="G241" s="2">
        <v>45772</v>
      </c>
      <c r="H241" s="2">
        <v>45777</v>
      </c>
      <c r="I241" s="1" t="s">
        <v>273</v>
      </c>
      <c r="J241" s="1" t="s">
        <v>137</v>
      </c>
      <c r="K241" s="1" t="s">
        <v>91</v>
      </c>
      <c r="L241" s="1" t="s">
        <v>32</v>
      </c>
      <c r="M241" s="1" t="s">
        <v>2078</v>
      </c>
      <c r="N241">
        <v>281386.59999999998</v>
      </c>
      <c r="O241">
        <v>30490.42</v>
      </c>
      <c r="P241">
        <v>65185.84</v>
      </c>
      <c r="Q241">
        <v>5</v>
      </c>
      <c r="R241">
        <v>139</v>
      </c>
      <c r="S241">
        <v>3.2</v>
      </c>
      <c r="T241" s="1" t="s">
        <v>34</v>
      </c>
      <c r="U241" s="1" t="s">
        <v>101</v>
      </c>
      <c r="V241" s="1" t="s">
        <v>130</v>
      </c>
      <c r="W241" s="1" t="s">
        <v>131</v>
      </c>
      <c r="X241">
        <v>377062.86</v>
      </c>
      <c r="Y241" s="1" t="s">
        <v>2079</v>
      </c>
      <c r="Z241" s="1" t="s">
        <v>2080</v>
      </c>
      <c r="AO241" t="str">
        <v>P00289</v>
      </c>
    </row>
    <row r="242" spans="1:41" x14ac:dyDescent="0.35">
      <c r="A242" s="1" t="s">
        <v>888</v>
      </c>
      <c r="B242" s="1" t="s">
        <v>415</v>
      </c>
      <c r="C242">
        <v>45</v>
      </c>
      <c r="D242" s="1" t="s">
        <v>25</v>
      </c>
      <c r="E242" s="1" t="s">
        <v>192</v>
      </c>
      <c r="F242" s="1" t="s">
        <v>227</v>
      </c>
      <c r="G242" s="2">
        <v>45473</v>
      </c>
      <c r="H242" s="2">
        <v>45475</v>
      </c>
      <c r="I242" s="1" t="s">
        <v>235</v>
      </c>
      <c r="J242" s="1" t="s">
        <v>137</v>
      </c>
      <c r="K242" s="1" t="s">
        <v>91</v>
      </c>
      <c r="L242" s="1" t="s">
        <v>32</v>
      </c>
      <c r="M242" s="1" t="s">
        <v>2086</v>
      </c>
      <c r="N242">
        <v>436862.82</v>
      </c>
      <c r="O242">
        <v>0</v>
      </c>
      <c r="P242">
        <v>974.24</v>
      </c>
      <c r="Q242">
        <v>2</v>
      </c>
      <c r="R242">
        <v>107</v>
      </c>
      <c r="S242">
        <v>3.8</v>
      </c>
      <c r="T242" s="1" t="s">
        <v>46</v>
      </c>
      <c r="U242" s="1" t="s">
        <v>95</v>
      </c>
      <c r="V242" s="1" t="s">
        <v>130</v>
      </c>
      <c r="W242" s="1" t="s">
        <v>83</v>
      </c>
      <c r="X242">
        <v>437837.06</v>
      </c>
      <c r="Y242" s="1" t="s">
        <v>2079</v>
      </c>
      <c r="Z242" s="1" t="s">
        <v>2080</v>
      </c>
      <c r="AO242" t="str">
        <v>P00290</v>
      </c>
    </row>
    <row r="243" spans="1:41" x14ac:dyDescent="0.35">
      <c r="A243" s="1" t="s">
        <v>890</v>
      </c>
      <c r="B243" s="1" t="s">
        <v>891</v>
      </c>
      <c r="C243">
        <v>48</v>
      </c>
      <c r="D243" s="1" t="s">
        <v>25</v>
      </c>
      <c r="E243" s="1" t="s">
        <v>86</v>
      </c>
      <c r="F243" s="1" t="s">
        <v>41</v>
      </c>
      <c r="G243" s="2">
        <v>45331</v>
      </c>
      <c r="H243" s="2">
        <v>45334</v>
      </c>
      <c r="I243" s="1" t="s">
        <v>53</v>
      </c>
      <c r="J243" s="1" t="s">
        <v>137</v>
      </c>
      <c r="K243" s="1" t="s">
        <v>31</v>
      </c>
      <c r="L243" s="1" t="s">
        <v>32</v>
      </c>
      <c r="M243" s="1" t="s">
        <v>2089</v>
      </c>
      <c r="N243">
        <v>188751.68</v>
      </c>
      <c r="O243">
        <v>67246.59</v>
      </c>
      <c r="P243">
        <v>0</v>
      </c>
      <c r="Q243">
        <v>3</v>
      </c>
      <c r="R243">
        <v>32</v>
      </c>
      <c r="S243">
        <v>3.6</v>
      </c>
      <c r="T243" s="1" t="s">
        <v>46</v>
      </c>
      <c r="U243" s="1" t="s">
        <v>95</v>
      </c>
      <c r="V243" s="1" t="s">
        <v>130</v>
      </c>
      <c r="W243" s="1" t="s">
        <v>83</v>
      </c>
      <c r="X243">
        <v>255998.27</v>
      </c>
      <c r="Y243" s="1" t="s">
        <v>2079</v>
      </c>
      <c r="Z243" s="1" t="s">
        <v>2091</v>
      </c>
      <c r="AO243" t="str">
        <v>P00291</v>
      </c>
    </row>
    <row r="244" spans="1:41" x14ac:dyDescent="0.35">
      <c r="A244" s="1" t="s">
        <v>893</v>
      </c>
      <c r="B244" s="1" t="s">
        <v>199</v>
      </c>
      <c r="C244">
        <v>39</v>
      </c>
      <c r="D244" s="1" t="s">
        <v>119</v>
      </c>
      <c r="E244" s="1" t="s">
        <v>26</v>
      </c>
      <c r="F244" s="1" t="s">
        <v>63</v>
      </c>
      <c r="G244" s="2">
        <v>45764</v>
      </c>
      <c r="H244" s="2">
        <v>45765</v>
      </c>
      <c r="I244" s="1" t="s">
        <v>53</v>
      </c>
      <c r="J244" s="1" t="s">
        <v>87</v>
      </c>
      <c r="K244" s="1" t="s">
        <v>174</v>
      </c>
      <c r="L244" s="1" t="s">
        <v>32</v>
      </c>
      <c r="M244" s="1" t="s">
        <v>2090</v>
      </c>
      <c r="N244">
        <v>452605.82</v>
      </c>
      <c r="O244">
        <v>30522.16</v>
      </c>
      <c r="P244">
        <v>51921.03</v>
      </c>
      <c r="Q244">
        <v>1</v>
      </c>
      <c r="R244">
        <v>0</v>
      </c>
      <c r="S244">
        <v>2.9</v>
      </c>
      <c r="T244" s="1" t="s">
        <v>34</v>
      </c>
      <c r="U244" s="1" t="s">
        <v>95</v>
      </c>
      <c r="V244" s="1" t="s">
        <v>75</v>
      </c>
      <c r="W244" s="1" t="s">
        <v>83</v>
      </c>
      <c r="X244">
        <v>535049.01</v>
      </c>
      <c r="Y244" s="1" t="s">
        <v>2079</v>
      </c>
      <c r="Z244" s="1" t="s">
        <v>2083</v>
      </c>
      <c r="AO244" t="str">
        <v>P00292</v>
      </c>
    </row>
    <row r="245" spans="1:41" x14ac:dyDescent="0.35">
      <c r="A245" s="1" t="s">
        <v>895</v>
      </c>
      <c r="B245" s="1" t="s">
        <v>815</v>
      </c>
      <c r="C245">
        <v>36</v>
      </c>
      <c r="D245" s="1" t="s">
        <v>119</v>
      </c>
      <c r="E245" s="1" t="s">
        <v>26</v>
      </c>
      <c r="F245" s="1" t="s">
        <v>135</v>
      </c>
      <c r="G245" s="2">
        <v>45623</v>
      </c>
      <c r="H245" s="2">
        <v>45625</v>
      </c>
      <c r="I245" s="1" t="s">
        <v>53</v>
      </c>
      <c r="J245" s="1" t="s">
        <v>90</v>
      </c>
      <c r="K245" s="1" t="s">
        <v>55</v>
      </c>
      <c r="L245" s="1" t="s">
        <v>32</v>
      </c>
      <c r="M245" s="1" t="s">
        <v>2090</v>
      </c>
      <c r="N245">
        <v>399430.13</v>
      </c>
      <c r="O245">
        <v>43942.28</v>
      </c>
      <c r="P245">
        <v>11656.26</v>
      </c>
      <c r="Q245">
        <v>2</v>
      </c>
      <c r="R245">
        <v>113</v>
      </c>
      <c r="S245">
        <v>4.3</v>
      </c>
      <c r="T245" s="1" t="s">
        <v>34</v>
      </c>
      <c r="U245" s="1" t="s">
        <v>95</v>
      </c>
      <c r="V245" s="1" t="s">
        <v>102</v>
      </c>
      <c r="W245" s="1" t="s">
        <v>83</v>
      </c>
      <c r="X245">
        <v>455028.67000000004</v>
      </c>
      <c r="Y245" s="1" t="s">
        <v>2079</v>
      </c>
      <c r="Z245" s="1" t="s">
        <v>2080</v>
      </c>
      <c r="AO245" t="str">
        <v>P00293</v>
      </c>
    </row>
    <row r="246" spans="1:41" x14ac:dyDescent="0.35">
      <c r="A246" s="1" t="s">
        <v>896</v>
      </c>
      <c r="B246" s="1" t="s">
        <v>344</v>
      </c>
      <c r="C246">
        <v>77</v>
      </c>
      <c r="D246" s="1" t="s">
        <v>119</v>
      </c>
      <c r="E246" s="1" t="s">
        <v>26</v>
      </c>
      <c r="F246" s="1" t="s">
        <v>145</v>
      </c>
      <c r="G246" s="2">
        <v>45685</v>
      </c>
      <c r="H246" s="2">
        <v>45692</v>
      </c>
      <c r="I246" s="1" t="s">
        <v>273</v>
      </c>
      <c r="J246" s="1" t="s">
        <v>141</v>
      </c>
      <c r="K246" s="1" t="s">
        <v>148</v>
      </c>
      <c r="L246" s="1" t="s">
        <v>32</v>
      </c>
      <c r="M246" s="1" t="s">
        <v>2085</v>
      </c>
      <c r="N246">
        <v>77886.81</v>
      </c>
      <c r="O246">
        <v>9728.56</v>
      </c>
      <c r="P246">
        <v>7272.66</v>
      </c>
      <c r="Q246">
        <v>7</v>
      </c>
      <c r="R246">
        <v>77</v>
      </c>
      <c r="S246">
        <v>4.3</v>
      </c>
      <c r="T246" s="1" t="s">
        <v>46</v>
      </c>
      <c r="U246" s="1" t="s">
        <v>149</v>
      </c>
      <c r="V246" s="1" t="s">
        <v>102</v>
      </c>
      <c r="W246" s="1" t="s">
        <v>83</v>
      </c>
      <c r="X246">
        <v>94888.03</v>
      </c>
      <c r="Y246" s="1" t="s">
        <v>2088</v>
      </c>
      <c r="Z246" s="1" t="s">
        <v>2080</v>
      </c>
      <c r="AO246" t="str">
        <v>P00294</v>
      </c>
    </row>
    <row r="247" spans="1:41" x14ac:dyDescent="0.35">
      <c r="A247" s="1" t="s">
        <v>898</v>
      </c>
      <c r="B247" s="1" t="s">
        <v>899</v>
      </c>
      <c r="C247">
        <v>41</v>
      </c>
      <c r="D247" s="1" t="s">
        <v>25</v>
      </c>
      <c r="E247" s="1" t="s">
        <v>177</v>
      </c>
      <c r="F247" s="1" t="s">
        <v>108</v>
      </c>
      <c r="G247" s="2">
        <v>45477</v>
      </c>
      <c r="H247" s="2">
        <v>45483</v>
      </c>
      <c r="I247" s="1" t="s">
        <v>273</v>
      </c>
      <c r="J247" s="1" t="s">
        <v>90</v>
      </c>
      <c r="K247" s="1" t="s">
        <v>148</v>
      </c>
      <c r="L247" s="1" t="s">
        <v>66</v>
      </c>
      <c r="M247" s="1" t="s">
        <v>2089</v>
      </c>
      <c r="N247">
        <v>175221.35</v>
      </c>
      <c r="O247">
        <v>33793.949999999997</v>
      </c>
      <c r="P247">
        <v>19945.71</v>
      </c>
      <c r="Q247">
        <v>6</v>
      </c>
      <c r="R247">
        <v>251</v>
      </c>
      <c r="S247">
        <v>1.6</v>
      </c>
      <c r="T247" s="1" t="s">
        <v>34</v>
      </c>
      <c r="U247" s="1" t="s">
        <v>149</v>
      </c>
      <c r="V247" s="1" t="s">
        <v>102</v>
      </c>
      <c r="W247" s="1" t="s">
        <v>83</v>
      </c>
      <c r="X247">
        <v>228961.00999999998</v>
      </c>
      <c r="Y247" s="1" t="s">
        <v>2079</v>
      </c>
      <c r="Z247" s="1" t="s">
        <v>2080</v>
      </c>
      <c r="AO247" t="str">
        <v>P00295</v>
      </c>
    </row>
    <row r="248" spans="1:41" x14ac:dyDescent="0.35">
      <c r="A248" s="1" t="s">
        <v>901</v>
      </c>
      <c r="B248" s="1" t="s">
        <v>508</v>
      </c>
      <c r="C248">
        <v>87</v>
      </c>
      <c r="D248" s="1" t="s">
        <v>25</v>
      </c>
      <c r="E248" s="1" t="s">
        <v>26</v>
      </c>
      <c r="F248" s="1" t="s">
        <v>108</v>
      </c>
      <c r="G248" s="2">
        <v>45744</v>
      </c>
      <c r="H248" s="2">
        <v>45747</v>
      </c>
      <c r="I248" s="1" t="s">
        <v>29</v>
      </c>
      <c r="J248" s="1" t="s">
        <v>90</v>
      </c>
      <c r="K248" s="1" t="s">
        <v>148</v>
      </c>
      <c r="L248" s="1" t="s">
        <v>32</v>
      </c>
      <c r="M248" s="1" t="s">
        <v>2092</v>
      </c>
      <c r="N248">
        <v>220951.98</v>
      </c>
      <c r="O248">
        <v>25249.02</v>
      </c>
      <c r="P248">
        <v>34276.639999999999</v>
      </c>
      <c r="Q248">
        <v>3</v>
      </c>
      <c r="R248">
        <v>81</v>
      </c>
      <c r="S248">
        <v>5</v>
      </c>
      <c r="T248" s="1" t="s">
        <v>34</v>
      </c>
      <c r="U248" s="1" t="s">
        <v>149</v>
      </c>
      <c r="V248" s="1" t="s">
        <v>102</v>
      </c>
      <c r="W248" s="1" t="s">
        <v>36</v>
      </c>
      <c r="X248">
        <v>280477.64</v>
      </c>
      <c r="Y248" s="1" t="s">
        <v>2088</v>
      </c>
      <c r="Z248" s="1" t="s">
        <v>2080</v>
      </c>
      <c r="AO248" t="str">
        <v>P00296</v>
      </c>
    </row>
    <row r="249" spans="1:41" x14ac:dyDescent="0.35">
      <c r="A249" s="1" t="s">
        <v>903</v>
      </c>
      <c r="B249" s="1" t="s">
        <v>904</v>
      </c>
      <c r="C249">
        <v>76</v>
      </c>
      <c r="D249" s="1" t="s">
        <v>25</v>
      </c>
      <c r="E249" s="1" t="s">
        <v>51</v>
      </c>
      <c r="F249" s="1" t="s">
        <v>120</v>
      </c>
      <c r="G249" s="2">
        <v>45631</v>
      </c>
      <c r="H249" s="2">
        <v>45632</v>
      </c>
      <c r="I249" s="1" t="s">
        <v>273</v>
      </c>
      <c r="J249" s="1" t="s">
        <v>147</v>
      </c>
      <c r="K249" s="1" t="s">
        <v>163</v>
      </c>
      <c r="L249" s="1" t="s">
        <v>32</v>
      </c>
      <c r="M249" s="1" t="s">
        <v>2087</v>
      </c>
      <c r="N249">
        <v>20646</v>
      </c>
      <c r="O249">
        <v>23333.69</v>
      </c>
      <c r="P249">
        <v>32122.67</v>
      </c>
      <c r="Q249">
        <v>1</v>
      </c>
      <c r="R249">
        <v>139</v>
      </c>
      <c r="S249">
        <v>1.6</v>
      </c>
      <c r="T249" s="1" t="s">
        <v>34</v>
      </c>
      <c r="U249" s="1" t="s">
        <v>149</v>
      </c>
      <c r="V249" s="1" t="s">
        <v>102</v>
      </c>
      <c r="W249" s="1" t="s">
        <v>83</v>
      </c>
      <c r="X249">
        <v>76102.36</v>
      </c>
      <c r="Y249" s="1" t="s">
        <v>2088</v>
      </c>
      <c r="Z249" s="1" t="s">
        <v>2080</v>
      </c>
      <c r="AO249" t="str">
        <v>P00297</v>
      </c>
    </row>
    <row r="250" spans="1:41" x14ac:dyDescent="0.35">
      <c r="A250" s="1" t="s">
        <v>905</v>
      </c>
      <c r="B250" s="1" t="s">
        <v>397</v>
      </c>
      <c r="C250">
        <v>87</v>
      </c>
      <c r="D250" s="1" t="s">
        <v>25</v>
      </c>
      <c r="E250" s="1" t="s">
        <v>107</v>
      </c>
      <c r="F250" s="1" t="s">
        <v>41</v>
      </c>
      <c r="G250" s="2">
        <v>45729</v>
      </c>
      <c r="H250" s="2">
        <v>45733</v>
      </c>
      <c r="I250" s="1" t="s">
        <v>277</v>
      </c>
      <c r="J250" s="1" t="s">
        <v>87</v>
      </c>
      <c r="K250" s="1" t="s">
        <v>55</v>
      </c>
      <c r="L250" s="1" t="s">
        <v>32</v>
      </c>
      <c r="M250" s="1" t="s">
        <v>2087</v>
      </c>
      <c r="N250">
        <v>29155.64</v>
      </c>
      <c r="O250">
        <v>34742.65</v>
      </c>
      <c r="P250">
        <v>25140.53</v>
      </c>
      <c r="Q250">
        <v>4</v>
      </c>
      <c r="R250">
        <v>126</v>
      </c>
      <c r="S250">
        <v>3.7</v>
      </c>
      <c r="T250" s="1" t="s">
        <v>34</v>
      </c>
      <c r="U250" s="1" t="s">
        <v>149</v>
      </c>
      <c r="V250" s="1" t="s">
        <v>130</v>
      </c>
      <c r="W250" s="1" t="s">
        <v>59</v>
      </c>
      <c r="X250">
        <v>89038.82</v>
      </c>
      <c r="Y250" s="1" t="s">
        <v>2088</v>
      </c>
      <c r="Z250" s="1" t="s">
        <v>2080</v>
      </c>
      <c r="AO250" t="str">
        <v>P00298</v>
      </c>
    </row>
    <row r="251" spans="1:41" x14ac:dyDescent="0.35">
      <c r="A251" s="1" t="s">
        <v>907</v>
      </c>
      <c r="B251" s="1" t="s">
        <v>494</v>
      </c>
      <c r="C251">
        <v>53</v>
      </c>
      <c r="D251" s="1" t="s">
        <v>119</v>
      </c>
      <c r="E251" s="1" t="s">
        <v>26</v>
      </c>
      <c r="F251" s="1" t="s">
        <v>193</v>
      </c>
      <c r="G251" s="2">
        <v>46033</v>
      </c>
      <c r="H251" s="2">
        <v>46035</v>
      </c>
      <c r="I251" s="1" t="s">
        <v>235</v>
      </c>
      <c r="J251" s="1" t="s">
        <v>2081</v>
      </c>
      <c r="K251" s="1" t="s">
        <v>174</v>
      </c>
      <c r="L251" s="1" t="s">
        <v>32</v>
      </c>
      <c r="M251" s="1" t="s">
        <v>2086</v>
      </c>
      <c r="N251">
        <v>472608.74</v>
      </c>
      <c r="O251">
        <v>25227.41</v>
      </c>
      <c r="P251">
        <v>66592.740000000005</v>
      </c>
      <c r="Q251">
        <v>2</v>
      </c>
      <c r="R251">
        <v>0</v>
      </c>
      <c r="S251">
        <v>2.5</v>
      </c>
      <c r="T251" s="1" t="s">
        <v>34</v>
      </c>
      <c r="U251" s="1" t="s">
        <v>149</v>
      </c>
      <c r="V251" s="1" t="s">
        <v>130</v>
      </c>
      <c r="W251" s="1" t="s">
        <v>59</v>
      </c>
      <c r="X251">
        <v>564428.89</v>
      </c>
      <c r="Y251" s="1" t="s">
        <v>2079</v>
      </c>
      <c r="Z251" s="1" t="s">
        <v>2083</v>
      </c>
      <c r="AO251" t="str">
        <v>P00300</v>
      </c>
    </row>
    <row r="252" spans="1:41" x14ac:dyDescent="0.35">
      <c r="A252" s="1" t="s">
        <v>911</v>
      </c>
      <c r="B252" s="1" t="s">
        <v>438</v>
      </c>
      <c r="C252">
        <v>33</v>
      </c>
      <c r="D252" s="1" t="s">
        <v>119</v>
      </c>
      <c r="E252" s="1" t="s">
        <v>86</v>
      </c>
      <c r="F252" s="1" t="s">
        <v>63</v>
      </c>
      <c r="G252" s="2">
        <v>45580</v>
      </c>
      <c r="H252" s="2">
        <v>45585</v>
      </c>
      <c r="I252" s="1" t="s">
        <v>114</v>
      </c>
      <c r="J252" s="1" t="s">
        <v>54</v>
      </c>
      <c r="K252" s="1" t="s">
        <v>174</v>
      </c>
      <c r="L252" s="1" t="s">
        <v>66</v>
      </c>
      <c r="M252" s="1" t="s">
        <v>2089</v>
      </c>
      <c r="N252">
        <v>154194.1</v>
      </c>
      <c r="O252">
        <v>36646.959999999999</v>
      </c>
      <c r="P252">
        <v>31898.41</v>
      </c>
      <c r="Q252">
        <v>5</v>
      </c>
      <c r="R252">
        <v>90</v>
      </c>
      <c r="S252">
        <v>5</v>
      </c>
      <c r="T252" s="1" t="s">
        <v>34</v>
      </c>
      <c r="U252" s="1" t="s">
        <v>35</v>
      </c>
      <c r="V252" s="1" t="s">
        <v>102</v>
      </c>
      <c r="W252" s="1" t="s">
        <v>131</v>
      </c>
      <c r="X252">
        <v>222739.47</v>
      </c>
      <c r="Y252" s="1" t="s">
        <v>2082</v>
      </c>
      <c r="Z252" s="1" t="s">
        <v>2080</v>
      </c>
      <c r="AO252" t="str">
        <v>P00302</v>
      </c>
    </row>
    <row r="253" spans="1:41" x14ac:dyDescent="0.35">
      <c r="A253" s="1" t="s">
        <v>913</v>
      </c>
      <c r="B253" s="1" t="s">
        <v>697</v>
      </c>
      <c r="C253">
        <v>35</v>
      </c>
      <c r="D253" s="1" t="s">
        <v>25</v>
      </c>
      <c r="E253" s="1" t="s">
        <v>86</v>
      </c>
      <c r="F253" s="1" t="s">
        <v>120</v>
      </c>
      <c r="G253" s="2">
        <v>46236</v>
      </c>
      <c r="H253" s="2">
        <v>46238</v>
      </c>
      <c r="I253" s="1" t="s">
        <v>53</v>
      </c>
      <c r="J253" s="1" t="s">
        <v>141</v>
      </c>
      <c r="K253" s="1" t="s">
        <v>163</v>
      </c>
      <c r="L253" s="1" t="s">
        <v>44</v>
      </c>
      <c r="M253" s="1" t="s">
        <v>2078</v>
      </c>
      <c r="N253">
        <v>129344.15</v>
      </c>
      <c r="O253">
        <v>48604.800000000003</v>
      </c>
      <c r="P253">
        <v>39563.269999999997</v>
      </c>
      <c r="Q253">
        <v>2</v>
      </c>
      <c r="R253">
        <v>46</v>
      </c>
      <c r="S253">
        <v>5</v>
      </c>
      <c r="T253" s="1" t="s">
        <v>46</v>
      </c>
      <c r="U253" s="1" t="s">
        <v>35</v>
      </c>
      <c r="V253" s="1" t="s">
        <v>102</v>
      </c>
      <c r="W253" s="1" t="s">
        <v>131</v>
      </c>
      <c r="X253">
        <v>217512.22</v>
      </c>
      <c r="Y253" s="1" t="s">
        <v>2082</v>
      </c>
      <c r="Z253" s="1" t="s">
        <v>2091</v>
      </c>
      <c r="AO253" t="str">
        <v>P00303</v>
      </c>
    </row>
    <row r="254" spans="1:41" x14ac:dyDescent="0.35">
      <c r="A254" s="1" t="s">
        <v>915</v>
      </c>
      <c r="B254" s="1" t="s">
        <v>916</v>
      </c>
      <c r="C254">
        <v>29</v>
      </c>
      <c r="D254" s="1" t="s">
        <v>25</v>
      </c>
      <c r="E254" s="1" t="s">
        <v>2084</v>
      </c>
      <c r="F254" s="1" t="s">
        <v>120</v>
      </c>
      <c r="G254" s="2">
        <v>45311</v>
      </c>
      <c r="H254" s="2">
        <v>45319</v>
      </c>
      <c r="I254" s="1" t="s">
        <v>173</v>
      </c>
      <c r="J254" s="1" t="s">
        <v>87</v>
      </c>
      <c r="K254" s="1" t="s">
        <v>163</v>
      </c>
      <c r="L254" s="1" t="s">
        <v>66</v>
      </c>
      <c r="M254" s="1" t="s">
        <v>2089</v>
      </c>
      <c r="N254">
        <v>0</v>
      </c>
      <c r="O254">
        <v>55187.839999999997</v>
      </c>
      <c r="P254">
        <v>24461.11</v>
      </c>
      <c r="Q254">
        <v>8</v>
      </c>
      <c r="R254">
        <v>154</v>
      </c>
      <c r="S254">
        <v>1.1000000000000001</v>
      </c>
      <c r="T254" s="1" t="s">
        <v>46</v>
      </c>
      <c r="U254" s="1" t="s">
        <v>35</v>
      </c>
      <c r="V254" s="1" t="s">
        <v>102</v>
      </c>
      <c r="W254" s="1" t="s">
        <v>131</v>
      </c>
      <c r="X254">
        <v>79648.95</v>
      </c>
      <c r="Y254" s="1" t="s">
        <v>2082</v>
      </c>
      <c r="Z254" s="1" t="s">
        <v>2080</v>
      </c>
      <c r="AO254" t="str">
        <v>P00304</v>
      </c>
    </row>
    <row r="255" spans="1:41" x14ac:dyDescent="0.35">
      <c r="A255" s="1" t="s">
        <v>917</v>
      </c>
      <c r="B255" s="1" t="s">
        <v>318</v>
      </c>
      <c r="C255">
        <v>16</v>
      </c>
      <c r="D255" s="1" t="s">
        <v>119</v>
      </c>
      <c r="E255" s="1" t="s">
        <v>26</v>
      </c>
      <c r="F255" s="1" t="s">
        <v>120</v>
      </c>
      <c r="G255" s="2">
        <v>45324</v>
      </c>
      <c r="H255" s="2">
        <v>45329</v>
      </c>
      <c r="I255" s="1" t="s">
        <v>173</v>
      </c>
      <c r="J255" s="1" t="s">
        <v>87</v>
      </c>
      <c r="K255" s="1" t="s">
        <v>31</v>
      </c>
      <c r="L255" s="1" t="s">
        <v>66</v>
      </c>
      <c r="M255" s="1" t="s">
        <v>2090</v>
      </c>
      <c r="N255">
        <v>322306.98</v>
      </c>
      <c r="O255">
        <v>30356.83</v>
      </c>
      <c r="P255">
        <v>16381.82</v>
      </c>
      <c r="Q255">
        <v>5</v>
      </c>
      <c r="R255">
        <v>64</v>
      </c>
      <c r="S255">
        <v>4.5999999999999996</v>
      </c>
      <c r="T255" s="1" t="s">
        <v>34</v>
      </c>
      <c r="U255" s="1" t="s">
        <v>95</v>
      </c>
      <c r="V255" s="1" t="s">
        <v>130</v>
      </c>
      <c r="W255" s="1" t="s">
        <v>131</v>
      </c>
      <c r="X255">
        <v>369045.63</v>
      </c>
      <c r="Y255" s="1" t="s">
        <v>2093</v>
      </c>
      <c r="Z255" s="1" t="s">
        <v>2080</v>
      </c>
      <c r="AO255" t="str">
        <v>P00305</v>
      </c>
    </row>
    <row r="256" spans="1:41" x14ac:dyDescent="0.35">
      <c r="A256" s="1" t="s">
        <v>919</v>
      </c>
      <c r="B256" s="1" t="s">
        <v>920</v>
      </c>
      <c r="C256">
        <v>55</v>
      </c>
      <c r="D256" s="1" t="s">
        <v>119</v>
      </c>
      <c r="E256" s="1" t="s">
        <v>26</v>
      </c>
      <c r="F256" s="1" t="s">
        <v>145</v>
      </c>
      <c r="G256" s="2">
        <v>45810</v>
      </c>
      <c r="H256" s="2">
        <v>45813</v>
      </c>
      <c r="I256" s="1" t="s">
        <v>277</v>
      </c>
      <c r="J256" s="1" t="s">
        <v>30</v>
      </c>
      <c r="K256" s="1" t="s">
        <v>122</v>
      </c>
      <c r="L256" s="1" t="s">
        <v>44</v>
      </c>
      <c r="M256" s="1" t="s">
        <v>57</v>
      </c>
      <c r="N256">
        <v>496701.68</v>
      </c>
      <c r="O256">
        <v>0</v>
      </c>
      <c r="P256">
        <v>93516.38</v>
      </c>
      <c r="Q256">
        <v>3</v>
      </c>
      <c r="R256">
        <v>102</v>
      </c>
      <c r="S256">
        <v>2.5</v>
      </c>
      <c r="T256" s="1" t="s">
        <v>34</v>
      </c>
      <c r="U256" s="1" t="s">
        <v>95</v>
      </c>
      <c r="V256" s="1" t="s">
        <v>102</v>
      </c>
      <c r="W256" s="1" t="s">
        <v>83</v>
      </c>
      <c r="X256">
        <v>590218.06000000006</v>
      </c>
      <c r="Y256" s="1" t="s">
        <v>2079</v>
      </c>
      <c r="Z256" s="1" t="s">
        <v>2080</v>
      </c>
      <c r="AO256" t="str">
        <v>P00306</v>
      </c>
    </row>
    <row r="257" spans="1:41" x14ac:dyDescent="0.35">
      <c r="A257" s="1" t="s">
        <v>922</v>
      </c>
      <c r="B257" s="1" t="s">
        <v>923</v>
      </c>
      <c r="C257">
        <v>38</v>
      </c>
      <c r="D257" s="1" t="s">
        <v>25</v>
      </c>
      <c r="E257" s="1" t="s">
        <v>26</v>
      </c>
      <c r="F257" s="1" t="s">
        <v>63</v>
      </c>
      <c r="G257" s="2">
        <v>46177</v>
      </c>
      <c r="H257" s="2">
        <v>46178</v>
      </c>
      <c r="I257" s="1" t="s">
        <v>53</v>
      </c>
      <c r="J257" s="1" t="s">
        <v>141</v>
      </c>
      <c r="K257" s="1" t="s">
        <v>91</v>
      </c>
      <c r="L257" s="1" t="s">
        <v>32</v>
      </c>
      <c r="M257" s="1" t="s">
        <v>57</v>
      </c>
      <c r="N257">
        <v>349031.02</v>
      </c>
      <c r="O257">
        <v>26811.27</v>
      </c>
      <c r="P257">
        <v>90334.65</v>
      </c>
      <c r="Q257">
        <v>1</v>
      </c>
      <c r="R257">
        <v>0</v>
      </c>
      <c r="S257">
        <v>3.7</v>
      </c>
      <c r="T257" s="1" t="s">
        <v>34</v>
      </c>
      <c r="U257" s="1" t="s">
        <v>95</v>
      </c>
      <c r="V257" s="1" t="s">
        <v>130</v>
      </c>
      <c r="W257" s="1" t="s">
        <v>131</v>
      </c>
      <c r="X257">
        <v>466176.94000000006</v>
      </c>
      <c r="Y257" s="1" t="s">
        <v>2079</v>
      </c>
      <c r="Z257" s="1" t="s">
        <v>2083</v>
      </c>
      <c r="AO257" t="str">
        <v>P00307</v>
      </c>
    </row>
    <row r="258" spans="1:41" x14ac:dyDescent="0.35">
      <c r="A258" s="1" t="s">
        <v>924</v>
      </c>
      <c r="B258" s="1" t="s">
        <v>569</v>
      </c>
      <c r="C258">
        <v>50</v>
      </c>
      <c r="D258" s="1" t="s">
        <v>119</v>
      </c>
      <c r="E258" s="1" t="s">
        <v>263</v>
      </c>
      <c r="F258" s="1" t="s">
        <v>145</v>
      </c>
      <c r="G258" s="2">
        <v>45489</v>
      </c>
      <c r="H258" s="2">
        <v>45490</v>
      </c>
      <c r="I258" s="1" t="s">
        <v>235</v>
      </c>
      <c r="J258" s="1" t="s">
        <v>2081</v>
      </c>
      <c r="K258" s="1" t="s">
        <v>91</v>
      </c>
      <c r="L258" s="1" t="s">
        <v>32</v>
      </c>
      <c r="M258" s="1" t="s">
        <v>57</v>
      </c>
      <c r="N258">
        <v>344164.23</v>
      </c>
      <c r="O258">
        <v>19480.96</v>
      </c>
      <c r="P258">
        <v>0</v>
      </c>
      <c r="Q258">
        <v>1</v>
      </c>
      <c r="R258">
        <v>109</v>
      </c>
      <c r="S258">
        <v>4.3</v>
      </c>
      <c r="T258" s="1" t="s">
        <v>34</v>
      </c>
      <c r="U258" s="1" t="s">
        <v>149</v>
      </c>
      <c r="V258" s="1" t="s">
        <v>102</v>
      </c>
      <c r="W258" s="1" t="s">
        <v>12</v>
      </c>
      <c r="X258">
        <v>363645.19</v>
      </c>
      <c r="Y258" s="1" t="s">
        <v>2079</v>
      </c>
      <c r="Z258" s="1" t="s">
        <v>2080</v>
      </c>
      <c r="AO258" t="str">
        <v>P00308</v>
      </c>
    </row>
    <row r="259" spans="1:41" x14ac:dyDescent="0.35">
      <c r="A259" s="1" t="s">
        <v>926</v>
      </c>
      <c r="B259" s="1" t="s">
        <v>770</v>
      </c>
      <c r="C259">
        <v>70</v>
      </c>
      <c r="D259" s="1" t="s">
        <v>119</v>
      </c>
      <c r="E259" s="1" t="s">
        <v>107</v>
      </c>
      <c r="F259" s="1" t="s">
        <v>193</v>
      </c>
      <c r="G259" s="2">
        <v>45569</v>
      </c>
      <c r="H259" s="2">
        <v>45573</v>
      </c>
      <c r="I259" s="1" t="s">
        <v>257</v>
      </c>
      <c r="J259" s="1" t="s">
        <v>147</v>
      </c>
      <c r="K259" s="1" t="s">
        <v>55</v>
      </c>
      <c r="L259" s="1" t="s">
        <v>66</v>
      </c>
      <c r="M259" s="1" t="s">
        <v>2086</v>
      </c>
      <c r="N259">
        <v>70052.479999999996</v>
      </c>
      <c r="O259">
        <v>47005.4</v>
      </c>
      <c r="P259">
        <v>80775.23</v>
      </c>
      <c r="Q259">
        <v>4</v>
      </c>
      <c r="R259">
        <v>0</v>
      </c>
      <c r="S259">
        <v>4.0999999999999996</v>
      </c>
      <c r="T259" s="1" t="s">
        <v>34</v>
      </c>
      <c r="U259" s="1" t="s">
        <v>149</v>
      </c>
      <c r="V259" s="1" t="s">
        <v>130</v>
      </c>
      <c r="W259" s="1" t="s">
        <v>83</v>
      </c>
      <c r="X259">
        <v>197833.11</v>
      </c>
      <c r="Y259" s="1" t="s">
        <v>2088</v>
      </c>
      <c r="Z259" s="1" t="s">
        <v>2083</v>
      </c>
      <c r="AO259" t="str">
        <v>P00309</v>
      </c>
    </row>
    <row r="260" spans="1:41" x14ac:dyDescent="0.35">
      <c r="A260" s="1" t="s">
        <v>928</v>
      </c>
      <c r="B260" s="1" t="s">
        <v>929</v>
      </c>
      <c r="C260">
        <v>41</v>
      </c>
      <c r="D260" s="1" t="s">
        <v>25</v>
      </c>
      <c r="E260" s="1" t="s">
        <v>219</v>
      </c>
      <c r="F260" s="1" t="s">
        <v>63</v>
      </c>
      <c r="G260" s="2">
        <v>45475</v>
      </c>
      <c r="H260" s="2">
        <v>45477</v>
      </c>
      <c r="I260" s="1" t="s">
        <v>235</v>
      </c>
      <c r="J260" s="1" t="s">
        <v>147</v>
      </c>
      <c r="K260" s="1" t="s">
        <v>31</v>
      </c>
      <c r="L260" s="1" t="s">
        <v>66</v>
      </c>
      <c r="M260" s="1" t="s">
        <v>2078</v>
      </c>
      <c r="N260">
        <v>268674.71000000002</v>
      </c>
      <c r="O260">
        <v>17819.29</v>
      </c>
      <c r="P260">
        <v>24728.76</v>
      </c>
      <c r="Q260">
        <v>2</v>
      </c>
      <c r="R260">
        <v>97</v>
      </c>
      <c r="S260">
        <v>2.2999999999999998</v>
      </c>
      <c r="T260" s="1" t="s">
        <v>34</v>
      </c>
      <c r="U260" s="1" t="s">
        <v>35</v>
      </c>
      <c r="V260" s="1" t="s">
        <v>130</v>
      </c>
      <c r="W260" s="1" t="s">
        <v>83</v>
      </c>
      <c r="X260">
        <v>311222.76</v>
      </c>
      <c r="Y260" s="1" t="s">
        <v>2079</v>
      </c>
      <c r="Z260" s="1" t="s">
        <v>2080</v>
      </c>
      <c r="AO260" t="str">
        <v>P00310</v>
      </c>
    </row>
    <row r="261" spans="1:41" x14ac:dyDescent="0.35">
      <c r="A261" s="1" t="s">
        <v>930</v>
      </c>
      <c r="B261" s="1" t="s">
        <v>931</v>
      </c>
      <c r="C261">
        <v>57</v>
      </c>
      <c r="D261" s="1" t="s">
        <v>25</v>
      </c>
      <c r="E261" s="1" t="s">
        <v>177</v>
      </c>
      <c r="F261" s="1" t="s">
        <v>63</v>
      </c>
      <c r="G261" s="2">
        <v>45529</v>
      </c>
      <c r="H261" s="2">
        <v>45530</v>
      </c>
      <c r="I261" s="1" t="s">
        <v>29</v>
      </c>
      <c r="J261" s="1" t="s">
        <v>147</v>
      </c>
      <c r="K261" s="1" t="s">
        <v>122</v>
      </c>
      <c r="L261" s="1" t="s">
        <v>44</v>
      </c>
      <c r="M261" s="1" t="s">
        <v>2078</v>
      </c>
      <c r="N261">
        <v>59168.84</v>
      </c>
      <c r="O261">
        <v>46657.81</v>
      </c>
      <c r="P261">
        <v>58877.74</v>
      </c>
      <c r="Q261">
        <v>1</v>
      </c>
      <c r="R261">
        <v>0</v>
      </c>
      <c r="S261">
        <v>2.8</v>
      </c>
      <c r="T261" s="1" t="s">
        <v>46</v>
      </c>
      <c r="U261" s="1" t="s">
        <v>35</v>
      </c>
      <c r="V261" s="1" t="s">
        <v>102</v>
      </c>
      <c r="W261" s="1" t="s">
        <v>83</v>
      </c>
      <c r="X261">
        <v>164704.38999999998</v>
      </c>
      <c r="Y261" s="1" t="s">
        <v>2079</v>
      </c>
      <c r="Z261" s="1" t="s">
        <v>2083</v>
      </c>
      <c r="AO261" t="str">
        <v>P00311</v>
      </c>
    </row>
    <row r="262" spans="1:41" x14ac:dyDescent="0.35">
      <c r="A262" s="1" t="s">
        <v>933</v>
      </c>
      <c r="B262" s="1" t="s">
        <v>540</v>
      </c>
      <c r="C262">
        <v>21</v>
      </c>
      <c r="D262" s="1" t="s">
        <v>25</v>
      </c>
      <c r="E262" s="1" t="s">
        <v>177</v>
      </c>
      <c r="F262" s="1" t="s">
        <v>145</v>
      </c>
      <c r="G262" s="2">
        <v>46078</v>
      </c>
      <c r="H262" s="2">
        <v>46085</v>
      </c>
      <c r="I262" s="1" t="s">
        <v>127</v>
      </c>
      <c r="J262" s="1" t="s">
        <v>115</v>
      </c>
      <c r="K262" s="1" t="s">
        <v>128</v>
      </c>
      <c r="L262" s="1" t="s">
        <v>44</v>
      </c>
      <c r="M262" s="1" t="s">
        <v>57</v>
      </c>
      <c r="N262">
        <v>154983.4</v>
      </c>
      <c r="O262">
        <v>41551.519999999997</v>
      </c>
      <c r="P262">
        <v>68501.72</v>
      </c>
      <c r="Q262">
        <v>7</v>
      </c>
      <c r="R262">
        <v>76</v>
      </c>
      <c r="S262">
        <v>2.9</v>
      </c>
      <c r="T262" s="1" t="s">
        <v>46</v>
      </c>
      <c r="U262" s="1" t="s">
        <v>35</v>
      </c>
      <c r="V262" s="1" t="s">
        <v>75</v>
      </c>
      <c r="W262" s="1" t="s">
        <v>83</v>
      </c>
      <c r="X262">
        <v>265036.64</v>
      </c>
      <c r="Y262" s="1" t="s">
        <v>2082</v>
      </c>
      <c r="Z262" s="1" t="s">
        <v>2080</v>
      </c>
      <c r="AO262" t="str">
        <v>P00312</v>
      </c>
    </row>
    <row r="263" spans="1:41" x14ac:dyDescent="0.35">
      <c r="A263" s="1" t="s">
        <v>935</v>
      </c>
      <c r="B263" s="1" t="s">
        <v>797</v>
      </c>
      <c r="C263">
        <v>81</v>
      </c>
      <c r="D263" s="1" t="s">
        <v>25</v>
      </c>
      <c r="E263" s="1" t="s">
        <v>2084</v>
      </c>
      <c r="F263" s="1" t="s">
        <v>108</v>
      </c>
      <c r="G263" s="2">
        <v>45685</v>
      </c>
      <c r="H263" s="2">
        <v>45693</v>
      </c>
      <c r="I263" s="1" t="s">
        <v>273</v>
      </c>
      <c r="J263" s="1" t="s">
        <v>2081</v>
      </c>
      <c r="K263" s="1" t="s">
        <v>128</v>
      </c>
      <c r="L263" s="1" t="s">
        <v>32</v>
      </c>
      <c r="M263" s="1" t="s">
        <v>2085</v>
      </c>
      <c r="N263">
        <v>357040.13</v>
      </c>
      <c r="O263">
        <v>32132.95</v>
      </c>
      <c r="P263">
        <v>20752.03</v>
      </c>
      <c r="Q263">
        <v>8</v>
      </c>
      <c r="R263">
        <v>32</v>
      </c>
      <c r="S263">
        <v>4.4000000000000004</v>
      </c>
      <c r="T263" s="1" t="s">
        <v>46</v>
      </c>
      <c r="U263" s="1" t="s">
        <v>101</v>
      </c>
      <c r="V263" s="1" t="s">
        <v>102</v>
      </c>
      <c r="W263" s="1" t="s">
        <v>131</v>
      </c>
      <c r="X263">
        <v>409925.11</v>
      </c>
      <c r="Y263" s="1" t="s">
        <v>2088</v>
      </c>
      <c r="Z263" s="1" t="s">
        <v>2091</v>
      </c>
      <c r="AO263" t="str">
        <v>P00313</v>
      </c>
    </row>
    <row r="264" spans="1:41" x14ac:dyDescent="0.35">
      <c r="A264" s="1" t="s">
        <v>936</v>
      </c>
      <c r="B264" s="1" t="s">
        <v>397</v>
      </c>
      <c r="C264">
        <v>73</v>
      </c>
      <c r="D264" s="1" t="s">
        <v>119</v>
      </c>
      <c r="E264" s="1" t="s">
        <v>192</v>
      </c>
      <c r="F264" s="1" t="s">
        <v>63</v>
      </c>
      <c r="G264" s="2">
        <v>46133</v>
      </c>
      <c r="H264" s="2">
        <v>46137</v>
      </c>
      <c r="I264" s="1" t="s">
        <v>273</v>
      </c>
      <c r="J264" s="1" t="s">
        <v>87</v>
      </c>
      <c r="K264" s="1" t="s">
        <v>81</v>
      </c>
      <c r="L264" s="1" t="s">
        <v>44</v>
      </c>
      <c r="M264" s="1" t="s">
        <v>2086</v>
      </c>
      <c r="N264">
        <v>311063.01</v>
      </c>
      <c r="O264">
        <v>0</v>
      </c>
      <c r="P264">
        <v>76558.429999999993</v>
      </c>
      <c r="Q264">
        <v>4</v>
      </c>
      <c r="R264">
        <v>20</v>
      </c>
      <c r="S264">
        <v>3.2</v>
      </c>
      <c r="T264" s="1" t="s">
        <v>46</v>
      </c>
      <c r="U264" s="1" t="s">
        <v>101</v>
      </c>
      <c r="V264" s="1" t="s">
        <v>102</v>
      </c>
      <c r="W264" s="1" t="s">
        <v>131</v>
      </c>
      <c r="X264">
        <v>387621.44</v>
      </c>
      <c r="Y264" s="1" t="s">
        <v>2088</v>
      </c>
      <c r="Z264" s="1" t="s">
        <v>2083</v>
      </c>
      <c r="AO264" t="str">
        <v>P00314</v>
      </c>
    </row>
    <row r="265" spans="1:41" x14ac:dyDescent="0.35">
      <c r="A265" s="1" t="s">
        <v>940</v>
      </c>
      <c r="B265" s="1" t="s">
        <v>941</v>
      </c>
      <c r="C265">
        <v>82</v>
      </c>
      <c r="D265" s="1" t="s">
        <v>25</v>
      </c>
      <c r="E265" s="1" t="s">
        <v>86</v>
      </c>
      <c r="F265" s="1" t="s">
        <v>193</v>
      </c>
      <c r="G265" s="2">
        <v>45737</v>
      </c>
      <c r="H265" s="2">
        <v>45739</v>
      </c>
      <c r="I265" s="1" t="s">
        <v>273</v>
      </c>
      <c r="J265" s="1" t="s">
        <v>90</v>
      </c>
      <c r="K265" s="1" t="s">
        <v>174</v>
      </c>
      <c r="L265" s="1" t="s">
        <v>44</v>
      </c>
      <c r="M265" s="1" t="s">
        <v>2078</v>
      </c>
      <c r="N265">
        <v>252209.91</v>
      </c>
      <c r="O265">
        <v>42443.58</v>
      </c>
      <c r="P265">
        <v>64977.73</v>
      </c>
      <c r="Q265">
        <v>2</v>
      </c>
      <c r="R265">
        <v>126</v>
      </c>
      <c r="S265">
        <v>4.8</v>
      </c>
      <c r="T265" s="1" t="s">
        <v>46</v>
      </c>
      <c r="U265" s="1" t="s">
        <v>95</v>
      </c>
      <c r="V265" s="1" t="s">
        <v>130</v>
      </c>
      <c r="W265" s="1" t="s">
        <v>83</v>
      </c>
      <c r="X265">
        <v>359631.22</v>
      </c>
      <c r="Y265" s="1" t="s">
        <v>2088</v>
      </c>
      <c r="Z265" s="1" t="s">
        <v>2080</v>
      </c>
      <c r="AO265" t="str">
        <v>P00315</v>
      </c>
    </row>
    <row r="266" spans="1:41" x14ac:dyDescent="0.35">
      <c r="A266" s="1" t="s">
        <v>942</v>
      </c>
      <c r="B266" s="1" t="s">
        <v>561</v>
      </c>
      <c r="C266">
        <v>30</v>
      </c>
      <c r="D266" s="1" t="s">
        <v>119</v>
      </c>
      <c r="E266" s="1" t="s">
        <v>40</v>
      </c>
      <c r="F266" s="1" t="s">
        <v>87</v>
      </c>
      <c r="G266" s="2">
        <v>46178</v>
      </c>
      <c r="H266" s="2">
        <v>46180</v>
      </c>
      <c r="I266" s="1" t="s">
        <v>273</v>
      </c>
      <c r="J266" s="1" t="s">
        <v>141</v>
      </c>
      <c r="K266" s="1" t="s">
        <v>122</v>
      </c>
      <c r="L266" s="1" t="s">
        <v>44</v>
      </c>
      <c r="M266" s="1" t="s">
        <v>2086</v>
      </c>
      <c r="N266">
        <v>65978.41</v>
      </c>
      <c r="O266">
        <v>40987.53</v>
      </c>
      <c r="P266">
        <v>68368.100000000006</v>
      </c>
      <c r="Q266">
        <v>2</v>
      </c>
      <c r="R266">
        <v>129</v>
      </c>
      <c r="S266">
        <v>5</v>
      </c>
      <c r="T266" s="1" t="s">
        <v>46</v>
      </c>
      <c r="U266" s="1" t="s">
        <v>95</v>
      </c>
      <c r="V266" s="1" t="s">
        <v>130</v>
      </c>
      <c r="W266" s="1" t="s">
        <v>83</v>
      </c>
      <c r="X266">
        <v>175334.04</v>
      </c>
      <c r="Y266" s="1" t="s">
        <v>2082</v>
      </c>
      <c r="Z266" s="1" t="s">
        <v>2080</v>
      </c>
      <c r="AO266" t="str">
        <v>P00317</v>
      </c>
    </row>
    <row r="267" spans="1:41" x14ac:dyDescent="0.35">
      <c r="A267" s="1" t="s">
        <v>944</v>
      </c>
      <c r="B267" s="1" t="s">
        <v>945</v>
      </c>
      <c r="C267">
        <v>57</v>
      </c>
      <c r="D267" s="1" t="s">
        <v>119</v>
      </c>
      <c r="E267" s="1" t="s">
        <v>107</v>
      </c>
      <c r="F267" s="1" t="s">
        <v>87</v>
      </c>
      <c r="G267" s="2">
        <v>45719</v>
      </c>
      <c r="H267" s="2">
        <v>45722</v>
      </c>
      <c r="I267" s="1" t="s">
        <v>277</v>
      </c>
      <c r="J267" s="1" t="s">
        <v>147</v>
      </c>
      <c r="K267" s="1" t="s">
        <v>148</v>
      </c>
      <c r="L267" s="1" t="s">
        <v>44</v>
      </c>
      <c r="M267" s="1" t="s">
        <v>2090</v>
      </c>
      <c r="N267">
        <v>67161.88</v>
      </c>
      <c r="O267">
        <v>20322.509999999998</v>
      </c>
      <c r="P267">
        <v>65866.13</v>
      </c>
      <c r="Q267">
        <v>3</v>
      </c>
      <c r="R267">
        <v>158</v>
      </c>
      <c r="S267">
        <v>3.3</v>
      </c>
      <c r="T267" s="1" t="s">
        <v>46</v>
      </c>
      <c r="U267" s="1" t="s">
        <v>149</v>
      </c>
      <c r="V267" s="1" t="s">
        <v>130</v>
      </c>
      <c r="W267" s="1" t="s">
        <v>131</v>
      </c>
      <c r="X267">
        <v>153350.52000000002</v>
      </c>
      <c r="Y267" s="1" t="s">
        <v>2079</v>
      </c>
      <c r="Z267" s="1" t="s">
        <v>2080</v>
      </c>
      <c r="AO267" t="str">
        <v>P00318</v>
      </c>
    </row>
    <row r="268" spans="1:41" x14ac:dyDescent="0.35">
      <c r="A268" s="1" t="s">
        <v>946</v>
      </c>
      <c r="B268" s="1" t="s">
        <v>259</v>
      </c>
      <c r="C268">
        <v>9</v>
      </c>
      <c r="D268" s="1" t="s">
        <v>25</v>
      </c>
      <c r="E268" s="1" t="s">
        <v>192</v>
      </c>
      <c r="F268" s="1" t="s">
        <v>41</v>
      </c>
      <c r="G268" s="2">
        <v>45910</v>
      </c>
      <c r="H268" s="2">
        <v>45913</v>
      </c>
      <c r="I268" s="1" t="s">
        <v>277</v>
      </c>
      <c r="J268" s="1" t="s">
        <v>115</v>
      </c>
      <c r="K268" s="1" t="s">
        <v>174</v>
      </c>
      <c r="L268" s="1" t="s">
        <v>44</v>
      </c>
      <c r="M268" s="1" t="s">
        <v>2090</v>
      </c>
      <c r="N268">
        <v>170015.91</v>
      </c>
      <c r="O268">
        <v>52259.58</v>
      </c>
      <c r="P268">
        <v>62256.15</v>
      </c>
      <c r="Q268">
        <v>3</v>
      </c>
      <c r="R268">
        <v>132</v>
      </c>
      <c r="S268">
        <v>3.8</v>
      </c>
      <c r="T268" s="1" t="s">
        <v>46</v>
      </c>
      <c r="U268" s="1" t="s">
        <v>35</v>
      </c>
      <c r="V268" s="1" t="s">
        <v>130</v>
      </c>
      <c r="W268" s="1" t="s">
        <v>83</v>
      </c>
      <c r="X268">
        <v>284531.64</v>
      </c>
      <c r="Y268" s="1" t="s">
        <v>2093</v>
      </c>
      <c r="Z268" s="1" t="s">
        <v>2080</v>
      </c>
      <c r="AO268" t="str">
        <v>P00319</v>
      </c>
    </row>
    <row r="269" spans="1:41" x14ac:dyDescent="0.35">
      <c r="A269" s="1" t="s">
        <v>949</v>
      </c>
      <c r="B269" s="1" t="s">
        <v>644</v>
      </c>
      <c r="C269">
        <v>32</v>
      </c>
      <c r="D269" s="1" t="s">
        <v>25</v>
      </c>
      <c r="E269" s="1" t="s">
        <v>107</v>
      </c>
      <c r="F269" s="1" t="s">
        <v>193</v>
      </c>
      <c r="G269" s="2">
        <v>46051</v>
      </c>
      <c r="H269" s="2">
        <v>46057</v>
      </c>
      <c r="I269" s="1" t="s">
        <v>53</v>
      </c>
      <c r="J269" s="1" t="s">
        <v>87</v>
      </c>
      <c r="K269" s="1" t="s">
        <v>122</v>
      </c>
      <c r="L269" s="1" t="s">
        <v>32</v>
      </c>
      <c r="M269" s="1" t="s">
        <v>2089</v>
      </c>
      <c r="N269">
        <v>99211.39</v>
      </c>
      <c r="O269">
        <v>47336.97</v>
      </c>
      <c r="P269">
        <v>33239.620000000003</v>
      </c>
      <c r="Q269">
        <v>6</v>
      </c>
      <c r="R269">
        <v>174</v>
      </c>
      <c r="S269">
        <v>4.5</v>
      </c>
      <c r="T269" s="1" t="s">
        <v>46</v>
      </c>
      <c r="U269" s="1" t="s">
        <v>35</v>
      </c>
      <c r="V269" s="1" t="s">
        <v>102</v>
      </c>
      <c r="W269" s="1" t="s">
        <v>83</v>
      </c>
      <c r="X269">
        <v>179787.97999999998</v>
      </c>
      <c r="Y269" s="1" t="s">
        <v>2082</v>
      </c>
      <c r="Z269" s="1" t="s">
        <v>2080</v>
      </c>
      <c r="AO269" t="str">
        <v>P00320</v>
      </c>
    </row>
    <row r="270" spans="1:41" x14ac:dyDescent="0.35">
      <c r="A270" s="1" t="s">
        <v>954</v>
      </c>
      <c r="B270" s="1" t="s">
        <v>587</v>
      </c>
      <c r="C270">
        <v>5</v>
      </c>
      <c r="D270" s="1" t="s">
        <v>119</v>
      </c>
      <c r="E270" s="1" t="s">
        <v>263</v>
      </c>
      <c r="F270" s="1" t="s">
        <v>120</v>
      </c>
      <c r="G270" s="2">
        <v>45440</v>
      </c>
      <c r="H270" s="2">
        <v>45442</v>
      </c>
      <c r="I270" s="1" t="s">
        <v>273</v>
      </c>
      <c r="J270" s="1" t="s">
        <v>2081</v>
      </c>
      <c r="K270" s="1" t="s">
        <v>128</v>
      </c>
      <c r="L270" s="1" t="s">
        <v>32</v>
      </c>
      <c r="M270" s="1" t="s">
        <v>2089</v>
      </c>
      <c r="N270">
        <v>63686.58</v>
      </c>
      <c r="O270">
        <v>60895.29</v>
      </c>
      <c r="P270">
        <v>40323.050000000003</v>
      </c>
      <c r="Q270">
        <v>2</v>
      </c>
      <c r="R270">
        <v>53</v>
      </c>
      <c r="S270">
        <v>3.9</v>
      </c>
      <c r="T270" s="1" t="s">
        <v>34</v>
      </c>
      <c r="U270" s="1" t="s">
        <v>149</v>
      </c>
      <c r="V270" s="1" t="s">
        <v>130</v>
      </c>
      <c r="W270" s="1" t="s">
        <v>83</v>
      </c>
      <c r="X270">
        <v>164904.91999999998</v>
      </c>
      <c r="Y270" s="1" t="s">
        <v>2093</v>
      </c>
      <c r="Z270" s="1" t="s">
        <v>2091</v>
      </c>
      <c r="AO270" t="str">
        <v>P00321</v>
      </c>
    </row>
    <row r="271" spans="1:41" x14ac:dyDescent="0.35">
      <c r="A271" s="1" t="s">
        <v>958</v>
      </c>
      <c r="B271" s="1" t="s">
        <v>959</v>
      </c>
      <c r="C271">
        <v>21</v>
      </c>
      <c r="D271" s="1" t="s">
        <v>25</v>
      </c>
      <c r="E271" s="1" t="s">
        <v>26</v>
      </c>
      <c r="F271" s="1" t="s">
        <v>193</v>
      </c>
      <c r="G271" s="2">
        <v>45836</v>
      </c>
      <c r="H271" s="2">
        <v>45837</v>
      </c>
      <c r="I271" s="1" t="s">
        <v>29</v>
      </c>
      <c r="J271" s="1" t="s">
        <v>152</v>
      </c>
      <c r="K271" s="1" t="s">
        <v>153</v>
      </c>
      <c r="L271" s="1" t="s">
        <v>66</v>
      </c>
      <c r="M271" s="1" t="s">
        <v>57</v>
      </c>
      <c r="N271">
        <v>268130.3</v>
      </c>
      <c r="O271">
        <v>28783.69</v>
      </c>
      <c r="P271">
        <v>45983.91</v>
      </c>
      <c r="Q271">
        <v>1</v>
      </c>
      <c r="R271">
        <v>38</v>
      </c>
      <c r="S271">
        <v>3.4</v>
      </c>
      <c r="T271" s="1" t="s">
        <v>46</v>
      </c>
      <c r="U271" s="1" t="s">
        <v>149</v>
      </c>
      <c r="V271" s="1" t="s">
        <v>130</v>
      </c>
      <c r="W271" s="1" t="s">
        <v>59</v>
      </c>
      <c r="X271">
        <v>342897.9</v>
      </c>
      <c r="Y271" s="1" t="s">
        <v>2082</v>
      </c>
      <c r="Z271" s="1" t="s">
        <v>2091</v>
      </c>
      <c r="AO271" t="str">
        <v>P00322</v>
      </c>
    </row>
    <row r="272" spans="1:41" x14ac:dyDescent="0.35">
      <c r="A272" s="1" t="s">
        <v>961</v>
      </c>
      <c r="B272" s="1" t="s">
        <v>692</v>
      </c>
      <c r="C272">
        <v>62</v>
      </c>
      <c r="D272" s="1" t="s">
        <v>119</v>
      </c>
      <c r="E272" s="1" t="s">
        <v>26</v>
      </c>
      <c r="F272" s="1" t="s">
        <v>193</v>
      </c>
      <c r="G272" s="2">
        <v>45852</v>
      </c>
      <c r="H272" s="2">
        <v>45853</v>
      </c>
      <c r="I272" s="1" t="s">
        <v>221</v>
      </c>
      <c r="J272" s="1" t="s">
        <v>141</v>
      </c>
      <c r="K272" s="1" t="s">
        <v>128</v>
      </c>
      <c r="L272" s="1" t="s">
        <v>44</v>
      </c>
      <c r="M272" s="1" t="s">
        <v>2089</v>
      </c>
      <c r="N272">
        <v>364934.91</v>
      </c>
      <c r="O272">
        <v>0</v>
      </c>
      <c r="P272">
        <v>17114.669999999998</v>
      </c>
      <c r="Q272">
        <v>1</v>
      </c>
      <c r="R272">
        <v>0</v>
      </c>
      <c r="S272">
        <v>2.9</v>
      </c>
      <c r="T272" s="1" t="s">
        <v>46</v>
      </c>
      <c r="U272" s="1" t="s">
        <v>149</v>
      </c>
      <c r="V272" s="1" t="s">
        <v>102</v>
      </c>
      <c r="W272" s="1" t="s">
        <v>59</v>
      </c>
      <c r="X272">
        <v>382049.57999999996</v>
      </c>
      <c r="Y272" s="1" t="s">
        <v>2088</v>
      </c>
      <c r="Z272" s="1" t="s">
        <v>2083</v>
      </c>
      <c r="AO272" t="str">
        <v>P00323</v>
      </c>
    </row>
    <row r="273" spans="1:41" x14ac:dyDescent="0.35">
      <c r="A273" s="1" t="s">
        <v>963</v>
      </c>
      <c r="B273" s="1" t="s">
        <v>309</v>
      </c>
      <c r="C273">
        <v>11</v>
      </c>
      <c r="D273" s="1" t="s">
        <v>25</v>
      </c>
      <c r="E273" s="1" t="s">
        <v>157</v>
      </c>
      <c r="F273" s="1" t="s">
        <v>227</v>
      </c>
      <c r="G273" s="2">
        <v>45964</v>
      </c>
      <c r="H273" s="2">
        <v>45966</v>
      </c>
      <c r="I273" s="1" t="s">
        <v>127</v>
      </c>
      <c r="J273" s="1" t="s">
        <v>87</v>
      </c>
      <c r="K273" s="1" t="s">
        <v>55</v>
      </c>
      <c r="L273" s="1" t="s">
        <v>32</v>
      </c>
      <c r="M273" s="1" t="s">
        <v>2078</v>
      </c>
      <c r="N273">
        <v>90939.63</v>
      </c>
      <c r="O273">
        <v>4901.07</v>
      </c>
      <c r="P273">
        <v>51218.02</v>
      </c>
      <c r="Q273">
        <v>2</v>
      </c>
      <c r="R273">
        <v>100</v>
      </c>
      <c r="S273">
        <v>2.8</v>
      </c>
      <c r="T273" s="1" t="s">
        <v>34</v>
      </c>
      <c r="U273" s="1" t="s">
        <v>149</v>
      </c>
      <c r="V273" s="1" t="s">
        <v>75</v>
      </c>
      <c r="W273" s="1" t="s">
        <v>83</v>
      </c>
      <c r="X273">
        <v>147058.72</v>
      </c>
      <c r="Y273" s="1" t="s">
        <v>2093</v>
      </c>
      <c r="Z273" s="1" t="s">
        <v>2080</v>
      </c>
      <c r="AO273" t="str">
        <v>P00324</v>
      </c>
    </row>
    <row r="274" spans="1:41" x14ac:dyDescent="0.35">
      <c r="A274" s="1" t="s">
        <v>965</v>
      </c>
      <c r="B274" s="1" t="s">
        <v>966</v>
      </c>
      <c r="C274">
        <v>30</v>
      </c>
      <c r="D274" s="1" t="s">
        <v>119</v>
      </c>
      <c r="E274" s="1" t="s">
        <v>2084</v>
      </c>
      <c r="F274" s="1" t="s">
        <v>63</v>
      </c>
      <c r="G274" s="2">
        <v>46079</v>
      </c>
      <c r="H274" s="2">
        <v>46082</v>
      </c>
      <c r="I274" s="1" t="s">
        <v>100</v>
      </c>
      <c r="J274" s="1" t="s">
        <v>2081</v>
      </c>
      <c r="K274" s="1" t="s">
        <v>55</v>
      </c>
      <c r="L274" s="1" t="s">
        <v>66</v>
      </c>
      <c r="M274" s="1" t="s">
        <v>2089</v>
      </c>
      <c r="N274">
        <v>181968.28</v>
      </c>
      <c r="O274">
        <v>71836.3</v>
      </c>
      <c r="P274">
        <v>85213.83</v>
      </c>
      <c r="Q274">
        <v>3</v>
      </c>
      <c r="R274">
        <v>0</v>
      </c>
      <c r="S274">
        <v>4.8</v>
      </c>
      <c r="T274" s="1" t="s">
        <v>34</v>
      </c>
      <c r="U274" s="1" t="s">
        <v>149</v>
      </c>
      <c r="V274" s="1" t="s">
        <v>102</v>
      </c>
      <c r="W274" s="1" t="s">
        <v>36</v>
      </c>
      <c r="X274">
        <v>339018.41000000003</v>
      </c>
      <c r="Y274" s="1" t="s">
        <v>2082</v>
      </c>
      <c r="Z274" s="1" t="s">
        <v>2083</v>
      </c>
      <c r="AO274" t="str">
        <v>P00325</v>
      </c>
    </row>
    <row r="275" spans="1:41" x14ac:dyDescent="0.35">
      <c r="A275" s="1" t="s">
        <v>968</v>
      </c>
      <c r="B275" s="1" t="s">
        <v>61</v>
      </c>
      <c r="C275">
        <v>17</v>
      </c>
      <c r="D275" s="1" t="s">
        <v>119</v>
      </c>
      <c r="E275" s="1" t="s">
        <v>157</v>
      </c>
      <c r="F275" s="1" t="s">
        <v>135</v>
      </c>
      <c r="G275" s="2">
        <v>45474</v>
      </c>
      <c r="H275" s="2">
        <v>45479</v>
      </c>
      <c r="I275" s="1" t="s">
        <v>273</v>
      </c>
      <c r="J275" s="1" t="s">
        <v>30</v>
      </c>
      <c r="K275" s="1" t="s">
        <v>81</v>
      </c>
      <c r="L275" s="1" t="s">
        <v>66</v>
      </c>
      <c r="M275" s="1" t="s">
        <v>57</v>
      </c>
      <c r="N275">
        <v>334628.87</v>
      </c>
      <c r="O275">
        <v>68448.3</v>
      </c>
      <c r="P275">
        <v>11323.66</v>
      </c>
      <c r="Q275">
        <v>5</v>
      </c>
      <c r="R275">
        <v>26</v>
      </c>
      <c r="S275">
        <v>5</v>
      </c>
      <c r="T275" s="1" t="s">
        <v>34</v>
      </c>
      <c r="U275" s="1" t="s">
        <v>95</v>
      </c>
      <c r="V275" s="1" t="s">
        <v>75</v>
      </c>
      <c r="W275" s="1" t="s">
        <v>36</v>
      </c>
      <c r="X275">
        <v>414400.82999999996</v>
      </c>
      <c r="Y275" s="1" t="s">
        <v>2093</v>
      </c>
      <c r="Z275" s="1" t="s">
        <v>2083</v>
      </c>
      <c r="AO275" t="str">
        <v>P00326</v>
      </c>
    </row>
    <row r="276" spans="1:41" x14ac:dyDescent="0.35">
      <c r="A276" s="1" t="s">
        <v>973</v>
      </c>
      <c r="B276" s="1" t="s">
        <v>974</v>
      </c>
      <c r="C276">
        <v>42</v>
      </c>
      <c r="D276" s="1" t="s">
        <v>25</v>
      </c>
      <c r="E276" s="1" t="s">
        <v>157</v>
      </c>
      <c r="F276" s="1" t="s">
        <v>193</v>
      </c>
      <c r="G276" s="2">
        <v>45685</v>
      </c>
      <c r="H276" s="2">
        <v>45687</v>
      </c>
      <c r="I276" s="1" t="s">
        <v>173</v>
      </c>
      <c r="J276" s="1" t="s">
        <v>152</v>
      </c>
      <c r="K276" s="1" t="s">
        <v>148</v>
      </c>
      <c r="L276" s="1" t="s">
        <v>66</v>
      </c>
      <c r="M276" s="1" t="s">
        <v>2086</v>
      </c>
      <c r="N276">
        <v>5644.95</v>
      </c>
      <c r="O276">
        <v>42856.37</v>
      </c>
      <c r="P276">
        <v>62161.72</v>
      </c>
      <c r="Q276">
        <v>2</v>
      </c>
      <c r="R276">
        <v>90</v>
      </c>
      <c r="S276">
        <v>5</v>
      </c>
      <c r="T276" s="1" t="s">
        <v>34</v>
      </c>
      <c r="U276" s="1" t="s">
        <v>35</v>
      </c>
      <c r="V276" s="1" t="s">
        <v>102</v>
      </c>
      <c r="W276" s="1" t="s">
        <v>36</v>
      </c>
      <c r="X276">
        <v>110663.04000000001</v>
      </c>
      <c r="Y276" s="1" t="s">
        <v>2079</v>
      </c>
      <c r="Z276" s="1" t="s">
        <v>2080</v>
      </c>
      <c r="AO276" t="str">
        <v>P00327</v>
      </c>
    </row>
    <row r="277" spans="1:41" x14ac:dyDescent="0.35">
      <c r="A277" s="1" t="s">
        <v>975</v>
      </c>
      <c r="B277" s="1" t="s">
        <v>976</v>
      </c>
      <c r="C277">
        <v>55</v>
      </c>
      <c r="D277" s="1" t="s">
        <v>25</v>
      </c>
      <c r="E277" s="1" t="s">
        <v>112</v>
      </c>
      <c r="F277" s="1" t="s">
        <v>63</v>
      </c>
      <c r="G277" s="2">
        <v>45567</v>
      </c>
      <c r="H277" s="2">
        <v>45334</v>
      </c>
      <c r="I277" s="1" t="s">
        <v>273</v>
      </c>
      <c r="J277" s="1" t="s">
        <v>152</v>
      </c>
      <c r="K277" s="1" t="s">
        <v>55</v>
      </c>
      <c r="L277" s="1" t="s">
        <v>66</v>
      </c>
      <c r="M277" s="1" t="s">
        <v>2089</v>
      </c>
      <c r="N277">
        <v>77246.990000000005</v>
      </c>
      <c r="O277">
        <v>29411.200000000001</v>
      </c>
      <c r="P277">
        <v>39769.370000000003</v>
      </c>
      <c r="Q277">
        <v>2</v>
      </c>
      <c r="R277">
        <v>111</v>
      </c>
      <c r="S277">
        <v>3.2</v>
      </c>
      <c r="T277" s="1" t="s">
        <v>34</v>
      </c>
      <c r="U277" s="1" t="s">
        <v>35</v>
      </c>
      <c r="V277" s="1" t="s">
        <v>75</v>
      </c>
      <c r="W277" s="1" t="s">
        <v>36</v>
      </c>
      <c r="X277">
        <v>146427.56</v>
      </c>
      <c r="Y277" s="1" t="s">
        <v>2079</v>
      </c>
      <c r="Z277" s="1" t="s">
        <v>2080</v>
      </c>
      <c r="AO277" t="str">
        <v>P00328</v>
      </c>
    </row>
    <row r="278" spans="1:41" x14ac:dyDescent="0.35">
      <c r="A278" s="1" t="s">
        <v>978</v>
      </c>
      <c r="B278" s="1" t="s">
        <v>533</v>
      </c>
      <c r="C278">
        <v>61</v>
      </c>
      <c r="D278" s="1" t="s">
        <v>25</v>
      </c>
      <c r="E278" s="1" t="s">
        <v>107</v>
      </c>
      <c r="F278" s="1" t="s">
        <v>41</v>
      </c>
      <c r="G278" s="2">
        <v>45690</v>
      </c>
      <c r="H278" s="2">
        <v>45692</v>
      </c>
      <c r="I278" s="1" t="s">
        <v>53</v>
      </c>
      <c r="J278" s="1" t="s">
        <v>141</v>
      </c>
      <c r="K278" s="1" t="s">
        <v>148</v>
      </c>
      <c r="L278" s="1" t="s">
        <v>66</v>
      </c>
      <c r="M278" s="1" t="s">
        <v>2089</v>
      </c>
      <c r="N278">
        <v>158853.01</v>
      </c>
      <c r="O278">
        <v>0</v>
      </c>
      <c r="P278">
        <v>97487.52</v>
      </c>
      <c r="Q278">
        <v>2</v>
      </c>
      <c r="R278">
        <v>198</v>
      </c>
      <c r="S278">
        <v>2</v>
      </c>
      <c r="T278" s="1" t="s">
        <v>46</v>
      </c>
      <c r="U278" s="1" t="s">
        <v>95</v>
      </c>
      <c r="V278" s="1" t="s">
        <v>75</v>
      </c>
      <c r="W278" s="1" t="s">
        <v>131</v>
      </c>
      <c r="X278">
        <v>256340.53000000003</v>
      </c>
      <c r="Y278" s="1" t="s">
        <v>2088</v>
      </c>
      <c r="Z278" s="1" t="s">
        <v>2080</v>
      </c>
      <c r="AO278" t="str">
        <v>P00329</v>
      </c>
    </row>
    <row r="279" spans="1:41" x14ac:dyDescent="0.35">
      <c r="A279" s="1" t="s">
        <v>980</v>
      </c>
      <c r="B279" s="1" t="s">
        <v>723</v>
      </c>
      <c r="C279">
        <v>31</v>
      </c>
      <c r="D279" s="1" t="s">
        <v>25</v>
      </c>
      <c r="E279" s="1" t="s">
        <v>51</v>
      </c>
      <c r="F279" s="1" t="s">
        <v>227</v>
      </c>
      <c r="G279" s="2">
        <v>45530</v>
      </c>
      <c r="H279" s="2">
        <v>45535</v>
      </c>
      <c r="I279" s="1" t="s">
        <v>277</v>
      </c>
      <c r="J279" s="1" t="s">
        <v>137</v>
      </c>
      <c r="K279" s="1" t="s">
        <v>148</v>
      </c>
      <c r="L279" s="1" t="s">
        <v>44</v>
      </c>
      <c r="M279" s="1" t="s">
        <v>2090</v>
      </c>
      <c r="N279">
        <v>256888.21</v>
      </c>
      <c r="O279">
        <v>37355.599999999999</v>
      </c>
      <c r="P279">
        <v>37967.769999999997</v>
      </c>
      <c r="Q279">
        <v>5</v>
      </c>
      <c r="R279">
        <v>36</v>
      </c>
      <c r="S279">
        <v>2.8</v>
      </c>
      <c r="T279" s="1" t="s">
        <v>34</v>
      </c>
      <c r="U279" s="1" t="s">
        <v>95</v>
      </c>
      <c r="V279" s="1" t="s">
        <v>130</v>
      </c>
      <c r="W279" s="1" t="s">
        <v>83</v>
      </c>
      <c r="X279">
        <v>332211.58</v>
      </c>
      <c r="Y279" s="1" t="s">
        <v>2082</v>
      </c>
      <c r="Z279" s="1" t="s">
        <v>2091</v>
      </c>
      <c r="AO279" t="str">
        <v>P00331</v>
      </c>
    </row>
    <row r="280" spans="1:41" x14ac:dyDescent="0.35">
      <c r="A280" s="1" t="s">
        <v>982</v>
      </c>
      <c r="B280" s="1" t="s">
        <v>983</v>
      </c>
      <c r="C280">
        <v>24</v>
      </c>
      <c r="D280" s="1" t="s">
        <v>25</v>
      </c>
      <c r="E280" s="1" t="s">
        <v>157</v>
      </c>
      <c r="F280" s="1" t="s">
        <v>120</v>
      </c>
      <c r="G280" s="2">
        <v>45466</v>
      </c>
      <c r="H280" s="2">
        <v>45467</v>
      </c>
      <c r="I280" s="1" t="s">
        <v>277</v>
      </c>
      <c r="J280" s="1" t="s">
        <v>90</v>
      </c>
      <c r="K280" s="1" t="s">
        <v>55</v>
      </c>
      <c r="L280" s="1" t="s">
        <v>32</v>
      </c>
      <c r="M280" s="1" t="s">
        <v>2092</v>
      </c>
      <c r="N280">
        <v>210595.04</v>
      </c>
      <c r="O280">
        <v>12106</v>
      </c>
      <c r="P280">
        <v>65461.56</v>
      </c>
      <c r="Q280">
        <v>1</v>
      </c>
      <c r="R280">
        <v>206</v>
      </c>
      <c r="S280">
        <v>2.9</v>
      </c>
      <c r="T280" s="1" t="s">
        <v>34</v>
      </c>
      <c r="U280" s="1" t="s">
        <v>101</v>
      </c>
      <c r="V280" s="1" t="s">
        <v>130</v>
      </c>
      <c r="W280" s="1" t="s">
        <v>83</v>
      </c>
      <c r="X280">
        <v>288162.59999999998</v>
      </c>
      <c r="Y280" s="1" t="s">
        <v>2082</v>
      </c>
      <c r="Z280" s="1" t="s">
        <v>2080</v>
      </c>
      <c r="AO280" t="str">
        <v>P00332</v>
      </c>
    </row>
    <row r="281" spans="1:41" x14ac:dyDescent="0.35">
      <c r="A281" s="1" t="s">
        <v>985</v>
      </c>
      <c r="B281" s="1" t="s">
        <v>561</v>
      </c>
      <c r="C281">
        <v>53</v>
      </c>
      <c r="D281" s="1" t="s">
        <v>25</v>
      </c>
      <c r="E281" s="1" t="s">
        <v>51</v>
      </c>
      <c r="F281" s="1" t="s">
        <v>193</v>
      </c>
      <c r="G281" s="2">
        <v>46104</v>
      </c>
      <c r="H281" s="2">
        <v>46107</v>
      </c>
      <c r="I281" s="1" t="s">
        <v>100</v>
      </c>
      <c r="J281" s="1" t="s">
        <v>152</v>
      </c>
      <c r="K281" s="1" t="s">
        <v>55</v>
      </c>
      <c r="L281" s="1" t="s">
        <v>44</v>
      </c>
      <c r="M281" s="1" t="s">
        <v>2087</v>
      </c>
      <c r="N281">
        <v>286080.32</v>
      </c>
      <c r="O281">
        <v>31898.880000000001</v>
      </c>
      <c r="P281">
        <v>67280.47</v>
      </c>
      <c r="Q281">
        <v>3</v>
      </c>
      <c r="R281">
        <v>131</v>
      </c>
      <c r="S281">
        <v>2.1</v>
      </c>
      <c r="T281" s="1" t="s">
        <v>34</v>
      </c>
      <c r="U281" s="1" t="s">
        <v>101</v>
      </c>
      <c r="V281" s="1" t="s">
        <v>102</v>
      </c>
      <c r="W281" s="1" t="s">
        <v>83</v>
      </c>
      <c r="X281">
        <v>385259.67000000004</v>
      </c>
      <c r="Y281" s="1" t="s">
        <v>2079</v>
      </c>
      <c r="Z281" s="1" t="s">
        <v>2080</v>
      </c>
      <c r="AO281" t="str">
        <v>P00333</v>
      </c>
    </row>
    <row r="282" spans="1:41" x14ac:dyDescent="0.35">
      <c r="A282" s="1" t="s">
        <v>988</v>
      </c>
      <c r="B282" s="1" t="s">
        <v>223</v>
      </c>
      <c r="C282">
        <v>25</v>
      </c>
      <c r="D282" s="1" t="s">
        <v>119</v>
      </c>
      <c r="E282" s="1" t="s">
        <v>192</v>
      </c>
      <c r="F282" s="1" t="s">
        <v>227</v>
      </c>
      <c r="G282" s="2">
        <v>45470</v>
      </c>
      <c r="H282" s="2">
        <v>45486</v>
      </c>
      <c r="I282" s="1" t="s">
        <v>100</v>
      </c>
      <c r="J282" s="1" t="s">
        <v>90</v>
      </c>
      <c r="K282" s="1" t="s">
        <v>55</v>
      </c>
      <c r="L282" s="1" t="s">
        <v>44</v>
      </c>
      <c r="M282" s="1" t="s">
        <v>2087</v>
      </c>
      <c r="N282">
        <v>26653.759999999998</v>
      </c>
      <c r="O282">
        <v>37595.46</v>
      </c>
      <c r="P282">
        <v>66646.880000000005</v>
      </c>
      <c r="Q282">
        <v>16</v>
      </c>
      <c r="R282">
        <v>77</v>
      </c>
      <c r="S282">
        <v>5</v>
      </c>
      <c r="T282" s="1" t="s">
        <v>46</v>
      </c>
      <c r="U282" s="1" t="s">
        <v>95</v>
      </c>
      <c r="V282" s="1" t="s">
        <v>130</v>
      </c>
      <c r="W282" s="1" t="s">
        <v>83</v>
      </c>
      <c r="X282">
        <v>130896.1</v>
      </c>
      <c r="Y282" s="1" t="s">
        <v>2082</v>
      </c>
      <c r="Z282" s="1" t="s">
        <v>2080</v>
      </c>
      <c r="AO282" t="str">
        <v>P00334</v>
      </c>
    </row>
    <row r="283" spans="1:41" x14ac:dyDescent="0.35">
      <c r="A283" s="1" t="s">
        <v>990</v>
      </c>
      <c r="B283" s="1" t="s">
        <v>723</v>
      </c>
      <c r="C283">
        <v>58</v>
      </c>
      <c r="D283" s="1" t="s">
        <v>25</v>
      </c>
      <c r="E283" s="1" t="s">
        <v>86</v>
      </c>
      <c r="F283" s="1" t="s">
        <v>120</v>
      </c>
      <c r="G283" s="2">
        <v>45844</v>
      </c>
      <c r="H283" s="2">
        <v>45845</v>
      </c>
      <c r="I283" s="1" t="s">
        <v>159</v>
      </c>
      <c r="J283" s="1" t="s">
        <v>2081</v>
      </c>
      <c r="K283" s="1" t="s">
        <v>148</v>
      </c>
      <c r="L283" s="1" t="s">
        <v>32</v>
      </c>
      <c r="M283" s="1" t="s">
        <v>57</v>
      </c>
      <c r="N283">
        <v>135179.49</v>
      </c>
      <c r="O283">
        <v>72984.45</v>
      </c>
      <c r="P283">
        <v>104775.46</v>
      </c>
      <c r="Q283">
        <v>1</v>
      </c>
      <c r="R283">
        <v>37</v>
      </c>
      <c r="S283">
        <v>3</v>
      </c>
      <c r="T283" s="1" t="s">
        <v>46</v>
      </c>
      <c r="U283" s="1" t="s">
        <v>149</v>
      </c>
      <c r="V283" s="1" t="s">
        <v>130</v>
      </c>
      <c r="W283" s="1" t="s">
        <v>83</v>
      </c>
      <c r="X283">
        <v>312939.40000000002</v>
      </c>
      <c r="Y283" s="1" t="s">
        <v>2079</v>
      </c>
      <c r="Z283" s="1" t="s">
        <v>2091</v>
      </c>
      <c r="AO283" t="str">
        <v>P00336</v>
      </c>
    </row>
    <row r="284" spans="1:41" x14ac:dyDescent="0.35">
      <c r="A284" s="1" t="s">
        <v>993</v>
      </c>
      <c r="B284" s="1" t="s">
        <v>353</v>
      </c>
      <c r="C284">
        <v>74</v>
      </c>
      <c r="D284" s="1" t="s">
        <v>25</v>
      </c>
      <c r="E284" s="1" t="s">
        <v>40</v>
      </c>
      <c r="F284" s="1" t="s">
        <v>120</v>
      </c>
      <c r="G284" s="2">
        <v>46057</v>
      </c>
      <c r="H284" s="2">
        <v>46059</v>
      </c>
      <c r="I284" s="1" t="s">
        <v>127</v>
      </c>
      <c r="J284" s="1" t="s">
        <v>152</v>
      </c>
      <c r="K284" s="1" t="s">
        <v>31</v>
      </c>
      <c r="L284" s="1" t="s">
        <v>44</v>
      </c>
      <c r="M284" s="1" t="s">
        <v>2092</v>
      </c>
      <c r="N284">
        <v>44089.03</v>
      </c>
      <c r="O284">
        <v>50330.13</v>
      </c>
      <c r="P284">
        <v>36631.11</v>
      </c>
      <c r="Q284">
        <v>2</v>
      </c>
      <c r="R284">
        <v>74</v>
      </c>
      <c r="S284">
        <v>4.7</v>
      </c>
      <c r="T284" s="1" t="s">
        <v>46</v>
      </c>
      <c r="U284" s="1" t="s">
        <v>95</v>
      </c>
      <c r="V284" s="1" t="s">
        <v>130</v>
      </c>
      <c r="W284" s="1" t="s">
        <v>131</v>
      </c>
      <c r="X284">
        <v>131050.27</v>
      </c>
      <c r="Y284" s="1" t="s">
        <v>2088</v>
      </c>
      <c r="Z284" s="1" t="s">
        <v>2080</v>
      </c>
      <c r="AO284" t="str">
        <v>P00339</v>
      </c>
    </row>
    <row r="285" spans="1:41" x14ac:dyDescent="0.35">
      <c r="A285" s="1" t="s">
        <v>995</v>
      </c>
      <c r="B285" s="1" t="s">
        <v>196</v>
      </c>
      <c r="C285">
        <v>55</v>
      </c>
      <c r="D285" s="1" t="s">
        <v>25</v>
      </c>
      <c r="E285" s="1" t="s">
        <v>192</v>
      </c>
      <c r="F285" s="1" t="s">
        <v>87</v>
      </c>
      <c r="G285" s="2">
        <v>45916</v>
      </c>
      <c r="H285" s="2">
        <v>45920</v>
      </c>
      <c r="I285" s="1" t="s">
        <v>173</v>
      </c>
      <c r="J285" s="1" t="s">
        <v>147</v>
      </c>
      <c r="K285" s="1" t="s">
        <v>91</v>
      </c>
      <c r="L285" s="1" t="s">
        <v>44</v>
      </c>
      <c r="M285" s="1" t="s">
        <v>2092</v>
      </c>
      <c r="N285">
        <v>355545.85</v>
      </c>
      <c r="O285">
        <v>21717.29</v>
      </c>
      <c r="P285">
        <v>26632.9</v>
      </c>
      <c r="Q285">
        <v>4</v>
      </c>
      <c r="R285">
        <v>13</v>
      </c>
      <c r="S285">
        <v>2.6</v>
      </c>
      <c r="T285" s="1" t="s">
        <v>34</v>
      </c>
      <c r="U285" s="1" t="s">
        <v>35</v>
      </c>
      <c r="V285" s="1" t="s">
        <v>75</v>
      </c>
      <c r="W285" s="1" t="s">
        <v>59</v>
      </c>
      <c r="X285">
        <v>403896.04</v>
      </c>
      <c r="Y285" s="1" t="s">
        <v>2079</v>
      </c>
      <c r="Z285" s="1" t="s">
        <v>2083</v>
      </c>
      <c r="AO285" t="str">
        <v>P00341</v>
      </c>
    </row>
    <row r="286" spans="1:41" x14ac:dyDescent="0.35">
      <c r="A286" s="1" t="s">
        <v>997</v>
      </c>
      <c r="B286" s="1" t="s">
        <v>533</v>
      </c>
      <c r="C286">
        <v>70</v>
      </c>
      <c r="D286" s="1" t="s">
        <v>25</v>
      </c>
      <c r="E286" s="1" t="s">
        <v>192</v>
      </c>
      <c r="F286" s="1" t="s">
        <v>120</v>
      </c>
      <c r="G286" s="2">
        <v>45761</v>
      </c>
      <c r="H286" s="2">
        <v>45785</v>
      </c>
      <c r="I286" s="1" t="s">
        <v>235</v>
      </c>
      <c r="J286" s="1" t="s">
        <v>30</v>
      </c>
      <c r="K286" s="1" t="s">
        <v>153</v>
      </c>
      <c r="L286" s="1" t="s">
        <v>32</v>
      </c>
      <c r="M286" s="1" t="s">
        <v>2078</v>
      </c>
      <c r="N286">
        <v>30849.59</v>
      </c>
      <c r="O286">
        <v>0</v>
      </c>
      <c r="P286">
        <v>59455.98</v>
      </c>
      <c r="Q286">
        <v>24</v>
      </c>
      <c r="R286">
        <v>136</v>
      </c>
      <c r="S286">
        <v>4.4000000000000004</v>
      </c>
      <c r="T286" s="1" t="s">
        <v>46</v>
      </c>
      <c r="U286" s="1" t="s">
        <v>149</v>
      </c>
      <c r="V286" s="1" t="s">
        <v>130</v>
      </c>
      <c r="W286" s="1" t="s">
        <v>131</v>
      </c>
      <c r="X286">
        <v>90305.57</v>
      </c>
      <c r="Y286" s="1" t="s">
        <v>2088</v>
      </c>
      <c r="Z286" s="1" t="s">
        <v>2080</v>
      </c>
      <c r="AO286" t="str">
        <v>P00342</v>
      </c>
    </row>
    <row r="287" spans="1:41" x14ac:dyDescent="0.35">
      <c r="A287" s="1" t="s">
        <v>999</v>
      </c>
      <c r="B287" s="1" t="s">
        <v>1000</v>
      </c>
      <c r="C287">
        <v>40</v>
      </c>
      <c r="D287" s="1" t="s">
        <v>25</v>
      </c>
      <c r="E287" s="1" t="s">
        <v>40</v>
      </c>
      <c r="F287" s="1" t="s">
        <v>108</v>
      </c>
      <c r="G287" s="2">
        <v>45306</v>
      </c>
      <c r="H287" s="2">
        <v>45308</v>
      </c>
      <c r="I287" s="1" t="s">
        <v>235</v>
      </c>
      <c r="J287" s="1" t="s">
        <v>115</v>
      </c>
      <c r="K287" s="1" t="s">
        <v>81</v>
      </c>
      <c r="L287" s="1" t="s">
        <v>32</v>
      </c>
      <c r="M287" s="1" t="s">
        <v>2086</v>
      </c>
      <c r="N287">
        <v>265903.13</v>
      </c>
      <c r="O287">
        <v>32147.33</v>
      </c>
      <c r="P287">
        <v>0</v>
      </c>
      <c r="Q287">
        <v>2</v>
      </c>
      <c r="R287">
        <v>77</v>
      </c>
      <c r="S287">
        <v>2.6</v>
      </c>
      <c r="T287" s="1" t="s">
        <v>34</v>
      </c>
      <c r="U287" s="1" t="s">
        <v>95</v>
      </c>
      <c r="V287" s="1" t="s">
        <v>130</v>
      </c>
      <c r="W287" s="1" t="s">
        <v>36</v>
      </c>
      <c r="X287">
        <v>298050.46000000002</v>
      </c>
      <c r="Y287" s="1" t="s">
        <v>2079</v>
      </c>
      <c r="Z287" s="1" t="s">
        <v>2080</v>
      </c>
      <c r="AO287" t="str">
        <v>P00343</v>
      </c>
    </row>
    <row r="288" spans="1:41" x14ac:dyDescent="0.35">
      <c r="A288" s="1" t="s">
        <v>1002</v>
      </c>
      <c r="B288" s="1" t="s">
        <v>139</v>
      </c>
      <c r="C288">
        <v>92</v>
      </c>
      <c r="D288" s="1" t="s">
        <v>25</v>
      </c>
      <c r="E288" s="1" t="s">
        <v>86</v>
      </c>
      <c r="F288" s="1" t="s">
        <v>41</v>
      </c>
      <c r="G288" s="2">
        <v>46109</v>
      </c>
      <c r="H288" s="2">
        <v>46112</v>
      </c>
      <c r="I288" s="1" t="s">
        <v>257</v>
      </c>
      <c r="J288" s="1" t="s">
        <v>87</v>
      </c>
      <c r="K288" s="1" t="s">
        <v>174</v>
      </c>
      <c r="L288" s="1" t="s">
        <v>32</v>
      </c>
      <c r="M288" s="1" t="s">
        <v>2089</v>
      </c>
      <c r="N288">
        <v>271447.43</v>
      </c>
      <c r="O288">
        <v>22161.759999999998</v>
      </c>
      <c r="P288">
        <v>72654.05</v>
      </c>
      <c r="Q288">
        <v>3</v>
      </c>
      <c r="R288">
        <v>131</v>
      </c>
      <c r="S288">
        <v>4.2</v>
      </c>
      <c r="T288" s="1" t="s">
        <v>34</v>
      </c>
      <c r="U288" s="1" t="s">
        <v>95</v>
      </c>
      <c r="V288" s="1" t="s">
        <v>130</v>
      </c>
      <c r="W288" s="1" t="s">
        <v>83</v>
      </c>
      <c r="X288">
        <v>366263.24</v>
      </c>
      <c r="Y288" s="1" t="s">
        <v>2088</v>
      </c>
      <c r="Z288" s="1" t="s">
        <v>2080</v>
      </c>
      <c r="AO288" t="str">
        <v>P00344</v>
      </c>
    </row>
    <row r="289" spans="1:41" x14ac:dyDescent="0.35">
      <c r="A289" s="1" t="s">
        <v>1004</v>
      </c>
      <c r="B289" s="1" t="s">
        <v>1005</v>
      </c>
      <c r="C289">
        <v>88</v>
      </c>
      <c r="D289" s="1" t="s">
        <v>25</v>
      </c>
      <c r="E289" s="1" t="s">
        <v>26</v>
      </c>
      <c r="F289" s="1" t="s">
        <v>41</v>
      </c>
      <c r="G289" s="2">
        <v>46012</v>
      </c>
      <c r="H289" s="2">
        <v>46016</v>
      </c>
      <c r="I289" s="1" t="s">
        <v>53</v>
      </c>
      <c r="J289" s="1" t="s">
        <v>2081</v>
      </c>
      <c r="K289" s="1" t="s">
        <v>163</v>
      </c>
      <c r="L289" s="1" t="s">
        <v>32</v>
      </c>
      <c r="M289" s="1" t="s">
        <v>2086</v>
      </c>
      <c r="N289">
        <v>61675.62</v>
      </c>
      <c r="O289">
        <v>41840.800000000003</v>
      </c>
      <c r="P289">
        <v>17208.57</v>
      </c>
      <c r="Q289">
        <v>4</v>
      </c>
      <c r="R289">
        <v>136</v>
      </c>
      <c r="S289">
        <v>2.5</v>
      </c>
      <c r="T289" s="1" t="s">
        <v>34</v>
      </c>
      <c r="U289" s="1" t="s">
        <v>149</v>
      </c>
      <c r="V289" s="1" t="s">
        <v>102</v>
      </c>
      <c r="W289" s="1" t="s">
        <v>83</v>
      </c>
      <c r="X289">
        <v>120724.99000000002</v>
      </c>
      <c r="Y289" s="1" t="s">
        <v>2088</v>
      </c>
      <c r="Z289" s="1" t="s">
        <v>2080</v>
      </c>
      <c r="AO289" t="str">
        <v>P00345</v>
      </c>
    </row>
    <row r="290" spans="1:41" x14ac:dyDescent="0.35">
      <c r="A290" s="1" t="s">
        <v>1007</v>
      </c>
      <c r="B290" s="1" t="s">
        <v>983</v>
      </c>
      <c r="C290">
        <v>36</v>
      </c>
      <c r="D290" s="1" t="s">
        <v>25</v>
      </c>
      <c r="E290" s="1" t="s">
        <v>263</v>
      </c>
      <c r="F290" s="1" t="s">
        <v>227</v>
      </c>
      <c r="G290" s="2">
        <v>45595</v>
      </c>
      <c r="H290" s="2">
        <v>45597</v>
      </c>
      <c r="I290" s="1" t="s">
        <v>159</v>
      </c>
      <c r="J290" s="1" t="s">
        <v>2081</v>
      </c>
      <c r="K290" s="1" t="s">
        <v>148</v>
      </c>
      <c r="L290" s="1" t="s">
        <v>44</v>
      </c>
      <c r="M290" s="1" t="s">
        <v>2086</v>
      </c>
      <c r="N290">
        <v>356614.34</v>
      </c>
      <c r="O290">
        <v>52961.36</v>
      </c>
      <c r="P290">
        <v>7628.48</v>
      </c>
      <c r="Q290">
        <v>2</v>
      </c>
      <c r="R290">
        <v>99</v>
      </c>
      <c r="S290">
        <v>2.8</v>
      </c>
      <c r="T290" s="1" t="s">
        <v>34</v>
      </c>
      <c r="U290" s="1" t="s">
        <v>95</v>
      </c>
      <c r="V290" s="1" t="s">
        <v>102</v>
      </c>
      <c r="W290" s="1" t="s">
        <v>36</v>
      </c>
      <c r="X290">
        <v>417204.18</v>
      </c>
      <c r="Y290" s="1" t="s">
        <v>2079</v>
      </c>
      <c r="Z290" s="1" t="s">
        <v>2080</v>
      </c>
      <c r="AO290" t="str">
        <v>P00347</v>
      </c>
    </row>
    <row r="291" spans="1:41" x14ac:dyDescent="0.35">
      <c r="A291" s="1" t="s">
        <v>1009</v>
      </c>
      <c r="B291" s="1" t="s">
        <v>233</v>
      </c>
      <c r="C291">
        <v>38</v>
      </c>
      <c r="D291" s="1" t="s">
        <v>25</v>
      </c>
      <c r="E291" s="1" t="s">
        <v>112</v>
      </c>
      <c r="F291" s="1" t="s">
        <v>135</v>
      </c>
      <c r="G291" s="2">
        <v>46013</v>
      </c>
      <c r="H291" s="2">
        <v>46014</v>
      </c>
      <c r="I291" s="1" t="s">
        <v>235</v>
      </c>
      <c r="J291" s="1" t="s">
        <v>30</v>
      </c>
      <c r="K291" s="1" t="s">
        <v>174</v>
      </c>
      <c r="L291" s="1" t="s">
        <v>44</v>
      </c>
      <c r="M291" s="1" t="s">
        <v>2078</v>
      </c>
      <c r="N291">
        <v>176812.41</v>
      </c>
      <c r="O291">
        <v>90667.91</v>
      </c>
      <c r="P291">
        <v>57988.79</v>
      </c>
      <c r="Q291">
        <v>1</v>
      </c>
      <c r="R291">
        <v>0</v>
      </c>
      <c r="S291">
        <v>3</v>
      </c>
      <c r="T291" s="1" t="s">
        <v>34</v>
      </c>
      <c r="U291" s="1" t="s">
        <v>101</v>
      </c>
      <c r="V291" s="1" t="s">
        <v>130</v>
      </c>
      <c r="W291" s="1" t="s">
        <v>83</v>
      </c>
      <c r="X291">
        <v>325469.11</v>
      </c>
      <c r="Y291" s="1" t="s">
        <v>2079</v>
      </c>
      <c r="Z291" s="1" t="s">
        <v>2083</v>
      </c>
      <c r="AO291" t="str">
        <v>P00348</v>
      </c>
    </row>
    <row r="292" spans="1:41" x14ac:dyDescent="0.35">
      <c r="A292" s="1" t="s">
        <v>1011</v>
      </c>
      <c r="B292" s="1" t="s">
        <v>328</v>
      </c>
      <c r="C292">
        <v>88</v>
      </c>
      <c r="D292" s="1" t="s">
        <v>25</v>
      </c>
      <c r="E292" s="1" t="s">
        <v>112</v>
      </c>
      <c r="F292" s="1" t="s">
        <v>227</v>
      </c>
      <c r="G292" s="2">
        <v>45789</v>
      </c>
      <c r="H292" s="2">
        <v>45795</v>
      </c>
      <c r="I292" s="1" t="s">
        <v>114</v>
      </c>
      <c r="J292" s="1" t="s">
        <v>137</v>
      </c>
      <c r="K292" s="1" t="s">
        <v>81</v>
      </c>
      <c r="L292" s="1" t="s">
        <v>66</v>
      </c>
      <c r="M292" s="1" t="s">
        <v>2078</v>
      </c>
      <c r="N292">
        <v>0</v>
      </c>
      <c r="O292">
        <v>0</v>
      </c>
      <c r="P292">
        <v>101128.96000000001</v>
      </c>
      <c r="Q292">
        <v>6</v>
      </c>
      <c r="R292">
        <v>124</v>
      </c>
      <c r="S292">
        <v>2.6</v>
      </c>
      <c r="T292" s="1" t="s">
        <v>34</v>
      </c>
      <c r="U292" s="1" t="s">
        <v>35</v>
      </c>
      <c r="V292" s="1" t="s">
        <v>130</v>
      </c>
      <c r="W292" s="1" t="s">
        <v>83</v>
      </c>
      <c r="X292">
        <v>101128.96000000001</v>
      </c>
      <c r="Y292" s="1" t="s">
        <v>2088</v>
      </c>
      <c r="Z292" s="1" t="s">
        <v>2080</v>
      </c>
      <c r="AO292" t="str">
        <v>P00349</v>
      </c>
    </row>
    <row r="293" spans="1:41" x14ac:dyDescent="0.35">
      <c r="A293" s="1" t="s">
        <v>1013</v>
      </c>
      <c r="B293" s="1" t="s">
        <v>446</v>
      </c>
      <c r="C293">
        <v>0</v>
      </c>
      <c r="D293" s="1" t="s">
        <v>25</v>
      </c>
      <c r="E293" s="1" t="s">
        <v>177</v>
      </c>
      <c r="F293" s="1" t="s">
        <v>41</v>
      </c>
      <c r="G293" s="2">
        <v>45574</v>
      </c>
      <c r="H293" s="2">
        <v>45578</v>
      </c>
      <c r="I293" s="1" t="s">
        <v>277</v>
      </c>
      <c r="J293" s="1" t="s">
        <v>137</v>
      </c>
      <c r="K293" s="1" t="s">
        <v>31</v>
      </c>
      <c r="L293" s="1" t="s">
        <v>32</v>
      </c>
      <c r="M293" s="1" t="s">
        <v>2078</v>
      </c>
      <c r="N293">
        <v>220472.57</v>
      </c>
      <c r="O293">
        <v>38195.53</v>
      </c>
      <c r="P293">
        <v>72728.100000000006</v>
      </c>
      <c r="Q293">
        <v>4</v>
      </c>
      <c r="R293">
        <v>18</v>
      </c>
      <c r="S293">
        <v>3.8</v>
      </c>
      <c r="T293" s="1" t="s">
        <v>46</v>
      </c>
      <c r="U293" s="1" t="s">
        <v>95</v>
      </c>
      <c r="V293" s="1" t="s">
        <v>130</v>
      </c>
      <c r="W293" s="1" t="s">
        <v>83</v>
      </c>
      <c r="X293">
        <v>331396.2</v>
      </c>
      <c r="Y293" s="1" t="s">
        <v>2093</v>
      </c>
      <c r="Z293" s="1" t="s">
        <v>2083</v>
      </c>
      <c r="AO293" t="str">
        <v>P00350</v>
      </c>
    </row>
    <row r="294" spans="1:41" x14ac:dyDescent="0.35">
      <c r="A294" s="1" t="s">
        <v>1016</v>
      </c>
      <c r="B294" s="1" t="s">
        <v>202</v>
      </c>
      <c r="C294">
        <v>43</v>
      </c>
      <c r="D294" s="1" t="s">
        <v>25</v>
      </c>
      <c r="E294" s="1" t="s">
        <v>177</v>
      </c>
      <c r="F294" s="1" t="s">
        <v>227</v>
      </c>
      <c r="G294" s="2">
        <v>45558</v>
      </c>
      <c r="H294" s="2">
        <v>45560</v>
      </c>
      <c r="I294" s="1" t="s">
        <v>114</v>
      </c>
      <c r="J294" s="1" t="s">
        <v>2081</v>
      </c>
      <c r="K294" s="1" t="s">
        <v>122</v>
      </c>
      <c r="L294" s="1" t="s">
        <v>44</v>
      </c>
      <c r="M294" s="1" t="s">
        <v>2078</v>
      </c>
      <c r="N294">
        <v>17197.2</v>
      </c>
      <c r="O294">
        <v>22508.080000000002</v>
      </c>
      <c r="P294">
        <v>43493.86</v>
      </c>
      <c r="Q294">
        <v>2</v>
      </c>
      <c r="R294">
        <v>291</v>
      </c>
      <c r="S294">
        <v>2.2999999999999998</v>
      </c>
      <c r="T294" s="1" t="s">
        <v>46</v>
      </c>
      <c r="U294" s="1" t="s">
        <v>95</v>
      </c>
      <c r="V294" s="1" t="s">
        <v>130</v>
      </c>
      <c r="W294" s="1" t="s">
        <v>83</v>
      </c>
      <c r="X294">
        <v>83199.14</v>
      </c>
      <c r="Y294" s="1" t="s">
        <v>2079</v>
      </c>
      <c r="Z294" s="1" t="s">
        <v>2080</v>
      </c>
      <c r="AO294" t="str">
        <v>P00351</v>
      </c>
    </row>
    <row r="295" spans="1:41" x14ac:dyDescent="0.35">
      <c r="A295" s="1" t="s">
        <v>1020</v>
      </c>
      <c r="B295" s="1" t="s">
        <v>1021</v>
      </c>
      <c r="C295">
        <v>67</v>
      </c>
      <c r="D295" s="1" t="s">
        <v>119</v>
      </c>
      <c r="E295" s="1" t="s">
        <v>107</v>
      </c>
      <c r="F295" s="1" t="s">
        <v>120</v>
      </c>
      <c r="G295" s="2">
        <v>45844</v>
      </c>
      <c r="H295" s="2">
        <v>45851</v>
      </c>
      <c r="I295" s="1" t="s">
        <v>273</v>
      </c>
      <c r="J295" s="1" t="s">
        <v>115</v>
      </c>
      <c r="K295" s="1" t="s">
        <v>91</v>
      </c>
      <c r="L295" s="1" t="s">
        <v>32</v>
      </c>
      <c r="M295" s="1" t="s">
        <v>2078</v>
      </c>
      <c r="N295">
        <v>132405.18</v>
      </c>
      <c r="O295">
        <v>0</v>
      </c>
      <c r="P295">
        <v>38910.58</v>
      </c>
      <c r="Q295">
        <v>7</v>
      </c>
      <c r="R295">
        <v>34</v>
      </c>
      <c r="S295">
        <v>3.6</v>
      </c>
      <c r="T295" s="1" t="s">
        <v>46</v>
      </c>
      <c r="U295" s="1" t="s">
        <v>35</v>
      </c>
      <c r="V295" s="1" t="s">
        <v>102</v>
      </c>
      <c r="W295" s="1" t="s">
        <v>36</v>
      </c>
      <c r="X295">
        <v>171315.76</v>
      </c>
      <c r="Y295" s="1" t="s">
        <v>2088</v>
      </c>
      <c r="Z295" s="1" t="s">
        <v>2091</v>
      </c>
      <c r="AO295" t="str">
        <v>P00352</v>
      </c>
    </row>
    <row r="296" spans="1:41" x14ac:dyDescent="0.35">
      <c r="A296" s="1" t="s">
        <v>1022</v>
      </c>
      <c r="B296" s="1" t="s">
        <v>1023</v>
      </c>
      <c r="C296">
        <v>32</v>
      </c>
      <c r="D296" s="1" t="s">
        <v>119</v>
      </c>
      <c r="E296" s="1" t="s">
        <v>86</v>
      </c>
      <c r="F296" s="1" t="s">
        <v>227</v>
      </c>
      <c r="G296" s="2">
        <v>46258</v>
      </c>
      <c r="H296" s="2">
        <v>46265</v>
      </c>
      <c r="I296" s="1" t="s">
        <v>127</v>
      </c>
      <c r="J296" s="1" t="s">
        <v>87</v>
      </c>
      <c r="K296" s="1" t="s">
        <v>91</v>
      </c>
      <c r="L296" s="1" t="s">
        <v>44</v>
      </c>
      <c r="M296" s="1" t="s">
        <v>2078</v>
      </c>
      <c r="N296">
        <v>214004.73</v>
      </c>
      <c r="O296">
        <v>31450.57</v>
      </c>
      <c r="P296">
        <v>70452.929999999993</v>
      </c>
      <c r="Q296">
        <v>7</v>
      </c>
      <c r="R296">
        <v>0</v>
      </c>
      <c r="S296">
        <v>2.9</v>
      </c>
      <c r="T296" s="1" t="s">
        <v>46</v>
      </c>
      <c r="U296" s="1" t="s">
        <v>35</v>
      </c>
      <c r="V296" s="1" t="s">
        <v>75</v>
      </c>
      <c r="W296" s="1" t="s">
        <v>36</v>
      </c>
      <c r="X296">
        <v>315908.23</v>
      </c>
      <c r="Y296" s="1" t="s">
        <v>2082</v>
      </c>
      <c r="Z296" s="1" t="s">
        <v>2083</v>
      </c>
      <c r="AO296" t="str">
        <v>P00354</v>
      </c>
    </row>
    <row r="297" spans="1:41" x14ac:dyDescent="0.35">
      <c r="A297" s="1" t="s">
        <v>1025</v>
      </c>
      <c r="B297" s="1" t="s">
        <v>1026</v>
      </c>
      <c r="C297">
        <v>69</v>
      </c>
      <c r="D297" s="1" t="s">
        <v>25</v>
      </c>
      <c r="E297" s="1" t="s">
        <v>263</v>
      </c>
      <c r="F297" s="1" t="s">
        <v>108</v>
      </c>
      <c r="G297" s="2">
        <v>45491</v>
      </c>
      <c r="H297" s="2">
        <v>45494</v>
      </c>
      <c r="I297" s="1" t="s">
        <v>273</v>
      </c>
      <c r="J297" s="1" t="s">
        <v>87</v>
      </c>
      <c r="K297" s="1" t="s">
        <v>174</v>
      </c>
      <c r="L297" s="1" t="s">
        <v>44</v>
      </c>
      <c r="M297" s="1" t="s">
        <v>2090</v>
      </c>
      <c r="N297">
        <v>151133.66</v>
      </c>
      <c r="O297">
        <v>0</v>
      </c>
      <c r="P297">
        <v>63591.34</v>
      </c>
      <c r="Q297">
        <v>3</v>
      </c>
      <c r="R297">
        <v>47</v>
      </c>
      <c r="S297">
        <v>2.2000000000000002</v>
      </c>
      <c r="T297" s="1" t="s">
        <v>46</v>
      </c>
      <c r="U297" s="1" t="s">
        <v>35</v>
      </c>
      <c r="V297" s="1" t="s">
        <v>75</v>
      </c>
      <c r="W297" s="1" t="s">
        <v>59</v>
      </c>
      <c r="X297">
        <v>214725</v>
      </c>
      <c r="Y297" s="1" t="s">
        <v>2088</v>
      </c>
      <c r="Z297" s="1" t="s">
        <v>2091</v>
      </c>
      <c r="AO297" t="str">
        <v>P00355</v>
      </c>
    </row>
    <row r="298" spans="1:41" x14ac:dyDescent="0.35">
      <c r="A298" s="1" t="s">
        <v>1028</v>
      </c>
      <c r="B298" s="1" t="s">
        <v>829</v>
      </c>
      <c r="C298">
        <v>38</v>
      </c>
      <c r="D298" s="1" t="s">
        <v>119</v>
      </c>
      <c r="E298" s="1" t="s">
        <v>219</v>
      </c>
      <c r="F298" s="1" t="s">
        <v>87</v>
      </c>
      <c r="G298" s="2">
        <v>45443</v>
      </c>
      <c r="H298" s="2">
        <v>45445</v>
      </c>
      <c r="I298" s="1" t="s">
        <v>173</v>
      </c>
      <c r="J298" s="1" t="s">
        <v>141</v>
      </c>
      <c r="K298" s="1" t="s">
        <v>153</v>
      </c>
      <c r="L298" s="1" t="s">
        <v>66</v>
      </c>
      <c r="M298" s="1" t="s">
        <v>2085</v>
      </c>
      <c r="N298">
        <v>135335.75</v>
      </c>
      <c r="O298">
        <v>0</v>
      </c>
      <c r="P298">
        <v>71911.990000000005</v>
      </c>
      <c r="Q298">
        <v>2</v>
      </c>
      <c r="R298">
        <v>190</v>
      </c>
      <c r="S298">
        <v>4.5</v>
      </c>
      <c r="T298" s="1" t="s">
        <v>46</v>
      </c>
      <c r="U298" s="1" t="s">
        <v>35</v>
      </c>
      <c r="V298" s="1" t="s">
        <v>75</v>
      </c>
      <c r="W298" s="1" t="s">
        <v>59</v>
      </c>
      <c r="X298">
        <v>207247.74</v>
      </c>
      <c r="Y298" s="1" t="s">
        <v>2079</v>
      </c>
      <c r="Z298" s="1" t="s">
        <v>2080</v>
      </c>
      <c r="AO298" t="str">
        <v>P00357</v>
      </c>
    </row>
    <row r="299" spans="1:41" x14ac:dyDescent="0.35">
      <c r="A299" s="1" t="s">
        <v>1030</v>
      </c>
      <c r="B299" s="1" t="s">
        <v>468</v>
      </c>
      <c r="C299">
        <v>38</v>
      </c>
      <c r="D299" s="1" t="s">
        <v>119</v>
      </c>
      <c r="E299" s="1" t="s">
        <v>26</v>
      </c>
      <c r="F299" s="1" t="s">
        <v>135</v>
      </c>
      <c r="G299" s="2">
        <v>46211</v>
      </c>
      <c r="H299" s="2">
        <v>46212</v>
      </c>
      <c r="I299" s="1" t="s">
        <v>221</v>
      </c>
      <c r="J299" s="1" t="s">
        <v>147</v>
      </c>
      <c r="K299" s="1" t="s">
        <v>31</v>
      </c>
      <c r="L299" s="1" t="s">
        <v>66</v>
      </c>
      <c r="M299" s="1" t="s">
        <v>2090</v>
      </c>
      <c r="N299">
        <v>219087.02</v>
      </c>
      <c r="O299">
        <v>44969.86</v>
      </c>
      <c r="P299">
        <v>65050.21</v>
      </c>
      <c r="Q299">
        <v>1</v>
      </c>
      <c r="R299">
        <v>39</v>
      </c>
      <c r="S299">
        <v>3.8</v>
      </c>
      <c r="T299" s="1" t="s">
        <v>34</v>
      </c>
      <c r="U299" s="1" t="s">
        <v>35</v>
      </c>
      <c r="V299" s="1" t="s">
        <v>75</v>
      </c>
      <c r="W299" s="1" t="s">
        <v>131</v>
      </c>
      <c r="X299">
        <v>329107.09000000003</v>
      </c>
      <c r="Y299" s="1" t="s">
        <v>2079</v>
      </c>
      <c r="Z299" s="1" t="s">
        <v>2091</v>
      </c>
      <c r="AO299" t="str">
        <v>P00358</v>
      </c>
    </row>
    <row r="300" spans="1:41" x14ac:dyDescent="0.35">
      <c r="A300" s="1" t="s">
        <v>1032</v>
      </c>
      <c r="B300" s="1" t="s">
        <v>312</v>
      </c>
      <c r="C300">
        <v>75</v>
      </c>
      <c r="D300" s="1" t="s">
        <v>119</v>
      </c>
      <c r="E300" s="1" t="s">
        <v>112</v>
      </c>
      <c r="F300" s="1" t="s">
        <v>135</v>
      </c>
      <c r="G300" s="2">
        <v>45755</v>
      </c>
      <c r="H300" s="2">
        <v>45877</v>
      </c>
      <c r="I300" s="1" t="s">
        <v>273</v>
      </c>
      <c r="J300" s="1" t="s">
        <v>2081</v>
      </c>
      <c r="K300" s="1" t="s">
        <v>174</v>
      </c>
      <c r="L300" s="1" t="s">
        <v>44</v>
      </c>
      <c r="M300" s="1" t="s">
        <v>2089</v>
      </c>
      <c r="N300">
        <v>318630.92</v>
      </c>
      <c r="O300">
        <v>49726.42</v>
      </c>
      <c r="P300">
        <v>47514.8</v>
      </c>
      <c r="Q300">
        <v>4</v>
      </c>
      <c r="R300">
        <v>200</v>
      </c>
      <c r="S300">
        <v>4.2</v>
      </c>
      <c r="T300" s="1" t="s">
        <v>34</v>
      </c>
      <c r="U300" s="1" t="s">
        <v>95</v>
      </c>
      <c r="V300" s="1" t="s">
        <v>75</v>
      </c>
      <c r="W300" s="1" t="s">
        <v>131</v>
      </c>
      <c r="X300">
        <v>415872.13999999996</v>
      </c>
      <c r="Y300" s="1" t="s">
        <v>2088</v>
      </c>
      <c r="Z300" s="1" t="s">
        <v>2080</v>
      </c>
      <c r="AO300" t="str">
        <v>P00359</v>
      </c>
    </row>
    <row r="301" spans="1:41" x14ac:dyDescent="0.35">
      <c r="A301" s="1" t="s">
        <v>1036</v>
      </c>
      <c r="B301" s="1" t="s">
        <v>1037</v>
      </c>
      <c r="C301">
        <v>49</v>
      </c>
      <c r="D301" s="1" t="s">
        <v>119</v>
      </c>
      <c r="E301" s="1" t="s">
        <v>157</v>
      </c>
      <c r="F301" s="1" t="s">
        <v>227</v>
      </c>
      <c r="G301" s="2">
        <v>45556</v>
      </c>
      <c r="H301" s="2">
        <v>45559</v>
      </c>
      <c r="I301" s="1" t="s">
        <v>114</v>
      </c>
      <c r="J301" s="1" t="s">
        <v>87</v>
      </c>
      <c r="K301" s="1" t="s">
        <v>81</v>
      </c>
      <c r="L301" s="1" t="s">
        <v>44</v>
      </c>
      <c r="M301" s="1" t="s">
        <v>2087</v>
      </c>
      <c r="N301">
        <v>457994.03</v>
      </c>
      <c r="O301">
        <v>56788.58</v>
      </c>
      <c r="P301">
        <v>50719.07</v>
      </c>
      <c r="Q301">
        <v>3</v>
      </c>
      <c r="R301">
        <v>165</v>
      </c>
      <c r="S301">
        <v>2.4</v>
      </c>
      <c r="T301" s="1" t="s">
        <v>46</v>
      </c>
      <c r="U301" s="1" t="s">
        <v>95</v>
      </c>
      <c r="V301" s="1" t="s">
        <v>102</v>
      </c>
      <c r="W301" s="1" t="s">
        <v>83</v>
      </c>
      <c r="X301">
        <v>565501.68000000005</v>
      </c>
      <c r="Y301" s="1" t="s">
        <v>2079</v>
      </c>
      <c r="Z301" s="1" t="s">
        <v>2080</v>
      </c>
      <c r="AO301" t="str">
        <v>P00360</v>
      </c>
    </row>
    <row r="302" spans="1:41" x14ac:dyDescent="0.35">
      <c r="A302" s="1" t="s">
        <v>1039</v>
      </c>
      <c r="B302" s="1" t="s">
        <v>1040</v>
      </c>
      <c r="C302">
        <v>82</v>
      </c>
      <c r="D302" s="1" t="s">
        <v>119</v>
      </c>
      <c r="E302" s="1" t="s">
        <v>107</v>
      </c>
      <c r="F302" s="1" t="s">
        <v>63</v>
      </c>
      <c r="G302" s="2">
        <v>45656</v>
      </c>
      <c r="H302" s="2">
        <v>45660</v>
      </c>
      <c r="I302" s="1" t="s">
        <v>114</v>
      </c>
      <c r="J302" s="1" t="s">
        <v>141</v>
      </c>
      <c r="K302" s="1" t="s">
        <v>55</v>
      </c>
      <c r="L302" s="1" t="s">
        <v>32</v>
      </c>
      <c r="M302" s="1" t="s">
        <v>2092</v>
      </c>
      <c r="N302">
        <v>189473.57</v>
      </c>
      <c r="O302">
        <v>8809.15</v>
      </c>
      <c r="P302">
        <v>25437.33</v>
      </c>
      <c r="Q302">
        <v>4</v>
      </c>
      <c r="R302">
        <v>13</v>
      </c>
      <c r="S302">
        <v>2.7</v>
      </c>
      <c r="T302" s="1" t="s">
        <v>46</v>
      </c>
      <c r="U302" s="1" t="s">
        <v>149</v>
      </c>
      <c r="V302" s="1" t="s">
        <v>75</v>
      </c>
      <c r="W302" s="1" t="s">
        <v>83</v>
      </c>
      <c r="X302">
        <v>223720.05</v>
      </c>
      <c r="Y302" s="1" t="s">
        <v>2088</v>
      </c>
      <c r="Z302" s="1" t="s">
        <v>2083</v>
      </c>
      <c r="AO302" t="str">
        <v>P00361</v>
      </c>
    </row>
    <row r="303" spans="1:41" x14ac:dyDescent="0.35">
      <c r="A303" s="1" t="s">
        <v>1042</v>
      </c>
      <c r="B303" s="1" t="s">
        <v>275</v>
      </c>
      <c r="C303">
        <v>12</v>
      </c>
      <c r="D303" s="1" t="s">
        <v>25</v>
      </c>
      <c r="E303" s="1" t="s">
        <v>157</v>
      </c>
      <c r="F303" s="1" t="s">
        <v>145</v>
      </c>
      <c r="G303" s="2">
        <v>46006</v>
      </c>
      <c r="H303" s="2">
        <v>46008</v>
      </c>
      <c r="I303" s="1" t="s">
        <v>173</v>
      </c>
      <c r="J303" s="1" t="s">
        <v>141</v>
      </c>
      <c r="K303" s="1" t="s">
        <v>163</v>
      </c>
      <c r="L303" s="1" t="s">
        <v>44</v>
      </c>
      <c r="M303" s="1" t="s">
        <v>2078</v>
      </c>
      <c r="N303">
        <v>222186.57</v>
      </c>
      <c r="O303">
        <v>52556.93</v>
      </c>
      <c r="P303">
        <v>17767.310000000001</v>
      </c>
      <c r="Q303">
        <v>2</v>
      </c>
      <c r="R303">
        <v>208</v>
      </c>
      <c r="S303">
        <v>4.4000000000000004</v>
      </c>
      <c r="T303" s="1" t="s">
        <v>46</v>
      </c>
      <c r="U303" s="1" t="s">
        <v>95</v>
      </c>
      <c r="V303" s="1" t="s">
        <v>102</v>
      </c>
      <c r="W303" s="1" t="s">
        <v>83</v>
      </c>
      <c r="X303">
        <v>292510.81</v>
      </c>
      <c r="Y303" s="1" t="s">
        <v>2093</v>
      </c>
      <c r="Z303" s="1" t="s">
        <v>2080</v>
      </c>
      <c r="AO303" t="str">
        <v>P00362</v>
      </c>
    </row>
    <row r="304" spans="1:41" x14ac:dyDescent="0.35">
      <c r="A304" s="1" t="s">
        <v>1044</v>
      </c>
      <c r="B304" s="1" t="s">
        <v>1045</v>
      </c>
      <c r="C304">
        <v>28</v>
      </c>
      <c r="D304" s="1" t="s">
        <v>25</v>
      </c>
      <c r="E304" s="1" t="s">
        <v>26</v>
      </c>
      <c r="F304" s="1" t="s">
        <v>41</v>
      </c>
      <c r="G304" s="2">
        <v>45484</v>
      </c>
      <c r="H304" s="2">
        <v>45490</v>
      </c>
      <c r="I304" s="1" t="s">
        <v>221</v>
      </c>
      <c r="J304" s="1" t="s">
        <v>87</v>
      </c>
      <c r="K304" s="1" t="s">
        <v>55</v>
      </c>
      <c r="L304" s="1" t="s">
        <v>32</v>
      </c>
      <c r="M304" s="1" t="s">
        <v>2089</v>
      </c>
      <c r="N304">
        <v>339633.53</v>
      </c>
      <c r="O304">
        <v>2701.65</v>
      </c>
      <c r="P304">
        <v>71707.429999999993</v>
      </c>
      <c r="Q304">
        <v>6</v>
      </c>
      <c r="R304">
        <v>107</v>
      </c>
      <c r="S304">
        <v>4.4000000000000004</v>
      </c>
      <c r="T304" s="1" t="s">
        <v>46</v>
      </c>
      <c r="U304" s="1" t="s">
        <v>35</v>
      </c>
      <c r="V304" s="1" t="s">
        <v>75</v>
      </c>
      <c r="W304" s="1" t="s">
        <v>83</v>
      </c>
      <c r="X304">
        <v>414042.61000000004</v>
      </c>
      <c r="Y304" s="1" t="s">
        <v>2082</v>
      </c>
      <c r="Z304" s="1" t="s">
        <v>2080</v>
      </c>
      <c r="AO304" t="str">
        <v>P00363</v>
      </c>
    </row>
    <row r="305" spans="1:41" x14ac:dyDescent="0.35">
      <c r="A305" s="1" t="s">
        <v>1046</v>
      </c>
      <c r="B305" s="1" t="s">
        <v>328</v>
      </c>
      <c r="C305">
        <v>23</v>
      </c>
      <c r="D305" s="1" t="s">
        <v>119</v>
      </c>
      <c r="E305" s="1" t="s">
        <v>157</v>
      </c>
      <c r="F305" s="1" t="s">
        <v>108</v>
      </c>
      <c r="G305" s="2">
        <v>45603</v>
      </c>
      <c r="H305" s="2">
        <v>45604</v>
      </c>
      <c r="I305" s="1" t="s">
        <v>277</v>
      </c>
      <c r="J305" s="1" t="s">
        <v>87</v>
      </c>
      <c r="K305" s="1" t="s">
        <v>55</v>
      </c>
      <c r="L305" s="1" t="s">
        <v>32</v>
      </c>
      <c r="M305" s="1" t="s">
        <v>2089</v>
      </c>
      <c r="N305">
        <v>303611.95</v>
      </c>
      <c r="O305">
        <v>6291.3</v>
      </c>
      <c r="P305">
        <v>58896.19</v>
      </c>
      <c r="Q305">
        <v>1</v>
      </c>
      <c r="R305">
        <v>0</v>
      </c>
      <c r="S305">
        <v>4.8</v>
      </c>
      <c r="T305" s="1" t="s">
        <v>46</v>
      </c>
      <c r="U305" s="1" t="s">
        <v>95</v>
      </c>
      <c r="V305" s="1" t="s">
        <v>102</v>
      </c>
      <c r="W305" s="1" t="s">
        <v>59</v>
      </c>
      <c r="X305">
        <v>368799.44</v>
      </c>
      <c r="Y305" s="1" t="s">
        <v>2082</v>
      </c>
      <c r="Z305" s="1" t="s">
        <v>2083</v>
      </c>
      <c r="AO305" t="str">
        <v>P00364</v>
      </c>
    </row>
    <row r="306" spans="1:41" x14ac:dyDescent="0.35">
      <c r="A306" s="1" t="s">
        <v>1047</v>
      </c>
      <c r="B306" s="1" t="s">
        <v>397</v>
      </c>
      <c r="C306">
        <v>55</v>
      </c>
      <c r="D306" s="1" t="s">
        <v>25</v>
      </c>
      <c r="E306" s="1" t="s">
        <v>51</v>
      </c>
      <c r="F306" s="1" t="s">
        <v>108</v>
      </c>
      <c r="G306" s="2">
        <v>46067</v>
      </c>
      <c r="H306" s="2">
        <v>46068</v>
      </c>
      <c r="I306" s="1" t="s">
        <v>127</v>
      </c>
      <c r="J306" s="1" t="s">
        <v>141</v>
      </c>
      <c r="K306" s="1" t="s">
        <v>55</v>
      </c>
      <c r="L306" s="1" t="s">
        <v>32</v>
      </c>
      <c r="M306" s="1" t="s">
        <v>2089</v>
      </c>
      <c r="N306">
        <v>307588.33</v>
      </c>
      <c r="O306">
        <v>12580.7</v>
      </c>
      <c r="P306">
        <v>62460.800000000003</v>
      </c>
      <c r="Q306">
        <v>1</v>
      </c>
      <c r="R306">
        <v>114</v>
      </c>
      <c r="S306">
        <v>3</v>
      </c>
      <c r="T306" s="1" t="s">
        <v>34</v>
      </c>
      <c r="U306" s="1" t="s">
        <v>95</v>
      </c>
      <c r="V306" s="1" t="s">
        <v>102</v>
      </c>
      <c r="W306" s="1" t="s">
        <v>131</v>
      </c>
      <c r="X306">
        <v>382629.83</v>
      </c>
      <c r="Y306" s="1" t="s">
        <v>2079</v>
      </c>
      <c r="Z306" s="1" t="s">
        <v>2080</v>
      </c>
      <c r="AO306" t="str">
        <v>P00365</v>
      </c>
    </row>
    <row r="307" spans="1:41" x14ac:dyDescent="0.35">
      <c r="A307" s="1" t="s">
        <v>1048</v>
      </c>
      <c r="B307" s="1" t="s">
        <v>624</v>
      </c>
      <c r="C307">
        <v>0</v>
      </c>
      <c r="D307" s="1" t="s">
        <v>25</v>
      </c>
      <c r="E307" s="1" t="s">
        <v>112</v>
      </c>
      <c r="F307" s="1" t="s">
        <v>135</v>
      </c>
      <c r="G307" s="2">
        <v>45908</v>
      </c>
      <c r="H307" s="2">
        <v>45909</v>
      </c>
      <c r="I307" s="1" t="s">
        <v>173</v>
      </c>
      <c r="J307" s="1" t="s">
        <v>141</v>
      </c>
      <c r="K307" s="1" t="s">
        <v>55</v>
      </c>
      <c r="L307" s="1" t="s">
        <v>32</v>
      </c>
      <c r="M307" s="1" t="s">
        <v>2089</v>
      </c>
      <c r="N307">
        <v>268951.01</v>
      </c>
      <c r="O307">
        <v>0</v>
      </c>
      <c r="P307">
        <v>47860.33</v>
      </c>
      <c r="Q307">
        <v>1</v>
      </c>
      <c r="R307">
        <v>75</v>
      </c>
      <c r="S307">
        <v>4.5999999999999996</v>
      </c>
      <c r="T307" s="1" t="s">
        <v>34</v>
      </c>
      <c r="U307" s="1" t="s">
        <v>35</v>
      </c>
      <c r="V307" s="1" t="s">
        <v>102</v>
      </c>
      <c r="W307" s="1" t="s">
        <v>83</v>
      </c>
      <c r="X307">
        <v>316811.34000000003</v>
      </c>
      <c r="Y307" s="1" t="s">
        <v>2093</v>
      </c>
      <c r="Z307" s="1" t="s">
        <v>2080</v>
      </c>
      <c r="AO307" t="str">
        <v>P00366</v>
      </c>
    </row>
    <row r="308" spans="1:41" x14ac:dyDescent="0.35">
      <c r="A308" s="1" t="s">
        <v>1050</v>
      </c>
      <c r="B308" s="1" t="s">
        <v>446</v>
      </c>
      <c r="C308">
        <v>35</v>
      </c>
      <c r="D308" s="1" t="s">
        <v>25</v>
      </c>
      <c r="E308" s="1" t="s">
        <v>112</v>
      </c>
      <c r="F308" s="1" t="s">
        <v>63</v>
      </c>
      <c r="G308" s="2">
        <v>45833</v>
      </c>
      <c r="H308" s="2">
        <v>45835</v>
      </c>
      <c r="I308" s="1" t="s">
        <v>100</v>
      </c>
      <c r="J308" s="1" t="s">
        <v>141</v>
      </c>
      <c r="K308" s="1" t="s">
        <v>31</v>
      </c>
      <c r="L308" s="1" t="s">
        <v>32</v>
      </c>
      <c r="M308" s="1" t="s">
        <v>2089</v>
      </c>
      <c r="N308">
        <v>322461.90000000002</v>
      </c>
      <c r="O308">
        <v>38376.449999999997</v>
      </c>
      <c r="P308">
        <v>54484.68</v>
      </c>
      <c r="Q308">
        <v>2</v>
      </c>
      <c r="R308">
        <v>130</v>
      </c>
      <c r="S308">
        <v>1.7</v>
      </c>
      <c r="T308" s="1" t="s">
        <v>34</v>
      </c>
      <c r="U308" s="1" t="s">
        <v>35</v>
      </c>
      <c r="V308" s="1" t="s">
        <v>130</v>
      </c>
      <c r="W308" s="1" t="s">
        <v>83</v>
      </c>
      <c r="X308">
        <v>415323.03</v>
      </c>
      <c r="Y308" s="1" t="s">
        <v>2082</v>
      </c>
      <c r="Z308" s="1" t="s">
        <v>2080</v>
      </c>
      <c r="AO308" t="str">
        <v>P00368</v>
      </c>
    </row>
    <row r="309" spans="1:41" x14ac:dyDescent="0.35">
      <c r="A309" s="1" t="s">
        <v>1051</v>
      </c>
      <c r="B309" s="1" t="s">
        <v>729</v>
      </c>
      <c r="C309">
        <v>56</v>
      </c>
      <c r="D309" s="1" t="s">
        <v>25</v>
      </c>
      <c r="E309" s="1" t="s">
        <v>26</v>
      </c>
      <c r="F309" s="1" t="s">
        <v>87</v>
      </c>
      <c r="G309" s="2">
        <v>46146</v>
      </c>
      <c r="H309" s="2">
        <v>46151</v>
      </c>
      <c r="I309" s="1" t="s">
        <v>159</v>
      </c>
      <c r="J309" s="1" t="s">
        <v>54</v>
      </c>
      <c r="K309" s="1" t="s">
        <v>31</v>
      </c>
      <c r="L309" s="1" t="s">
        <v>44</v>
      </c>
      <c r="M309" s="1" t="s">
        <v>57</v>
      </c>
      <c r="N309">
        <v>77664.36</v>
      </c>
      <c r="O309">
        <v>23897.99</v>
      </c>
      <c r="P309">
        <v>43820.78</v>
      </c>
      <c r="Q309">
        <v>5</v>
      </c>
      <c r="R309">
        <v>84</v>
      </c>
      <c r="S309">
        <v>4.0999999999999996</v>
      </c>
      <c r="T309" s="1" t="s">
        <v>34</v>
      </c>
      <c r="U309" s="1" t="s">
        <v>35</v>
      </c>
      <c r="V309" s="1" t="s">
        <v>75</v>
      </c>
      <c r="W309" s="1" t="s">
        <v>83</v>
      </c>
      <c r="X309">
        <v>145383.13</v>
      </c>
      <c r="Y309" s="1" t="s">
        <v>2079</v>
      </c>
      <c r="Z309" s="1" t="s">
        <v>2080</v>
      </c>
      <c r="AO309" t="str">
        <v>P00370</v>
      </c>
    </row>
    <row r="310" spans="1:41" x14ac:dyDescent="0.35">
      <c r="A310" s="1" t="s">
        <v>1052</v>
      </c>
      <c r="B310" s="1" t="s">
        <v>249</v>
      </c>
      <c r="C310">
        <v>66</v>
      </c>
      <c r="D310" s="1" t="s">
        <v>25</v>
      </c>
      <c r="E310" s="1" t="s">
        <v>26</v>
      </c>
      <c r="F310" s="1" t="s">
        <v>120</v>
      </c>
      <c r="G310" s="2">
        <v>45376</v>
      </c>
      <c r="H310" s="2">
        <v>45384</v>
      </c>
      <c r="I310" s="1" t="s">
        <v>273</v>
      </c>
      <c r="J310" s="1" t="s">
        <v>2081</v>
      </c>
      <c r="K310" s="1" t="s">
        <v>91</v>
      </c>
      <c r="L310" s="1" t="s">
        <v>32</v>
      </c>
      <c r="M310" s="1" t="s">
        <v>2090</v>
      </c>
      <c r="N310">
        <v>36289.31</v>
      </c>
      <c r="O310">
        <v>45551.75</v>
      </c>
      <c r="P310">
        <v>84868</v>
      </c>
      <c r="Q310">
        <v>8</v>
      </c>
      <c r="R310">
        <v>124</v>
      </c>
      <c r="S310">
        <v>5</v>
      </c>
      <c r="T310" s="1" t="s">
        <v>46</v>
      </c>
      <c r="U310" s="1" t="s">
        <v>35</v>
      </c>
      <c r="V310" s="1" t="s">
        <v>130</v>
      </c>
      <c r="W310" s="1" t="s">
        <v>83</v>
      </c>
      <c r="X310">
        <v>166709.06</v>
      </c>
      <c r="Y310" s="1" t="s">
        <v>2088</v>
      </c>
      <c r="Z310" s="1" t="s">
        <v>2080</v>
      </c>
      <c r="AO310" t="str">
        <v>P00371</v>
      </c>
    </row>
    <row r="311" spans="1:41" x14ac:dyDescent="0.35">
      <c r="A311" s="1" t="s">
        <v>1056</v>
      </c>
      <c r="B311" s="1" t="s">
        <v>438</v>
      </c>
      <c r="C311">
        <v>24</v>
      </c>
      <c r="D311" s="1" t="s">
        <v>25</v>
      </c>
      <c r="E311" s="1" t="s">
        <v>112</v>
      </c>
      <c r="F311" s="1" t="s">
        <v>227</v>
      </c>
      <c r="G311" s="2">
        <v>45358</v>
      </c>
      <c r="H311" s="2">
        <v>45367</v>
      </c>
      <c r="I311" s="1" t="s">
        <v>159</v>
      </c>
      <c r="J311" s="1" t="s">
        <v>90</v>
      </c>
      <c r="K311" s="1" t="s">
        <v>81</v>
      </c>
      <c r="L311" s="1" t="s">
        <v>44</v>
      </c>
      <c r="M311" s="1" t="s">
        <v>57</v>
      </c>
      <c r="N311">
        <v>434531.48</v>
      </c>
      <c r="O311">
        <v>42496.6</v>
      </c>
      <c r="P311">
        <v>3020.81</v>
      </c>
      <c r="Q311">
        <v>9</v>
      </c>
      <c r="R311">
        <v>122</v>
      </c>
      <c r="S311">
        <v>1</v>
      </c>
      <c r="T311" s="1" t="s">
        <v>46</v>
      </c>
      <c r="U311" s="1" t="s">
        <v>35</v>
      </c>
      <c r="V311" s="1" t="s">
        <v>75</v>
      </c>
      <c r="W311" s="1" t="s">
        <v>12</v>
      </c>
      <c r="X311">
        <v>480048.88999999996</v>
      </c>
      <c r="Y311" s="1" t="s">
        <v>2082</v>
      </c>
      <c r="Z311" s="1" t="s">
        <v>2080</v>
      </c>
      <c r="AO311" t="str">
        <v>P00372</v>
      </c>
    </row>
    <row r="312" spans="1:41" x14ac:dyDescent="0.35">
      <c r="A312" s="1" t="s">
        <v>1058</v>
      </c>
      <c r="B312" s="1" t="s">
        <v>196</v>
      </c>
      <c r="C312">
        <v>62</v>
      </c>
      <c r="D312" s="1" t="s">
        <v>119</v>
      </c>
      <c r="E312" s="1" t="s">
        <v>112</v>
      </c>
      <c r="F312" s="1" t="s">
        <v>145</v>
      </c>
      <c r="G312" s="2">
        <v>45779</v>
      </c>
      <c r="H312" s="2">
        <v>45783</v>
      </c>
      <c r="I312" s="1" t="s">
        <v>29</v>
      </c>
      <c r="J312" s="1" t="s">
        <v>147</v>
      </c>
      <c r="K312" s="1" t="s">
        <v>81</v>
      </c>
      <c r="L312" s="1" t="s">
        <v>44</v>
      </c>
      <c r="M312" s="1" t="s">
        <v>57</v>
      </c>
      <c r="N312">
        <v>137070.17000000001</v>
      </c>
      <c r="O312">
        <v>33088.69</v>
      </c>
      <c r="P312">
        <v>103624.72</v>
      </c>
      <c r="Q312">
        <v>4</v>
      </c>
      <c r="R312">
        <v>57</v>
      </c>
      <c r="S312">
        <v>2.2999999999999998</v>
      </c>
      <c r="T312" s="1" t="s">
        <v>46</v>
      </c>
      <c r="U312" s="1" t="s">
        <v>95</v>
      </c>
      <c r="V312" s="1" t="s">
        <v>75</v>
      </c>
      <c r="W312" s="1" t="s">
        <v>12</v>
      </c>
      <c r="X312">
        <v>273783.58</v>
      </c>
      <c r="Y312" s="1" t="s">
        <v>2088</v>
      </c>
      <c r="Z312" s="1" t="s">
        <v>2091</v>
      </c>
      <c r="AO312" t="str">
        <v>P00373</v>
      </c>
    </row>
    <row r="313" spans="1:41" x14ac:dyDescent="0.35">
      <c r="A313" s="1" t="s">
        <v>1059</v>
      </c>
      <c r="B313" s="1" t="s">
        <v>494</v>
      </c>
      <c r="C313">
        <v>86</v>
      </c>
      <c r="D313" s="1" t="s">
        <v>119</v>
      </c>
      <c r="E313" s="1" t="s">
        <v>2084</v>
      </c>
      <c r="F313" s="1" t="s">
        <v>135</v>
      </c>
      <c r="G313" s="2">
        <v>45475</v>
      </c>
      <c r="H313" s="2">
        <v>45483</v>
      </c>
      <c r="I313" s="1" t="s">
        <v>114</v>
      </c>
      <c r="J313" s="1" t="s">
        <v>90</v>
      </c>
      <c r="K313" s="1" t="s">
        <v>81</v>
      </c>
      <c r="L313" s="1" t="s">
        <v>44</v>
      </c>
      <c r="M313" s="1" t="s">
        <v>57</v>
      </c>
      <c r="N313">
        <v>220517.39</v>
      </c>
      <c r="O313">
        <v>55286.58</v>
      </c>
      <c r="P313">
        <v>85244.28</v>
      </c>
      <c r="Q313">
        <v>8</v>
      </c>
      <c r="R313">
        <v>39</v>
      </c>
      <c r="S313">
        <v>3.1</v>
      </c>
      <c r="T313" s="1" t="s">
        <v>34</v>
      </c>
      <c r="U313" s="1" t="s">
        <v>95</v>
      </c>
      <c r="V313" s="1" t="s">
        <v>75</v>
      </c>
      <c r="W313" s="1" t="s">
        <v>59</v>
      </c>
      <c r="X313">
        <v>361048.25</v>
      </c>
      <c r="Y313" s="1" t="s">
        <v>2088</v>
      </c>
      <c r="Z313" s="1" t="s">
        <v>2091</v>
      </c>
      <c r="AO313" t="str">
        <v>P00374</v>
      </c>
    </row>
    <row r="314" spans="1:41" x14ac:dyDescent="0.35">
      <c r="A314" s="1" t="s">
        <v>1060</v>
      </c>
      <c r="B314" s="1" t="s">
        <v>716</v>
      </c>
      <c r="C314">
        <v>80</v>
      </c>
      <c r="D314" s="1" t="s">
        <v>119</v>
      </c>
      <c r="E314" s="1" t="s">
        <v>26</v>
      </c>
      <c r="F314" s="1" t="s">
        <v>120</v>
      </c>
      <c r="G314" s="2">
        <v>45310</v>
      </c>
      <c r="H314" s="2">
        <v>45317</v>
      </c>
      <c r="I314" s="1" t="s">
        <v>273</v>
      </c>
      <c r="J314" s="1" t="s">
        <v>137</v>
      </c>
      <c r="K314" s="1" t="s">
        <v>122</v>
      </c>
      <c r="L314" s="1" t="s">
        <v>44</v>
      </c>
      <c r="M314" s="1" t="s">
        <v>2086</v>
      </c>
      <c r="N314">
        <v>298803.32</v>
      </c>
      <c r="O314">
        <v>8004.64</v>
      </c>
      <c r="P314">
        <v>104611.83</v>
      </c>
      <c r="Q314">
        <v>7</v>
      </c>
      <c r="R314">
        <v>55</v>
      </c>
      <c r="S314">
        <v>3.3</v>
      </c>
      <c r="T314" s="1" t="s">
        <v>46</v>
      </c>
      <c r="U314" s="1" t="s">
        <v>95</v>
      </c>
      <c r="V314" s="1" t="s">
        <v>130</v>
      </c>
      <c r="W314" s="1" t="s">
        <v>36</v>
      </c>
      <c r="X314">
        <v>411419.79000000004</v>
      </c>
      <c r="Y314" s="1" t="s">
        <v>2088</v>
      </c>
      <c r="Z314" s="1" t="s">
        <v>2091</v>
      </c>
      <c r="AO314" t="str">
        <v>P00375</v>
      </c>
    </row>
    <row r="315" spans="1:41" x14ac:dyDescent="0.35">
      <c r="A315" s="1" t="s">
        <v>1062</v>
      </c>
      <c r="B315" s="1" t="s">
        <v>863</v>
      </c>
      <c r="C315">
        <v>77</v>
      </c>
      <c r="D315" s="1" t="s">
        <v>119</v>
      </c>
      <c r="E315" s="1" t="s">
        <v>26</v>
      </c>
      <c r="F315" s="1" t="s">
        <v>41</v>
      </c>
      <c r="G315" s="2">
        <v>45429</v>
      </c>
      <c r="H315" s="2">
        <v>45433</v>
      </c>
      <c r="I315" s="1" t="s">
        <v>127</v>
      </c>
      <c r="J315" s="1" t="s">
        <v>90</v>
      </c>
      <c r="K315" s="1" t="s">
        <v>148</v>
      </c>
      <c r="L315" s="1" t="s">
        <v>44</v>
      </c>
      <c r="M315" s="1" t="s">
        <v>2085</v>
      </c>
      <c r="N315">
        <v>339556.64</v>
      </c>
      <c r="O315">
        <v>40371.64</v>
      </c>
      <c r="P315">
        <v>58898.66</v>
      </c>
      <c r="Q315">
        <v>4</v>
      </c>
      <c r="R315">
        <v>98</v>
      </c>
      <c r="S315">
        <v>4.4000000000000004</v>
      </c>
      <c r="T315" s="1" t="s">
        <v>46</v>
      </c>
      <c r="U315" s="1" t="s">
        <v>95</v>
      </c>
      <c r="V315" s="1" t="s">
        <v>130</v>
      </c>
      <c r="W315" s="1" t="s">
        <v>36</v>
      </c>
      <c r="X315">
        <v>438826.94000000006</v>
      </c>
      <c r="Y315" s="1" t="s">
        <v>2088</v>
      </c>
      <c r="Z315" s="1" t="s">
        <v>2080</v>
      </c>
      <c r="AO315" t="str">
        <v>P00377</v>
      </c>
    </row>
    <row r="316" spans="1:41" x14ac:dyDescent="0.35">
      <c r="A316" s="1" t="s">
        <v>1065</v>
      </c>
      <c r="B316" s="1" t="s">
        <v>1066</v>
      </c>
      <c r="C316">
        <v>32</v>
      </c>
      <c r="D316" s="1" t="s">
        <v>119</v>
      </c>
      <c r="E316" s="1" t="s">
        <v>86</v>
      </c>
      <c r="F316" s="1" t="s">
        <v>227</v>
      </c>
      <c r="G316" s="2">
        <v>45532</v>
      </c>
      <c r="H316" s="2">
        <v>45541</v>
      </c>
      <c r="I316" s="1" t="s">
        <v>221</v>
      </c>
      <c r="J316" s="1" t="s">
        <v>90</v>
      </c>
      <c r="K316" s="1" t="s">
        <v>153</v>
      </c>
      <c r="L316" s="1" t="s">
        <v>44</v>
      </c>
      <c r="M316" s="1" t="s">
        <v>2085</v>
      </c>
      <c r="N316">
        <v>198882.72</v>
      </c>
      <c r="O316">
        <v>28151.31</v>
      </c>
      <c r="P316">
        <v>31450.22</v>
      </c>
      <c r="Q316">
        <v>9</v>
      </c>
      <c r="R316">
        <v>109</v>
      </c>
      <c r="S316">
        <v>2.7</v>
      </c>
      <c r="T316" s="1" t="s">
        <v>46</v>
      </c>
      <c r="U316" s="1" t="s">
        <v>95</v>
      </c>
      <c r="V316" s="1" t="s">
        <v>102</v>
      </c>
      <c r="W316" s="1" t="s">
        <v>36</v>
      </c>
      <c r="X316">
        <v>258484.25</v>
      </c>
      <c r="Y316" s="1" t="s">
        <v>2082</v>
      </c>
      <c r="Z316" s="1" t="s">
        <v>2080</v>
      </c>
      <c r="AO316" t="str">
        <v>P00378</v>
      </c>
    </row>
    <row r="317" spans="1:41" x14ac:dyDescent="0.35">
      <c r="A317" s="1" t="s">
        <v>1068</v>
      </c>
      <c r="B317" s="1" t="s">
        <v>1069</v>
      </c>
      <c r="C317">
        <v>56</v>
      </c>
      <c r="D317" s="1" t="s">
        <v>25</v>
      </c>
      <c r="E317" s="1" t="s">
        <v>26</v>
      </c>
      <c r="F317" s="1" t="s">
        <v>193</v>
      </c>
      <c r="G317" s="2">
        <v>45314</v>
      </c>
      <c r="H317" s="2">
        <v>45315</v>
      </c>
      <c r="I317" s="1" t="s">
        <v>273</v>
      </c>
      <c r="J317" s="1" t="s">
        <v>152</v>
      </c>
      <c r="K317" s="1" t="s">
        <v>81</v>
      </c>
      <c r="L317" s="1" t="s">
        <v>44</v>
      </c>
      <c r="M317" s="1" t="s">
        <v>2090</v>
      </c>
      <c r="N317">
        <v>308134.14</v>
      </c>
      <c r="O317">
        <v>9892.11</v>
      </c>
      <c r="P317">
        <v>71860.66</v>
      </c>
      <c r="Q317">
        <v>1</v>
      </c>
      <c r="R317">
        <v>47</v>
      </c>
      <c r="S317">
        <v>4</v>
      </c>
      <c r="T317" s="1" t="s">
        <v>46</v>
      </c>
      <c r="U317" s="1" t="s">
        <v>101</v>
      </c>
      <c r="V317" s="1" t="s">
        <v>102</v>
      </c>
      <c r="W317" s="1" t="s">
        <v>36</v>
      </c>
      <c r="X317">
        <v>389886.91000000003</v>
      </c>
      <c r="Y317" s="1" t="s">
        <v>2079</v>
      </c>
      <c r="Z317" s="1" t="s">
        <v>2091</v>
      </c>
      <c r="AO317" t="str">
        <v>P00379</v>
      </c>
    </row>
    <row r="318" spans="1:41" x14ac:dyDescent="0.35">
      <c r="A318" s="1" t="s">
        <v>1070</v>
      </c>
      <c r="B318" s="1" t="s">
        <v>938</v>
      </c>
      <c r="C318">
        <v>42</v>
      </c>
      <c r="D318" s="1" t="s">
        <v>25</v>
      </c>
      <c r="E318" s="1" t="s">
        <v>112</v>
      </c>
      <c r="F318" s="1" t="s">
        <v>63</v>
      </c>
      <c r="G318" s="2">
        <v>46159</v>
      </c>
      <c r="H318" s="2">
        <v>46164</v>
      </c>
      <c r="I318" s="1" t="s">
        <v>29</v>
      </c>
      <c r="J318" s="1" t="s">
        <v>141</v>
      </c>
      <c r="K318" s="1" t="s">
        <v>153</v>
      </c>
      <c r="L318" s="1" t="s">
        <v>32</v>
      </c>
      <c r="M318" s="1" t="s">
        <v>2086</v>
      </c>
      <c r="N318">
        <v>283663.73</v>
      </c>
      <c r="O318">
        <v>17089.259999999998</v>
      </c>
      <c r="P318">
        <v>39106</v>
      </c>
      <c r="Q318">
        <v>5</v>
      </c>
      <c r="R318">
        <v>79</v>
      </c>
      <c r="S318">
        <v>2.7</v>
      </c>
      <c r="T318" s="1" t="s">
        <v>46</v>
      </c>
      <c r="U318" s="1" t="s">
        <v>101</v>
      </c>
      <c r="V318" s="1" t="s">
        <v>75</v>
      </c>
      <c r="W318" s="1" t="s">
        <v>131</v>
      </c>
      <c r="X318">
        <v>339858.99</v>
      </c>
      <c r="Y318" s="1" t="s">
        <v>2079</v>
      </c>
      <c r="Z318" s="1" t="s">
        <v>2080</v>
      </c>
      <c r="AO318" t="str">
        <v>P00380</v>
      </c>
    </row>
    <row r="319" spans="1:41" x14ac:dyDescent="0.35">
      <c r="A319" s="1" t="s">
        <v>1071</v>
      </c>
      <c r="B319" s="1" t="s">
        <v>533</v>
      </c>
      <c r="C319">
        <v>8</v>
      </c>
      <c r="D319" s="1" t="s">
        <v>25</v>
      </c>
      <c r="E319" s="1" t="s">
        <v>107</v>
      </c>
      <c r="F319" s="1" t="s">
        <v>145</v>
      </c>
      <c r="G319" s="2">
        <v>46106</v>
      </c>
      <c r="H319" s="2">
        <v>46108</v>
      </c>
      <c r="I319" s="1" t="s">
        <v>114</v>
      </c>
      <c r="J319" s="1" t="s">
        <v>115</v>
      </c>
      <c r="K319" s="1" t="s">
        <v>148</v>
      </c>
      <c r="L319" s="1" t="s">
        <v>32</v>
      </c>
      <c r="M319" s="1" t="s">
        <v>2085</v>
      </c>
      <c r="N319">
        <v>151238.48000000001</v>
      </c>
      <c r="O319">
        <v>22878.11</v>
      </c>
      <c r="P319">
        <v>37314.61</v>
      </c>
      <c r="Q319">
        <v>2</v>
      </c>
      <c r="R319">
        <v>76</v>
      </c>
      <c r="S319">
        <v>3.6</v>
      </c>
      <c r="T319" s="1" t="s">
        <v>46</v>
      </c>
      <c r="U319" s="1" t="s">
        <v>101</v>
      </c>
      <c r="V319" s="1" t="s">
        <v>75</v>
      </c>
      <c r="W319" s="1" t="s">
        <v>12</v>
      </c>
      <c r="X319">
        <v>211431.2</v>
      </c>
      <c r="Y319" s="1" t="s">
        <v>2093</v>
      </c>
      <c r="Z319" s="1" t="s">
        <v>2080</v>
      </c>
      <c r="AO319" t="str">
        <v>P00381</v>
      </c>
    </row>
    <row r="320" spans="1:41" x14ac:dyDescent="0.35">
      <c r="A320" s="1" t="s">
        <v>1073</v>
      </c>
      <c r="B320" s="1" t="s">
        <v>616</v>
      </c>
      <c r="C320">
        <v>62</v>
      </c>
      <c r="D320" s="1" t="s">
        <v>119</v>
      </c>
      <c r="E320" s="1" t="s">
        <v>107</v>
      </c>
      <c r="F320" s="1" t="s">
        <v>108</v>
      </c>
      <c r="G320" s="2">
        <v>45820</v>
      </c>
      <c r="H320" s="2">
        <v>45824</v>
      </c>
      <c r="I320" s="1" t="s">
        <v>53</v>
      </c>
      <c r="J320" s="1" t="s">
        <v>2081</v>
      </c>
      <c r="K320" s="1" t="s">
        <v>148</v>
      </c>
      <c r="L320" s="1" t="s">
        <v>32</v>
      </c>
      <c r="M320" s="1" t="s">
        <v>2086</v>
      </c>
      <c r="N320">
        <v>129032.87</v>
      </c>
      <c r="O320">
        <v>0</v>
      </c>
      <c r="P320">
        <v>13738.67</v>
      </c>
      <c r="Q320">
        <v>4</v>
      </c>
      <c r="R320">
        <v>58</v>
      </c>
      <c r="S320">
        <v>3.2</v>
      </c>
      <c r="T320" s="1" t="s">
        <v>46</v>
      </c>
      <c r="U320" s="1" t="s">
        <v>101</v>
      </c>
      <c r="V320" s="1" t="s">
        <v>130</v>
      </c>
      <c r="W320" s="1" t="s">
        <v>12</v>
      </c>
      <c r="X320">
        <v>142771.54</v>
      </c>
      <c r="Y320" s="1" t="s">
        <v>2088</v>
      </c>
      <c r="Z320" s="1" t="s">
        <v>2091</v>
      </c>
      <c r="AO320" t="str">
        <v>P00382</v>
      </c>
    </row>
    <row r="321" spans="1:41" x14ac:dyDescent="0.35">
      <c r="A321" s="1" t="s">
        <v>1075</v>
      </c>
      <c r="B321" s="1" t="s">
        <v>624</v>
      </c>
      <c r="C321">
        <v>14</v>
      </c>
      <c r="D321" s="1" t="s">
        <v>119</v>
      </c>
      <c r="E321" s="1" t="s">
        <v>2084</v>
      </c>
      <c r="F321" s="1" t="s">
        <v>108</v>
      </c>
      <c r="G321" s="2">
        <v>45737</v>
      </c>
      <c r="H321" s="2">
        <v>45738</v>
      </c>
      <c r="I321" s="1" t="s">
        <v>221</v>
      </c>
      <c r="J321" s="1" t="s">
        <v>141</v>
      </c>
      <c r="K321" s="1" t="s">
        <v>31</v>
      </c>
      <c r="L321" s="1" t="s">
        <v>32</v>
      </c>
      <c r="M321" s="1" t="s">
        <v>2086</v>
      </c>
      <c r="N321">
        <v>156143.07999999999</v>
      </c>
      <c r="O321">
        <v>34535.67</v>
      </c>
      <c r="P321">
        <v>62850.879999999997</v>
      </c>
      <c r="Q321">
        <v>1</v>
      </c>
      <c r="R321">
        <v>53</v>
      </c>
      <c r="S321">
        <v>3.2</v>
      </c>
      <c r="T321" s="1" t="s">
        <v>46</v>
      </c>
      <c r="U321" s="1" t="s">
        <v>95</v>
      </c>
      <c r="V321" s="1" t="s">
        <v>102</v>
      </c>
      <c r="W321" s="1" t="s">
        <v>12</v>
      </c>
      <c r="X321">
        <v>253529.63</v>
      </c>
      <c r="Y321" s="1" t="s">
        <v>2093</v>
      </c>
      <c r="Z321" s="1" t="s">
        <v>2091</v>
      </c>
      <c r="AO321" t="str">
        <v>P00383</v>
      </c>
    </row>
    <row r="322" spans="1:41" x14ac:dyDescent="0.35">
      <c r="A322" s="1" t="s">
        <v>1076</v>
      </c>
      <c r="B322" s="1" t="s">
        <v>776</v>
      </c>
      <c r="C322">
        <v>42</v>
      </c>
      <c r="D322" s="1" t="s">
        <v>119</v>
      </c>
      <c r="E322" s="1" t="s">
        <v>86</v>
      </c>
      <c r="F322" s="1" t="s">
        <v>41</v>
      </c>
      <c r="G322" s="2">
        <v>46139</v>
      </c>
      <c r="H322" s="2">
        <v>46140</v>
      </c>
      <c r="I322" s="1" t="s">
        <v>273</v>
      </c>
      <c r="J322" s="1" t="s">
        <v>115</v>
      </c>
      <c r="K322" s="1" t="s">
        <v>148</v>
      </c>
      <c r="L322" s="1" t="s">
        <v>44</v>
      </c>
      <c r="M322" s="1" t="s">
        <v>2092</v>
      </c>
      <c r="N322">
        <v>101219.99</v>
      </c>
      <c r="O322">
        <v>44328.2</v>
      </c>
      <c r="P322">
        <v>0</v>
      </c>
      <c r="Q322">
        <v>1</v>
      </c>
      <c r="R322">
        <v>68</v>
      </c>
      <c r="S322">
        <v>4.0999999999999996</v>
      </c>
      <c r="T322" s="1" t="s">
        <v>34</v>
      </c>
      <c r="U322" s="1" t="s">
        <v>95</v>
      </c>
      <c r="V322" s="1" t="s">
        <v>102</v>
      </c>
      <c r="W322" s="1" t="s">
        <v>36</v>
      </c>
      <c r="X322">
        <v>145548.19</v>
      </c>
      <c r="Y322" s="1" t="s">
        <v>2079</v>
      </c>
      <c r="Z322" s="1" t="s">
        <v>2080</v>
      </c>
      <c r="AO322" t="str">
        <v>P00384</v>
      </c>
    </row>
    <row r="323" spans="1:41" x14ac:dyDescent="0.35">
      <c r="A323" s="1" t="s">
        <v>1078</v>
      </c>
      <c r="B323" s="1" t="s">
        <v>350</v>
      </c>
      <c r="C323">
        <v>92</v>
      </c>
      <c r="D323" s="1" t="s">
        <v>119</v>
      </c>
      <c r="E323" s="1" t="s">
        <v>51</v>
      </c>
      <c r="F323" s="1" t="s">
        <v>41</v>
      </c>
      <c r="G323" s="2">
        <v>46093</v>
      </c>
      <c r="H323" s="2">
        <v>46096</v>
      </c>
      <c r="I323" s="1" t="s">
        <v>221</v>
      </c>
      <c r="J323" s="1" t="s">
        <v>152</v>
      </c>
      <c r="K323" s="1" t="s">
        <v>81</v>
      </c>
      <c r="L323" s="1" t="s">
        <v>66</v>
      </c>
      <c r="M323" s="1" t="s">
        <v>57</v>
      </c>
      <c r="N323">
        <v>268972</v>
      </c>
      <c r="O323">
        <v>4898.6400000000003</v>
      </c>
      <c r="P323">
        <v>42136.07</v>
      </c>
      <c r="Q323">
        <v>3</v>
      </c>
      <c r="R323">
        <v>0</v>
      </c>
      <c r="S323">
        <v>3.6</v>
      </c>
      <c r="T323" s="1" t="s">
        <v>34</v>
      </c>
      <c r="U323" s="1" t="s">
        <v>35</v>
      </c>
      <c r="V323" s="1" t="s">
        <v>75</v>
      </c>
      <c r="W323" s="1" t="s">
        <v>131</v>
      </c>
      <c r="X323">
        <v>316006.71000000002</v>
      </c>
      <c r="Y323" s="1" t="s">
        <v>2088</v>
      </c>
      <c r="Z323" s="1" t="s">
        <v>2083</v>
      </c>
      <c r="AO323" t="str">
        <v>P00385</v>
      </c>
    </row>
    <row r="324" spans="1:41" x14ac:dyDescent="0.35">
      <c r="A324" s="1" t="s">
        <v>1080</v>
      </c>
      <c r="B324" s="1" t="s">
        <v>1081</v>
      </c>
      <c r="C324">
        <v>63</v>
      </c>
      <c r="D324" s="1" t="s">
        <v>119</v>
      </c>
      <c r="E324" s="1" t="s">
        <v>51</v>
      </c>
      <c r="F324" s="1" t="s">
        <v>120</v>
      </c>
      <c r="G324" s="2">
        <v>46140</v>
      </c>
      <c r="H324" s="2">
        <v>46141</v>
      </c>
      <c r="I324" s="1" t="s">
        <v>257</v>
      </c>
      <c r="J324" s="1" t="s">
        <v>90</v>
      </c>
      <c r="K324" s="1" t="s">
        <v>55</v>
      </c>
      <c r="L324" s="1" t="s">
        <v>66</v>
      </c>
      <c r="M324" s="1" t="s">
        <v>2085</v>
      </c>
      <c r="N324">
        <v>143064.35999999999</v>
      </c>
      <c r="O324">
        <v>27080.85</v>
      </c>
      <c r="P324">
        <v>25933.26</v>
      </c>
      <c r="Q324">
        <v>1</v>
      </c>
      <c r="R324">
        <v>225</v>
      </c>
      <c r="S324">
        <v>7</v>
      </c>
      <c r="T324" s="1" t="s">
        <v>46</v>
      </c>
      <c r="U324" s="1" t="s">
        <v>35</v>
      </c>
      <c r="V324" s="1" t="s">
        <v>130</v>
      </c>
      <c r="W324" s="1" t="s">
        <v>131</v>
      </c>
      <c r="X324">
        <v>196078.47</v>
      </c>
      <c r="Y324" s="1" t="s">
        <v>2088</v>
      </c>
      <c r="Z324" s="1" t="s">
        <v>2080</v>
      </c>
      <c r="AO324" t="str">
        <v>P00386</v>
      </c>
    </row>
    <row r="325" spans="1:41" x14ac:dyDescent="0.35">
      <c r="A325" s="1" t="s">
        <v>1082</v>
      </c>
      <c r="B325" s="1" t="s">
        <v>616</v>
      </c>
      <c r="C325">
        <v>60</v>
      </c>
      <c r="D325" s="1" t="s">
        <v>119</v>
      </c>
      <c r="E325" s="1" t="s">
        <v>51</v>
      </c>
      <c r="F325" s="1" t="s">
        <v>145</v>
      </c>
      <c r="G325" s="2">
        <v>45895</v>
      </c>
      <c r="H325" s="2">
        <v>45906</v>
      </c>
      <c r="I325" s="1" t="s">
        <v>173</v>
      </c>
      <c r="J325" s="1" t="s">
        <v>87</v>
      </c>
      <c r="K325" s="1" t="s">
        <v>55</v>
      </c>
      <c r="L325" s="1" t="s">
        <v>66</v>
      </c>
      <c r="M325" s="1" t="s">
        <v>2089</v>
      </c>
      <c r="N325">
        <v>287489.34000000003</v>
      </c>
      <c r="O325">
        <v>39218.33</v>
      </c>
      <c r="P325">
        <v>56813.919999999998</v>
      </c>
      <c r="Q325">
        <v>11</v>
      </c>
      <c r="R325">
        <v>0</v>
      </c>
      <c r="S325">
        <v>3.3</v>
      </c>
      <c r="T325" s="1" t="s">
        <v>46</v>
      </c>
      <c r="U325" s="1" t="s">
        <v>35</v>
      </c>
      <c r="V325" s="1" t="s">
        <v>130</v>
      </c>
      <c r="W325" s="1" t="s">
        <v>12</v>
      </c>
      <c r="X325">
        <v>383521.59</v>
      </c>
      <c r="Y325" s="1" t="s">
        <v>2088</v>
      </c>
      <c r="Z325" s="1" t="s">
        <v>2083</v>
      </c>
      <c r="AO325" t="str">
        <v>P00388</v>
      </c>
    </row>
    <row r="326" spans="1:41" x14ac:dyDescent="0.35">
      <c r="A326" s="1" t="s">
        <v>1083</v>
      </c>
      <c r="B326" s="1" t="s">
        <v>1084</v>
      </c>
      <c r="C326">
        <v>41</v>
      </c>
      <c r="D326" s="1" t="s">
        <v>119</v>
      </c>
      <c r="E326" s="1" t="s">
        <v>51</v>
      </c>
      <c r="F326" s="1" t="s">
        <v>227</v>
      </c>
      <c r="G326" s="2">
        <v>46000</v>
      </c>
      <c r="H326" s="2">
        <v>45917</v>
      </c>
      <c r="I326" s="1" t="s">
        <v>257</v>
      </c>
      <c r="J326" s="1" t="s">
        <v>2081</v>
      </c>
      <c r="K326" s="1" t="s">
        <v>174</v>
      </c>
      <c r="L326" s="1" t="s">
        <v>44</v>
      </c>
      <c r="M326" s="1" t="s">
        <v>2087</v>
      </c>
      <c r="N326">
        <v>23273.42</v>
      </c>
      <c r="O326">
        <v>28689.89</v>
      </c>
      <c r="P326">
        <v>96123.17</v>
      </c>
      <c r="Q326">
        <v>5</v>
      </c>
      <c r="R326">
        <v>188</v>
      </c>
      <c r="S326">
        <v>3.6</v>
      </c>
      <c r="T326" s="1" t="s">
        <v>46</v>
      </c>
      <c r="U326" s="1" t="s">
        <v>35</v>
      </c>
      <c r="V326" s="1" t="s">
        <v>75</v>
      </c>
      <c r="W326" s="1" t="s">
        <v>12</v>
      </c>
      <c r="X326">
        <v>148086.47999999998</v>
      </c>
      <c r="Y326" s="1" t="s">
        <v>2079</v>
      </c>
      <c r="Z326" s="1" t="s">
        <v>2080</v>
      </c>
      <c r="AO326" t="str">
        <v>P00389</v>
      </c>
    </row>
    <row r="327" spans="1:41" x14ac:dyDescent="0.35">
      <c r="A327" s="1" t="s">
        <v>1086</v>
      </c>
      <c r="B327" s="1" t="s">
        <v>494</v>
      </c>
      <c r="C327">
        <v>34</v>
      </c>
      <c r="D327" s="1" t="s">
        <v>25</v>
      </c>
      <c r="E327" s="1" t="s">
        <v>40</v>
      </c>
      <c r="F327" s="1" t="s">
        <v>63</v>
      </c>
      <c r="G327" s="2">
        <v>45600</v>
      </c>
      <c r="H327" s="2">
        <v>45606</v>
      </c>
      <c r="I327" s="1" t="s">
        <v>159</v>
      </c>
      <c r="J327" s="1" t="s">
        <v>2081</v>
      </c>
      <c r="K327" s="1" t="s">
        <v>163</v>
      </c>
      <c r="L327" s="1" t="s">
        <v>44</v>
      </c>
      <c r="M327" s="1" t="s">
        <v>2086</v>
      </c>
      <c r="N327">
        <v>0</v>
      </c>
      <c r="O327">
        <v>6888.35</v>
      </c>
      <c r="P327">
        <v>91886.66</v>
      </c>
      <c r="Q327">
        <v>6</v>
      </c>
      <c r="R327">
        <v>74</v>
      </c>
      <c r="S327">
        <v>3.4</v>
      </c>
      <c r="T327" s="1" t="s">
        <v>34</v>
      </c>
      <c r="U327" s="1" t="s">
        <v>35</v>
      </c>
      <c r="V327" s="1" t="s">
        <v>130</v>
      </c>
      <c r="W327" s="1" t="s">
        <v>12</v>
      </c>
      <c r="X327">
        <v>98775.010000000009</v>
      </c>
      <c r="Y327" s="1" t="s">
        <v>2082</v>
      </c>
      <c r="Z327" s="1" t="s">
        <v>2080</v>
      </c>
      <c r="AO327" t="str">
        <v>P00390</v>
      </c>
    </row>
    <row r="328" spans="1:41" x14ac:dyDescent="0.35">
      <c r="A328" s="1" t="s">
        <v>1087</v>
      </c>
      <c r="B328" s="1" t="s">
        <v>723</v>
      </c>
      <c r="C328">
        <v>84</v>
      </c>
      <c r="D328" s="1" t="s">
        <v>25</v>
      </c>
      <c r="E328" s="1" t="s">
        <v>192</v>
      </c>
      <c r="F328" s="1" t="s">
        <v>227</v>
      </c>
      <c r="G328" s="2">
        <v>46232</v>
      </c>
      <c r="H328" s="2">
        <v>46234</v>
      </c>
      <c r="I328" s="1" t="s">
        <v>29</v>
      </c>
      <c r="J328" s="1" t="s">
        <v>54</v>
      </c>
      <c r="K328" s="1" t="s">
        <v>55</v>
      </c>
      <c r="L328" s="1" t="s">
        <v>66</v>
      </c>
      <c r="M328" s="1" t="s">
        <v>2086</v>
      </c>
      <c r="N328">
        <v>447634.25</v>
      </c>
      <c r="O328">
        <v>85469.51</v>
      </c>
      <c r="P328">
        <v>40228.639999999999</v>
      </c>
      <c r="Q328">
        <v>2</v>
      </c>
      <c r="R328">
        <v>117</v>
      </c>
      <c r="S328">
        <v>1.7</v>
      </c>
      <c r="T328" s="1" t="s">
        <v>34</v>
      </c>
      <c r="U328" s="1" t="s">
        <v>35</v>
      </c>
      <c r="V328" s="1" t="s">
        <v>130</v>
      </c>
      <c r="W328" s="1" t="s">
        <v>36</v>
      </c>
      <c r="X328">
        <v>573332.4</v>
      </c>
      <c r="Y328" s="1" t="s">
        <v>2088</v>
      </c>
      <c r="Z328" s="1" t="s">
        <v>2080</v>
      </c>
      <c r="AO328" t="str">
        <v>P00391</v>
      </c>
    </row>
    <row r="329" spans="1:41" x14ac:dyDescent="0.35">
      <c r="A329" s="1" t="s">
        <v>1089</v>
      </c>
      <c r="B329" s="1" t="s">
        <v>1090</v>
      </c>
      <c r="C329">
        <v>17</v>
      </c>
      <c r="D329" s="1" t="s">
        <v>25</v>
      </c>
      <c r="E329" s="1" t="s">
        <v>86</v>
      </c>
      <c r="F329" s="1" t="s">
        <v>120</v>
      </c>
      <c r="G329" s="2">
        <v>45604</v>
      </c>
      <c r="H329" s="2">
        <v>45612</v>
      </c>
      <c r="I329" s="1" t="s">
        <v>100</v>
      </c>
      <c r="J329" s="1" t="s">
        <v>30</v>
      </c>
      <c r="K329" s="1" t="s">
        <v>174</v>
      </c>
      <c r="L329" s="1" t="s">
        <v>66</v>
      </c>
      <c r="M329" s="1" t="s">
        <v>2086</v>
      </c>
      <c r="N329">
        <v>250348.58</v>
      </c>
      <c r="O329">
        <v>2567.44</v>
      </c>
      <c r="P329">
        <v>27334</v>
      </c>
      <c r="Q329">
        <v>8</v>
      </c>
      <c r="R329">
        <v>32</v>
      </c>
      <c r="S329">
        <v>2.9</v>
      </c>
      <c r="T329" s="1" t="s">
        <v>46</v>
      </c>
      <c r="U329" s="1" t="s">
        <v>149</v>
      </c>
      <c r="V329" s="1" t="s">
        <v>130</v>
      </c>
      <c r="W329" s="1" t="s">
        <v>83</v>
      </c>
      <c r="X329">
        <v>280250.02</v>
      </c>
      <c r="Y329" s="1" t="s">
        <v>2093</v>
      </c>
      <c r="Z329" s="1" t="s">
        <v>2091</v>
      </c>
      <c r="AO329" t="str">
        <v>P00392</v>
      </c>
    </row>
    <row r="330" spans="1:41" x14ac:dyDescent="0.35">
      <c r="A330" s="1" t="s">
        <v>1092</v>
      </c>
      <c r="B330" s="1" t="s">
        <v>191</v>
      </c>
      <c r="C330">
        <v>30</v>
      </c>
      <c r="D330" s="1" t="s">
        <v>119</v>
      </c>
      <c r="E330" s="1" t="s">
        <v>112</v>
      </c>
      <c r="F330" s="1" t="s">
        <v>120</v>
      </c>
      <c r="G330" s="2">
        <v>46110</v>
      </c>
      <c r="H330" s="2">
        <v>46112</v>
      </c>
      <c r="I330" s="1" t="s">
        <v>273</v>
      </c>
      <c r="J330" s="1" t="s">
        <v>152</v>
      </c>
      <c r="K330" s="1" t="s">
        <v>163</v>
      </c>
      <c r="L330" s="1" t="s">
        <v>44</v>
      </c>
      <c r="M330" s="1" t="s">
        <v>2086</v>
      </c>
      <c r="N330">
        <v>336666.75</v>
      </c>
      <c r="O330">
        <v>2378.4299999999998</v>
      </c>
      <c r="P330">
        <v>51616.24</v>
      </c>
      <c r="Q330">
        <v>2</v>
      </c>
      <c r="R330">
        <v>186</v>
      </c>
      <c r="S330">
        <v>3</v>
      </c>
      <c r="T330" s="1" t="s">
        <v>46</v>
      </c>
      <c r="U330" s="1" t="s">
        <v>101</v>
      </c>
      <c r="V330" s="1" t="s">
        <v>130</v>
      </c>
      <c r="W330" s="1" t="s">
        <v>36</v>
      </c>
      <c r="X330">
        <v>390661.42</v>
      </c>
      <c r="Y330" s="1" t="s">
        <v>2082</v>
      </c>
      <c r="Z330" s="1" t="s">
        <v>2080</v>
      </c>
      <c r="AO330" t="str">
        <v>P00394</v>
      </c>
    </row>
    <row r="331" spans="1:41" x14ac:dyDescent="0.35">
      <c r="A331" s="1" t="s">
        <v>1093</v>
      </c>
      <c r="B331" s="1" t="s">
        <v>432</v>
      </c>
      <c r="C331">
        <v>37</v>
      </c>
      <c r="D331" s="1" t="s">
        <v>119</v>
      </c>
      <c r="E331" s="1" t="s">
        <v>51</v>
      </c>
      <c r="F331" s="1" t="s">
        <v>87</v>
      </c>
      <c r="G331" s="2">
        <v>46164</v>
      </c>
      <c r="H331" s="2">
        <v>46165</v>
      </c>
      <c r="I331" s="1" t="s">
        <v>273</v>
      </c>
      <c r="J331" s="1" t="s">
        <v>90</v>
      </c>
      <c r="K331" s="1" t="s">
        <v>153</v>
      </c>
      <c r="L331" s="1" t="s">
        <v>32</v>
      </c>
      <c r="M331" s="1" t="s">
        <v>57</v>
      </c>
      <c r="N331">
        <v>385161.53</v>
      </c>
      <c r="O331">
        <v>34852.69</v>
      </c>
      <c r="P331">
        <v>29063.57</v>
      </c>
      <c r="Q331">
        <v>1</v>
      </c>
      <c r="R331">
        <v>131</v>
      </c>
      <c r="S331">
        <v>2.2999999999999998</v>
      </c>
      <c r="T331" s="1" t="s">
        <v>46</v>
      </c>
      <c r="U331" s="1" t="s">
        <v>149</v>
      </c>
      <c r="V331" s="1" t="s">
        <v>75</v>
      </c>
      <c r="W331" s="1" t="s">
        <v>36</v>
      </c>
      <c r="X331">
        <v>449077.79000000004</v>
      </c>
      <c r="Y331" s="1" t="s">
        <v>2079</v>
      </c>
      <c r="Z331" s="1" t="s">
        <v>2080</v>
      </c>
      <c r="AO331" t="str">
        <v>P00395</v>
      </c>
    </row>
    <row r="332" spans="1:41" x14ac:dyDescent="0.35">
      <c r="A332" s="1" t="s">
        <v>1094</v>
      </c>
      <c r="B332" s="1" t="s">
        <v>294</v>
      </c>
      <c r="C332">
        <v>51</v>
      </c>
      <c r="D332" s="1" t="s">
        <v>25</v>
      </c>
      <c r="E332" s="1" t="s">
        <v>112</v>
      </c>
      <c r="F332" s="1" t="s">
        <v>87</v>
      </c>
      <c r="G332" s="2">
        <v>45521</v>
      </c>
      <c r="H332" s="2">
        <v>45526</v>
      </c>
      <c r="I332" s="1" t="s">
        <v>29</v>
      </c>
      <c r="J332" s="1" t="s">
        <v>2081</v>
      </c>
      <c r="K332" s="1" t="s">
        <v>55</v>
      </c>
      <c r="L332" s="1" t="s">
        <v>44</v>
      </c>
      <c r="M332" s="1" t="s">
        <v>2086</v>
      </c>
      <c r="N332">
        <v>176906.81</v>
      </c>
      <c r="O332">
        <v>9035.36</v>
      </c>
      <c r="P332">
        <v>18399.57</v>
      </c>
      <c r="Q332">
        <v>5</v>
      </c>
      <c r="R332">
        <v>135</v>
      </c>
      <c r="S332">
        <v>5</v>
      </c>
      <c r="T332" s="1" t="s">
        <v>34</v>
      </c>
      <c r="U332" s="1" t="s">
        <v>149</v>
      </c>
      <c r="V332" s="1" t="s">
        <v>130</v>
      </c>
      <c r="W332" s="1" t="s">
        <v>59</v>
      </c>
      <c r="X332">
        <v>204341.74</v>
      </c>
      <c r="Y332" s="1" t="s">
        <v>2079</v>
      </c>
      <c r="Z332" s="1" t="s">
        <v>2080</v>
      </c>
      <c r="AO332" t="str">
        <v>P00396</v>
      </c>
    </row>
    <row r="333" spans="1:41" x14ac:dyDescent="0.35">
      <c r="A333" s="1" t="s">
        <v>1096</v>
      </c>
      <c r="B333" s="1" t="s">
        <v>125</v>
      </c>
      <c r="C333">
        <v>53</v>
      </c>
      <c r="D333" s="1" t="s">
        <v>25</v>
      </c>
      <c r="E333" s="1" t="s">
        <v>40</v>
      </c>
      <c r="F333" s="1" t="s">
        <v>227</v>
      </c>
      <c r="G333" s="2">
        <v>45533</v>
      </c>
      <c r="H333" s="2">
        <v>45535</v>
      </c>
      <c r="I333" s="1" t="s">
        <v>53</v>
      </c>
      <c r="J333" s="1" t="s">
        <v>87</v>
      </c>
      <c r="K333" s="1" t="s">
        <v>148</v>
      </c>
      <c r="L333" s="1" t="s">
        <v>44</v>
      </c>
      <c r="M333" s="1" t="s">
        <v>2078</v>
      </c>
      <c r="N333">
        <v>0</v>
      </c>
      <c r="O333">
        <v>15384.56</v>
      </c>
      <c r="P333">
        <v>44068.23</v>
      </c>
      <c r="Q333">
        <v>2</v>
      </c>
      <c r="R333">
        <v>26</v>
      </c>
      <c r="S333">
        <v>2.5</v>
      </c>
      <c r="T333" s="1" t="s">
        <v>34</v>
      </c>
      <c r="U333" s="1" t="s">
        <v>35</v>
      </c>
      <c r="V333" s="1" t="s">
        <v>130</v>
      </c>
      <c r="W333" s="1" t="s">
        <v>59</v>
      </c>
      <c r="X333">
        <v>59452.79</v>
      </c>
      <c r="Y333" s="1" t="s">
        <v>2079</v>
      </c>
      <c r="Z333" s="1" t="s">
        <v>2083</v>
      </c>
      <c r="AO333" t="str">
        <v>P00397</v>
      </c>
    </row>
    <row r="334" spans="1:41" x14ac:dyDescent="0.35">
      <c r="A334" s="1" t="s">
        <v>1097</v>
      </c>
      <c r="B334" s="1" t="s">
        <v>1098</v>
      </c>
      <c r="C334">
        <v>49</v>
      </c>
      <c r="D334" s="1" t="s">
        <v>25</v>
      </c>
      <c r="E334" s="1" t="s">
        <v>40</v>
      </c>
      <c r="F334" s="1" t="s">
        <v>41</v>
      </c>
      <c r="G334" s="2">
        <v>45345</v>
      </c>
      <c r="H334" s="2">
        <v>45346</v>
      </c>
      <c r="I334" s="1" t="s">
        <v>173</v>
      </c>
      <c r="J334" s="1" t="s">
        <v>90</v>
      </c>
      <c r="K334" s="1" t="s">
        <v>148</v>
      </c>
      <c r="L334" s="1" t="s">
        <v>44</v>
      </c>
      <c r="M334" s="1" t="s">
        <v>2086</v>
      </c>
      <c r="N334">
        <v>193773.94</v>
      </c>
      <c r="O334">
        <v>0</v>
      </c>
      <c r="P334">
        <v>0</v>
      </c>
      <c r="Q334">
        <v>1</v>
      </c>
      <c r="R334">
        <v>49</v>
      </c>
      <c r="S334">
        <v>4.3</v>
      </c>
      <c r="T334" s="1" t="s">
        <v>34</v>
      </c>
      <c r="U334" s="1" t="s">
        <v>95</v>
      </c>
      <c r="V334" s="1" t="s">
        <v>130</v>
      </c>
      <c r="W334" s="1" t="s">
        <v>12</v>
      </c>
      <c r="X334">
        <v>193773.94</v>
      </c>
      <c r="Y334" s="1" t="s">
        <v>2079</v>
      </c>
      <c r="Z334" s="1" t="s">
        <v>2091</v>
      </c>
      <c r="AO334" t="str">
        <v>P00398</v>
      </c>
    </row>
    <row r="335" spans="1:41" x14ac:dyDescent="0.35">
      <c r="A335" s="1" t="s">
        <v>1099</v>
      </c>
      <c r="B335" s="1" t="s">
        <v>1100</v>
      </c>
      <c r="C335">
        <v>32</v>
      </c>
      <c r="D335" s="1" t="s">
        <v>119</v>
      </c>
      <c r="E335" s="1" t="s">
        <v>192</v>
      </c>
      <c r="F335" s="1" t="s">
        <v>63</v>
      </c>
      <c r="G335" s="2">
        <v>45864</v>
      </c>
      <c r="H335" s="2">
        <v>45865</v>
      </c>
      <c r="I335" s="1" t="s">
        <v>100</v>
      </c>
      <c r="J335" s="1" t="s">
        <v>54</v>
      </c>
      <c r="K335" s="1" t="s">
        <v>91</v>
      </c>
      <c r="L335" s="1" t="s">
        <v>66</v>
      </c>
      <c r="M335" s="1" t="s">
        <v>2090</v>
      </c>
      <c r="N335">
        <v>146325.29999999999</v>
      </c>
      <c r="O335">
        <v>64708.44</v>
      </c>
      <c r="P335">
        <v>33449.35</v>
      </c>
      <c r="Q335">
        <v>1</v>
      </c>
      <c r="R335">
        <v>123</v>
      </c>
      <c r="S335">
        <v>3.9</v>
      </c>
      <c r="T335" s="1" t="s">
        <v>46</v>
      </c>
      <c r="U335" s="1" t="s">
        <v>35</v>
      </c>
      <c r="V335" s="1" t="s">
        <v>102</v>
      </c>
      <c r="W335" s="1" t="s">
        <v>12</v>
      </c>
      <c r="X335">
        <v>244483.09</v>
      </c>
      <c r="Y335" s="1" t="s">
        <v>2082</v>
      </c>
      <c r="Z335" s="1" t="s">
        <v>2080</v>
      </c>
      <c r="AO335" t="str">
        <v>P00399</v>
      </c>
    </row>
    <row r="336" spans="1:41" x14ac:dyDescent="0.35">
      <c r="A336" s="1" t="s">
        <v>1102</v>
      </c>
      <c r="B336" s="1" t="s">
        <v>1103</v>
      </c>
      <c r="C336">
        <v>59</v>
      </c>
      <c r="D336" s="1" t="s">
        <v>119</v>
      </c>
      <c r="E336" s="1" t="s">
        <v>219</v>
      </c>
      <c r="F336" s="1" t="s">
        <v>87</v>
      </c>
      <c r="G336" s="2">
        <v>46146</v>
      </c>
      <c r="H336" s="2">
        <v>46147</v>
      </c>
      <c r="I336" s="1" t="s">
        <v>114</v>
      </c>
      <c r="J336" s="1" t="s">
        <v>54</v>
      </c>
      <c r="K336" s="1" t="s">
        <v>153</v>
      </c>
      <c r="L336" s="1" t="s">
        <v>32</v>
      </c>
      <c r="M336" s="1" t="s">
        <v>2087</v>
      </c>
      <c r="N336">
        <v>250155.51</v>
      </c>
      <c r="O336">
        <v>42706.720000000001</v>
      </c>
      <c r="P336">
        <v>162787.13</v>
      </c>
      <c r="Q336">
        <v>1</v>
      </c>
      <c r="R336">
        <v>0</v>
      </c>
      <c r="S336">
        <v>5</v>
      </c>
      <c r="T336" s="1" t="s">
        <v>34</v>
      </c>
      <c r="U336" s="1" t="s">
        <v>35</v>
      </c>
      <c r="V336" s="1" t="s">
        <v>102</v>
      </c>
      <c r="W336" s="1" t="s">
        <v>83</v>
      </c>
      <c r="X336">
        <v>455649.36</v>
      </c>
      <c r="Y336" s="1" t="s">
        <v>2079</v>
      </c>
      <c r="Z336" s="1" t="s">
        <v>2083</v>
      </c>
      <c r="AO336" t="str">
        <v>P00400</v>
      </c>
    </row>
    <row r="337" spans="1:41" x14ac:dyDescent="0.35">
      <c r="A337" s="1" t="s">
        <v>1104</v>
      </c>
      <c r="B337" s="1" t="s">
        <v>871</v>
      </c>
      <c r="C337">
        <v>49</v>
      </c>
      <c r="D337" s="1" t="s">
        <v>119</v>
      </c>
      <c r="E337" s="1" t="s">
        <v>112</v>
      </c>
      <c r="F337" s="1" t="s">
        <v>135</v>
      </c>
      <c r="G337" s="2">
        <v>45742</v>
      </c>
      <c r="H337" s="2">
        <v>45744</v>
      </c>
      <c r="I337" s="1" t="s">
        <v>53</v>
      </c>
      <c r="J337" s="1" t="s">
        <v>30</v>
      </c>
      <c r="K337" s="1" t="s">
        <v>163</v>
      </c>
      <c r="L337" s="1" t="s">
        <v>44</v>
      </c>
      <c r="M337" s="1" t="s">
        <v>2090</v>
      </c>
      <c r="N337">
        <v>213628.29</v>
      </c>
      <c r="O337">
        <v>19394.09</v>
      </c>
      <c r="P337">
        <v>27905.01</v>
      </c>
      <c r="Q337">
        <v>2</v>
      </c>
      <c r="R337">
        <v>119</v>
      </c>
      <c r="S337">
        <v>1.7</v>
      </c>
      <c r="T337" s="1" t="s">
        <v>34</v>
      </c>
      <c r="U337" s="1" t="s">
        <v>149</v>
      </c>
      <c r="V337" s="1" t="s">
        <v>102</v>
      </c>
      <c r="W337" s="1" t="s">
        <v>131</v>
      </c>
      <c r="X337">
        <v>260927.39</v>
      </c>
      <c r="Y337" s="1" t="s">
        <v>2079</v>
      </c>
      <c r="Z337" s="1" t="s">
        <v>2080</v>
      </c>
      <c r="AO337" t="str">
        <v>P00401</v>
      </c>
    </row>
    <row r="338" spans="1:41" x14ac:dyDescent="0.35">
      <c r="A338" s="1" t="s">
        <v>1106</v>
      </c>
      <c r="B338" s="1" t="s">
        <v>1107</v>
      </c>
      <c r="C338">
        <v>33</v>
      </c>
      <c r="D338" s="1" t="s">
        <v>119</v>
      </c>
      <c r="E338" s="1" t="s">
        <v>157</v>
      </c>
      <c r="F338" s="1" t="s">
        <v>227</v>
      </c>
      <c r="G338" s="2">
        <v>45407</v>
      </c>
      <c r="H338" s="2">
        <v>45412</v>
      </c>
      <c r="I338" s="1" t="s">
        <v>221</v>
      </c>
      <c r="J338" s="1" t="s">
        <v>30</v>
      </c>
      <c r="K338" s="1" t="s">
        <v>148</v>
      </c>
      <c r="L338" s="1" t="s">
        <v>66</v>
      </c>
      <c r="M338" s="1" t="s">
        <v>2078</v>
      </c>
      <c r="N338">
        <v>61790.29</v>
      </c>
      <c r="O338">
        <v>18749.68</v>
      </c>
      <c r="P338">
        <v>82714.48</v>
      </c>
      <c r="Q338">
        <v>5</v>
      </c>
      <c r="R338">
        <v>54</v>
      </c>
      <c r="S338">
        <v>4.2</v>
      </c>
      <c r="T338" s="1" t="s">
        <v>34</v>
      </c>
      <c r="U338" s="1" t="s">
        <v>149</v>
      </c>
      <c r="V338" s="1" t="s">
        <v>75</v>
      </c>
      <c r="W338" s="1" t="s">
        <v>59</v>
      </c>
      <c r="X338">
        <v>163254.45000000001</v>
      </c>
      <c r="Y338" s="1" t="s">
        <v>2082</v>
      </c>
      <c r="Z338" s="1" t="s">
        <v>2091</v>
      </c>
      <c r="AO338" t="str">
        <v>P00402</v>
      </c>
    </row>
    <row r="339" spans="1:41" x14ac:dyDescent="0.35">
      <c r="A339" s="1" t="s">
        <v>1113</v>
      </c>
      <c r="B339" s="1" t="s">
        <v>309</v>
      </c>
      <c r="C339">
        <v>47</v>
      </c>
      <c r="D339" s="1" t="s">
        <v>25</v>
      </c>
      <c r="E339" s="1" t="s">
        <v>26</v>
      </c>
      <c r="F339" s="1" t="s">
        <v>120</v>
      </c>
      <c r="G339" s="2">
        <v>45474</v>
      </c>
      <c r="H339" s="2">
        <v>45476</v>
      </c>
      <c r="I339" s="1" t="s">
        <v>273</v>
      </c>
      <c r="J339" s="1" t="s">
        <v>152</v>
      </c>
      <c r="K339" s="1" t="s">
        <v>31</v>
      </c>
      <c r="L339" s="1" t="s">
        <v>32</v>
      </c>
      <c r="M339" s="1" t="s">
        <v>2086</v>
      </c>
      <c r="N339">
        <v>440936.53</v>
      </c>
      <c r="O339">
        <v>54636.24</v>
      </c>
      <c r="P339">
        <v>71074.64</v>
      </c>
      <c r="Q339">
        <v>2</v>
      </c>
      <c r="R339">
        <v>60</v>
      </c>
      <c r="S339">
        <v>2.5</v>
      </c>
      <c r="T339" s="1" t="s">
        <v>34</v>
      </c>
      <c r="U339" s="1" t="s">
        <v>101</v>
      </c>
      <c r="V339" s="1" t="s">
        <v>75</v>
      </c>
      <c r="W339" s="1" t="s">
        <v>83</v>
      </c>
      <c r="X339">
        <v>566647.41</v>
      </c>
      <c r="Y339" s="1" t="s">
        <v>2079</v>
      </c>
      <c r="Z339" s="1" t="s">
        <v>2080</v>
      </c>
      <c r="AO339" t="str">
        <v>P00403</v>
      </c>
    </row>
    <row r="340" spans="1:41" x14ac:dyDescent="0.35">
      <c r="A340" s="1" t="s">
        <v>1119</v>
      </c>
      <c r="B340" s="1" t="s">
        <v>328</v>
      </c>
      <c r="C340">
        <v>81</v>
      </c>
      <c r="D340" s="1" t="s">
        <v>119</v>
      </c>
      <c r="E340" s="1" t="s">
        <v>86</v>
      </c>
      <c r="F340" s="1" t="s">
        <v>120</v>
      </c>
      <c r="G340" s="2">
        <v>45655</v>
      </c>
      <c r="H340" s="2">
        <v>45656</v>
      </c>
      <c r="I340" s="1" t="s">
        <v>257</v>
      </c>
      <c r="J340" s="1" t="s">
        <v>141</v>
      </c>
      <c r="K340" s="1" t="s">
        <v>55</v>
      </c>
      <c r="L340" s="1" t="s">
        <v>66</v>
      </c>
      <c r="M340" s="1" t="s">
        <v>2089</v>
      </c>
      <c r="N340">
        <v>350506.82</v>
      </c>
      <c r="O340">
        <v>24086.12</v>
      </c>
      <c r="P340">
        <v>79068.600000000006</v>
      </c>
      <c r="Q340">
        <v>1</v>
      </c>
      <c r="R340">
        <v>12</v>
      </c>
      <c r="S340">
        <v>2.6</v>
      </c>
      <c r="T340" s="1" t="s">
        <v>34</v>
      </c>
      <c r="U340" s="1" t="s">
        <v>149</v>
      </c>
      <c r="V340" s="1" t="s">
        <v>102</v>
      </c>
      <c r="W340" s="1" t="s">
        <v>131</v>
      </c>
      <c r="X340">
        <v>453661.54000000004</v>
      </c>
      <c r="Y340" s="1" t="s">
        <v>2088</v>
      </c>
      <c r="Z340" s="1" t="s">
        <v>2083</v>
      </c>
      <c r="AO340" t="str">
        <v>P00404</v>
      </c>
    </row>
    <row r="341" spans="1:41" x14ac:dyDescent="0.35">
      <c r="A341" s="1" t="s">
        <v>1121</v>
      </c>
      <c r="B341" s="1" t="s">
        <v>608</v>
      </c>
      <c r="C341">
        <v>31</v>
      </c>
      <c r="D341" s="1" t="s">
        <v>119</v>
      </c>
      <c r="E341" s="1" t="s">
        <v>263</v>
      </c>
      <c r="F341" s="1" t="s">
        <v>227</v>
      </c>
      <c r="G341" s="2">
        <v>45978</v>
      </c>
      <c r="H341" s="2">
        <v>45980</v>
      </c>
      <c r="I341" s="1" t="s">
        <v>100</v>
      </c>
      <c r="J341" s="1" t="s">
        <v>30</v>
      </c>
      <c r="K341" s="1" t="s">
        <v>163</v>
      </c>
      <c r="L341" s="1" t="s">
        <v>44</v>
      </c>
      <c r="M341" s="1" t="s">
        <v>2089</v>
      </c>
      <c r="N341">
        <v>72081.929999999993</v>
      </c>
      <c r="O341">
        <v>60577.08</v>
      </c>
      <c r="P341">
        <v>37234.370000000003</v>
      </c>
      <c r="Q341">
        <v>2</v>
      </c>
      <c r="R341">
        <v>121</v>
      </c>
      <c r="S341">
        <v>3</v>
      </c>
      <c r="T341" s="1" t="s">
        <v>34</v>
      </c>
      <c r="U341" s="1" t="s">
        <v>95</v>
      </c>
      <c r="V341" s="1" t="s">
        <v>75</v>
      </c>
      <c r="W341" s="1" t="s">
        <v>131</v>
      </c>
      <c r="X341">
        <v>169893.38</v>
      </c>
      <c r="Y341" s="1" t="s">
        <v>2082</v>
      </c>
      <c r="Z341" s="1" t="s">
        <v>2080</v>
      </c>
      <c r="AO341" t="str">
        <v>P00405</v>
      </c>
    </row>
    <row r="342" spans="1:41" x14ac:dyDescent="0.35">
      <c r="A342" s="1" t="s">
        <v>1123</v>
      </c>
      <c r="B342" s="1" t="s">
        <v>595</v>
      </c>
      <c r="C342">
        <v>48</v>
      </c>
      <c r="D342" s="1" t="s">
        <v>119</v>
      </c>
      <c r="E342" s="1" t="s">
        <v>107</v>
      </c>
      <c r="F342" s="1" t="s">
        <v>193</v>
      </c>
      <c r="G342" s="2">
        <v>45706</v>
      </c>
      <c r="H342" s="2">
        <v>45707</v>
      </c>
      <c r="I342" s="1" t="s">
        <v>173</v>
      </c>
      <c r="J342" s="1" t="s">
        <v>87</v>
      </c>
      <c r="K342" s="1" t="s">
        <v>148</v>
      </c>
      <c r="L342" s="1" t="s">
        <v>44</v>
      </c>
      <c r="M342" s="1" t="s">
        <v>2089</v>
      </c>
      <c r="N342">
        <v>0</v>
      </c>
      <c r="O342">
        <v>28284.15</v>
      </c>
      <c r="P342">
        <v>3950.55</v>
      </c>
      <c r="Q342">
        <v>1</v>
      </c>
      <c r="R342">
        <v>244</v>
      </c>
      <c r="S342">
        <v>4.9000000000000004</v>
      </c>
      <c r="T342" s="1" t="s">
        <v>46</v>
      </c>
      <c r="U342" s="1" t="s">
        <v>95</v>
      </c>
      <c r="V342" s="1" t="s">
        <v>75</v>
      </c>
      <c r="W342" s="1" t="s">
        <v>83</v>
      </c>
      <c r="X342">
        <v>32234.7</v>
      </c>
      <c r="Y342" s="1" t="s">
        <v>2079</v>
      </c>
      <c r="Z342" s="1" t="s">
        <v>2080</v>
      </c>
      <c r="AO342" t="str">
        <v>P00406</v>
      </c>
    </row>
    <row r="343" spans="1:41" x14ac:dyDescent="0.35">
      <c r="A343" s="1" t="s">
        <v>1128</v>
      </c>
      <c r="B343" s="1" t="s">
        <v>468</v>
      </c>
      <c r="C343">
        <v>76</v>
      </c>
      <c r="D343" s="1" t="s">
        <v>119</v>
      </c>
      <c r="E343" s="1" t="s">
        <v>51</v>
      </c>
      <c r="F343" s="1" t="s">
        <v>41</v>
      </c>
      <c r="G343" s="2">
        <v>45884</v>
      </c>
      <c r="H343" s="2">
        <v>45901</v>
      </c>
      <c r="I343" s="1" t="s">
        <v>273</v>
      </c>
      <c r="J343" s="1" t="s">
        <v>137</v>
      </c>
      <c r="K343" s="1" t="s">
        <v>174</v>
      </c>
      <c r="L343" s="1" t="s">
        <v>32</v>
      </c>
      <c r="M343" s="1" t="s">
        <v>2089</v>
      </c>
      <c r="N343">
        <v>304296.56</v>
      </c>
      <c r="O343">
        <v>31800.92</v>
      </c>
      <c r="P343">
        <v>38633.730000000003</v>
      </c>
      <c r="Q343">
        <v>17</v>
      </c>
      <c r="R343">
        <v>23</v>
      </c>
      <c r="S343">
        <v>3.8</v>
      </c>
      <c r="T343" s="1" t="s">
        <v>34</v>
      </c>
      <c r="U343" s="1" t="s">
        <v>35</v>
      </c>
      <c r="V343" s="1" t="s">
        <v>130</v>
      </c>
      <c r="W343" s="1" t="s">
        <v>36</v>
      </c>
      <c r="X343">
        <v>374731.20999999996</v>
      </c>
      <c r="Y343" s="1" t="s">
        <v>2088</v>
      </c>
      <c r="Z343" s="1" t="s">
        <v>2083</v>
      </c>
      <c r="AO343" t="str">
        <v>P00407</v>
      </c>
    </row>
    <row r="344" spans="1:41" x14ac:dyDescent="0.35">
      <c r="A344" s="1" t="s">
        <v>1130</v>
      </c>
      <c r="B344" s="1" t="s">
        <v>312</v>
      </c>
      <c r="C344">
        <v>15</v>
      </c>
      <c r="D344" s="1" t="s">
        <v>25</v>
      </c>
      <c r="E344" s="1" t="s">
        <v>157</v>
      </c>
      <c r="F344" s="1" t="s">
        <v>41</v>
      </c>
      <c r="G344" s="2">
        <v>46202</v>
      </c>
      <c r="H344" s="2">
        <v>46205</v>
      </c>
      <c r="I344" s="1" t="s">
        <v>173</v>
      </c>
      <c r="J344" s="1" t="s">
        <v>137</v>
      </c>
      <c r="K344" s="1" t="s">
        <v>55</v>
      </c>
      <c r="L344" s="1" t="s">
        <v>44</v>
      </c>
      <c r="M344" s="1" t="s">
        <v>2089</v>
      </c>
      <c r="N344">
        <v>266784.7</v>
      </c>
      <c r="O344">
        <v>26118.52</v>
      </c>
      <c r="P344">
        <v>0</v>
      </c>
      <c r="Q344">
        <v>3</v>
      </c>
      <c r="R344">
        <v>30</v>
      </c>
      <c r="S344">
        <v>3.2</v>
      </c>
      <c r="T344" s="1" t="s">
        <v>34</v>
      </c>
      <c r="U344" s="1" t="s">
        <v>95</v>
      </c>
      <c r="V344" s="1" t="s">
        <v>130</v>
      </c>
      <c r="W344" s="1" t="s">
        <v>36</v>
      </c>
      <c r="X344">
        <v>292903.22000000003</v>
      </c>
      <c r="Y344" s="1" t="s">
        <v>2093</v>
      </c>
      <c r="Z344" s="1" t="s">
        <v>2083</v>
      </c>
      <c r="AO344" t="str">
        <v>P00408</v>
      </c>
    </row>
    <row r="345" spans="1:41" x14ac:dyDescent="0.35">
      <c r="A345" s="1" t="s">
        <v>1131</v>
      </c>
      <c r="B345" s="1" t="s">
        <v>1132</v>
      </c>
      <c r="C345">
        <v>55</v>
      </c>
      <c r="D345" s="1" t="s">
        <v>25</v>
      </c>
      <c r="E345" s="1" t="s">
        <v>177</v>
      </c>
      <c r="F345" s="1" t="s">
        <v>63</v>
      </c>
      <c r="G345" s="2">
        <v>46165</v>
      </c>
      <c r="H345" s="2">
        <v>46176</v>
      </c>
      <c r="I345" s="1" t="s">
        <v>273</v>
      </c>
      <c r="J345" s="1" t="s">
        <v>115</v>
      </c>
      <c r="K345" s="1" t="s">
        <v>153</v>
      </c>
      <c r="L345" s="1" t="s">
        <v>44</v>
      </c>
      <c r="M345" s="1" t="s">
        <v>2092</v>
      </c>
      <c r="N345">
        <v>33032.58</v>
      </c>
      <c r="O345">
        <v>42150.91</v>
      </c>
      <c r="P345">
        <v>0</v>
      </c>
      <c r="Q345">
        <v>11</v>
      </c>
      <c r="R345">
        <v>176</v>
      </c>
      <c r="S345">
        <v>3.1</v>
      </c>
      <c r="T345" s="1" t="s">
        <v>34</v>
      </c>
      <c r="U345" s="1" t="s">
        <v>35</v>
      </c>
      <c r="V345" s="1" t="s">
        <v>130</v>
      </c>
      <c r="W345" s="1" t="s">
        <v>83</v>
      </c>
      <c r="X345">
        <v>75183.490000000005</v>
      </c>
      <c r="Y345" s="1" t="s">
        <v>2079</v>
      </c>
      <c r="Z345" s="1" t="s">
        <v>2080</v>
      </c>
      <c r="AO345" t="str">
        <v>P00409</v>
      </c>
    </row>
    <row r="346" spans="1:41" x14ac:dyDescent="0.35">
      <c r="A346" s="1" t="s">
        <v>1134</v>
      </c>
      <c r="B346" s="1" t="s">
        <v>368</v>
      </c>
      <c r="C346">
        <v>72</v>
      </c>
      <c r="D346" s="1" t="s">
        <v>25</v>
      </c>
      <c r="E346" s="1" t="s">
        <v>157</v>
      </c>
      <c r="F346" s="1" t="s">
        <v>120</v>
      </c>
      <c r="G346" s="2">
        <v>45452</v>
      </c>
      <c r="H346" s="2">
        <v>45454</v>
      </c>
      <c r="I346" s="1" t="s">
        <v>273</v>
      </c>
      <c r="J346" s="1" t="s">
        <v>137</v>
      </c>
      <c r="K346" s="1" t="s">
        <v>153</v>
      </c>
      <c r="L346" s="1" t="s">
        <v>32</v>
      </c>
      <c r="M346" s="1" t="s">
        <v>2092</v>
      </c>
      <c r="N346">
        <v>39797.1</v>
      </c>
      <c r="O346">
        <v>0</v>
      </c>
      <c r="P346">
        <v>27492.02</v>
      </c>
      <c r="Q346">
        <v>2</v>
      </c>
      <c r="R346">
        <v>172</v>
      </c>
      <c r="S346">
        <v>5</v>
      </c>
      <c r="T346" s="1" t="s">
        <v>34</v>
      </c>
      <c r="U346" s="1" t="s">
        <v>95</v>
      </c>
      <c r="V346" s="1" t="s">
        <v>130</v>
      </c>
      <c r="W346" s="1" t="s">
        <v>83</v>
      </c>
      <c r="X346">
        <v>67289.119999999995</v>
      </c>
      <c r="Y346" s="1" t="s">
        <v>2088</v>
      </c>
      <c r="Z346" s="1" t="s">
        <v>2080</v>
      </c>
      <c r="AO346" t="str">
        <v>P00410</v>
      </c>
    </row>
    <row r="347" spans="1:41" x14ac:dyDescent="0.35">
      <c r="A347" s="1" t="s">
        <v>1136</v>
      </c>
      <c r="B347" s="1" t="s">
        <v>1137</v>
      </c>
      <c r="C347">
        <v>33</v>
      </c>
      <c r="D347" s="1" t="s">
        <v>25</v>
      </c>
      <c r="E347" s="1" t="s">
        <v>26</v>
      </c>
      <c r="F347" s="1" t="s">
        <v>120</v>
      </c>
      <c r="G347" s="2">
        <v>45357</v>
      </c>
      <c r="H347" s="2">
        <v>45358</v>
      </c>
      <c r="I347" s="1" t="s">
        <v>257</v>
      </c>
      <c r="J347" s="1" t="s">
        <v>87</v>
      </c>
      <c r="K347" s="1" t="s">
        <v>174</v>
      </c>
      <c r="L347" s="1" t="s">
        <v>32</v>
      </c>
      <c r="M347" s="1" t="s">
        <v>2090</v>
      </c>
      <c r="N347">
        <v>297243.71000000002</v>
      </c>
      <c r="O347">
        <v>60006.54</v>
      </c>
      <c r="P347">
        <v>31105.16</v>
      </c>
      <c r="Q347">
        <v>1</v>
      </c>
      <c r="R347">
        <v>64</v>
      </c>
      <c r="S347">
        <v>5</v>
      </c>
      <c r="T347" s="1" t="s">
        <v>34</v>
      </c>
      <c r="U347" s="1" t="s">
        <v>35</v>
      </c>
      <c r="V347" s="1" t="s">
        <v>102</v>
      </c>
      <c r="W347" s="1" t="s">
        <v>36</v>
      </c>
      <c r="X347">
        <v>388355.41</v>
      </c>
      <c r="Y347" s="1" t="s">
        <v>2082</v>
      </c>
      <c r="Z347" s="1" t="s">
        <v>2080</v>
      </c>
      <c r="AO347" t="str">
        <v>P00411</v>
      </c>
    </row>
    <row r="348" spans="1:41" x14ac:dyDescent="0.35">
      <c r="A348" s="1" t="s">
        <v>1138</v>
      </c>
      <c r="B348" s="1" t="s">
        <v>723</v>
      </c>
      <c r="C348">
        <v>34</v>
      </c>
      <c r="D348" s="1" t="s">
        <v>119</v>
      </c>
      <c r="E348" s="1" t="s">
        <v>86</v>
      </c>
      <c r="F348" s="1" t="s">
        <v>120</v>
      </c>
      <c r="G348" s="2">
        <v>46015</v>
      </c>
      <c r="H348" s="2">
        <v>46016</v>
      </c>
      <c r="I348" s="1" t="s">
        <v>53</v>
      </c>
      <c r="J348" s="1" t="s">
        <v>87</v>
      </c>
      <c r="K348" s="1" t="s">
        <v>148</v>
      </c>
      <c r="L348" s="1" t="s">
        <v>44</v>
      </c>
      <c r="M348" s="1" t="s">
        <v>57</v>
      </c>
      <c r="N348">
        <v>246659.34</v>
      </c>
      <c r="O348">
        <v>41230.47</v>
      </c>
      <c r="P348">
        <v>29705.8</v>
      </c>
      <c r="Q348">
        <v>1</v>
      </c>
      <c r="R348">
        <v>97</v>
      </c>
      <c r="S348">
        <v>0.5</v>
      </c>
      <c r="T348" s="1" t="s">
        <v>34</v>
      </c>
      <c r="U348" s="1" t="s">
        <v>35</v>
      </c>
      <c r="V348" s="1" t="s">
        <v>130</v>
      </c>
      <c r="W348" s="1" t="s">
        <v>36</v>
      </c>
      <c r="X348">
        <v>317595.61</v>
      </c>
      <c r="Y348" s="1" t="s">
        <v>2082</v>
      </c>
      <c r="Z348" s="1" t="s">
        <v>2080</v>
      </c>
      <c r="AO348" t="str">
        <v>P00412</v>
      </c>
    </row>
    <row r="349" spans="1:41" x14ac:dyDescent="0.35">
      <c r="A349" s="1" t="s">
        <v>1140</v>
      </c>
      <c r="B349" s="1" t="s">
        <v>499</v>
      </c>
      <c r="C349">
        <v>52</v>
      </c>
      <c r="D349" s="1" t="s">
        <v>119</v>
      </c>
      <c r="E349" s="1" t="s">
        <v>86</v>
      </c>
      <c r="F349" s="1" t="s">
        <v>41</v>
      </c>
      <c r="G349" s="2">
        <v>46017</v>
      </c>
      <c r="H349" s="2">
        <v>46018</v>
      </c>
      <c r="I349" s="1" t="s">
        <v>127</v>
      </c>
      <c r="J349" s="1" t="s">
        <v>147</v>
      </c>
      <c r="K349" s="1" t="s">
        <v>148</v>
      </c>
      <c r="L349" s="1" t="s">
        <v>66</v>
      </c>
      <c r="M349" s="1" t="s">
        <v>2085</v>
      </c>
      <c r="N349">
        <v>82478.84</v>
      </c>
      <c r="O349">
        <v>31474.61</v>
      </c>
      <c r="P349">
        <v>58406.18</v>
      </c>
      <c r="Q349">
        <v>1</v>
      </c>
      <c r="R349">
        <v>69</v>
      </c>
      <c r="S349">
        <v>3.9</v>
      </c>
      <c r="T349" s="1" t="s">
        <v>46</v>
      </c>
      <c r="U349" s="1" t="s">
        <v>149</v>
      </c>
      <c r="V349" s="1" t="s">
        <v>75</v>
      </c>
      <c r="W349" s="1" t="s">
        <v>59</v>
      </c>
      <c r="X349">
        <v>172359.63</v>
      </c>
      <c r="Y349" s="1" t="s">
        <v>2079</v>
      </c>
      <c r="Z349" s="1" t="s">
        <v>2080</v>
      </c>
      <c r="AO349" t="str">
        <v>P00413</v>
      </c>
    </row>
    <row r="350" spans="1:41" x14ac:dyDescent="0.35">
      <c r="A350" s="1" t="s">
        <v>1142</v>
      </c>
      <c r="B350" s="1" t="s">
        <v>315</v>
      </c>
      <c r="C350">
        <v>38</v>
      </c>
      <c r="D350" s="1" t="s">
        <v>119</v>
      </c>
      <c r="E350" s="1" t="s">
        <v>86</v>
      </c>
      <c r="F350" s="1" t="s">
        <v>63</v>
      </c>
      <c r="G350" s="2">
        <v>45809</v>
      </c>
      <c r="H350" s="2">
        <v>45810</v>
      </c>
      <c r="I350" s="1" t="s">
        <v>173</v>
      </c>
      <c r="J350" s="1" t="s">
        <v>87</v>
      </c>
      <c r="K350" s="1" t="s">
        <v>148</v>
      </c>
      <c r="L350" s="1" t="s">
        <v>44</v>
      </c>
      <c r="M350" s="1" t="s">
        <v>2085</v>
      </c>
      <c r="N350">
        <v>305430.26</v>
      </c>
      <c r="O350">
        <v>33924.32</v>
      </c>
      <c r="P350">
        <v>27404.06</v>
      </c>
      <c r="Q350">
        <v>1</v>
      </c>
      <c r="R350">
        <v>111</v>
      </c>
      <c r="S350">
        <v>4.5999999999999996</v>
      </c>
      <c r="T350" s="1" t="s">
        <v>46</v>
      </c>
      <c r="U350" s="1" t="s">
        <v>101</v>
      </c>
      <c r="V350" s="1" t="s">
        <v>102</v>
      </c>
      <c r="W350" s="1" t="s">
        <v>59</v>
      </c>
      <c r="X350">
        <v>366758.64</v>
      </c>
      <c r="Y350" s="1" t="s">
        <v>2079</v>
      </c>
      <c r="Z350" s="1" t="s">
        <v>2080</v>
      </c>
      <c r="AO350" t="str">
        <v>P00414</v>
      </c>
    </row>
    <row r="351" spans="1:41" x14ac:dyDescent="0.35">
      <c r="A351" s="1" t="s">
        <v>1144</v>
      </c>
      <c r="B351" s="1" t="s">
        <v>759</v>
      </c>
      <c r="C351">
        <v>68</v>
      </c>
      <c r="D351" s="1" t="s">
        <v>25</v>
      </c>
      <c r="E351" s="1" t="s">
        <v>26</v>
      </c>
      <c r="F351" s="1" t="s">
        <v>41</v>
      </c>
      <c r="G351" s="2">
        <v>46164</v>
      </c>
      <c r="H351" s="2">
        <v>46165</v>
      </c>
      <c r="I351" s="1" t="s">
        <v>277</v>
      </c>
      <c r="J351" s="1" t="s">
        <v>2081</v>
      </c>
      <c r="K351" s="1" t="s">
        <v>148</v>
      </c>
      <c r="L351" s="1" t="s">
        <v>44</v>
      </c>
      <c r="M351" s="1" t="s">
        <v>2089</v>
      </c>
      <c r="N351">
        <v>172924.34</v>
      </c>
      <c r="O351">
        <v>40637.25</v>
      </c>
      <c r="P351">
        <v>80917.41</v>
      </c>
      <c r="Q351">
        <v>1</v>
      </c>
      <c r="R351">
        <v>0</v>
      </c>
      <c r="S351">
        <v>2.8</v>
      </c>
      <c r="T351" s="1" t="s">
        <v>46</v>
      </c>
      <c r="U351" s="1" t="s">
        <v>35</v>
      </c>
      <c r="V351" s="1" t="s">
        <v>102</v>
      </c>
      <c r="W351" s="1" t="s">
        <v>83</v>
      </c>
      <c r="X351">
        <v>294479</v>
      </c>
      <c r="Y351" s="1" t="s">
        <v>2088</v>
      </c>
      <c r="Z351" s="1" t="s">
        <v>2083</v>
      </c>
      <c r="AO351" t="str">
        <v>P00415</v>
      </c>
    </row>
    <row r="352" spans="1:41" x14ac:dyDescent="0.35">
      <c r="A352" s="1" t="s">
        <v>1145</v>
      </c>
      <c r="B352" s="1" t="s">
        <v>1137</v>
      </c>
      <c r="C352">
        <v>25</v>
      </c>
      <c r="D352" s="1" t="s">
        <v>119</v>
      </c>
      <c r="E352" s="1" t="s">
        <v>26</v>
      </c>
      <c r="F352" s="1" t="s">
        <v>63</v>
      </c>
      <c r="G352" s="2">
        <v>46216</v>
      </c>
      <c r="H352" s="2">
        <v>46218</v>
      </c>
      <c r="I352" s="1" t="s">
        <v>273</v>
      </c>
      <c r="J352" s="1" t="s">
        <v>115</v>
      </c>
      <c r="K352" s="1" t="s">
        <v>148</v>
      </c>
      <c r="L352" s="1" t="s">
        <v>44</v>
      </c>
      <c r="M352" s="1" t="s">
        <v>2089</v>
      </c>
      <c r="N352">
        <v>462891.12</v>
      </c>
      <c r="O352">
        <v>8580.7000000000007</v>
      </c>
      <c r="P352">
        <v>28333.599999999999</v>
      </c>
      <c r="Q352">
        <v>2</v>
      </c>
      <c r="R352">
        <v>110</v>
      </c>
      <c r="S352">
        <v>2.1</v>
      </c>
      <c r="T352" s="1" t="s">
        <v>34</v>
      </c>
      <c r="U352" s="1" t="s">
        <v>95</v>
      </c>
      <c r="V352" s="1" t="s">
        <v>102</v>
      </c>
      <c r="W352" s="1" t="s">
        <v>83</v>
      </c>
      <c r="X352">
        <v>499805.42</v>
      </c>
      <c r="Y352" s="1" t="s">
        <v>2082</v>
      </c>
      <c r="Z352" s="1" t="s">
        <v>2080</v>
      </c>
      <c r="AO352" t="str">
        <v>P00416</v>
      </c>
    </row>
    <row r="353" spans="1:41" x14ac:dyDescent="0.35">
      <c r="A353" s="1" t="s">
        <v>1147</v>
      </c>
      <c r="B353" s="1" t="s">
        <v>753</v>
      </c>
      <c r="C353">
        <v>49</v>
      </c>
      <c r="D353" s="1" t="s">
        <v>119</v>
      </c>
      <c r="E353" s="1" t="s">
        <v>219</v>
      </c>
      <c r="F353" s="1" t="s">
        <v>120</v>
      </c>
      <c r="G353" s="2">
        <v>45502</v>
      </c>
      <c r="H353" s="2">
        <v>45504</v>
      </c>
      <c r="I353" s="1" t="s">
        <v>273</v>
      </c>
      <c r="J353" s="1" t="s">
        <v>2081</v>
      </c>
      <c r="K353" s="1" t="s">
        <v>31</v>
      </c>
      <c r="L353" s="1" t="s">
        <v>66</v>
      </c>
      <c r="M353" s="1" t="s">
        <v>57</v>
      </c>
      <c r="N353">
        <v>173399.54</v>
      </c>
      <c r="O353">
        <v>27665.33</v>
      </c>
      <c r="P353">
        <v>29120.04</v>
      </c>
      <c r="Q353">
        <v>2</v>
      </c>
      <c r="R353">
        <v>0</v>
      </c>
      <c r="S353">
        <v>4.0999999999999996</v>
      </c>
      <c r="T353" s="1" t="s">
        <v>34</v>
      </c>
      <c r="U353" s="1" t="s">
        <v>35</v>
      </c>
      <c r="V353" s="1" t="s">
        <v>102</v>
      </c>
      <c r="W353" s="1" t="s">
        <v>83</v>
      </c>
      <c r="X353">
        <v>230184.91</v>
      </c>
      <c r="Y353" s="1" t="s">
        <v>2079</v>
      </c>
      <c r="Z353" s="1" t="s">
        <v>2083</v>
      </c>
      <c r="AO353" t="str">
        <v>P00419</v>
      </c>
    </row>
    <row r="354" spans="1:41" x14ac:dyDescent="0.35">
      <c r="A354" s="1" t="s">
        <v>1150</v>
      </c>
      <c r="B354" s="1" t="s">
        <v>511</v>
      </c>
      <c r="C354">
        <v>26</v>
      </c>
      <c r="D354" s="1" t="s">
        <v>119</v>
      </c>
      <c r="E354" s="1" t="s">
        <v>26</v>
      </c>
      <c r="F354" s="1" t="s">
        <v>41</v>
      </c>
      <c r="G354" s="2">
        <v>45751</v>
      </c>
      <c r="H354" s="2">
        <v>45760</v>
      </c>
      <c r="I354" s="1" t="s">
        <v>235</v>
      </c>
      <c r="J354" s="1" t="s">
        <v>30</v>
      </c>
      <c r="K354" s="1" t="s">
        <v>55</v>
      </c>
      <c r="L354" s="1" t="s">
        <v>66</v>
      </c>
      <c r="M354" s="1" t="s">
        <v>2086</v>
      </c>
      <c r="N354">
        <v>474528.67</v>
      </c>
      <c r="O354">
        <v>49378.89</v>
      </c>
      <c r="P354">
        <v>61591.199999999997</v>
      </c>
      <c r="Q354">
        <v>9</v>
      </c>
      <c r="R354">
        <v>112</v>
      </c>
      <c r="S354">
        <v>3.4</v>
      </c>
      <c r="T354" s="1" t="s">
        <v>34</v>
      </c>
      <c r="U354" s="1" t="s">
        <v>101</v>
      </c>
      <c r="V354" s="1" t="s">
        <v>102</v>
      </c>
      <c r="W354" s="1" t="s">
        <v>12</v>
      </c>
      <c r="X354">
        <v>585498.76</v>
      </c>
      <c r="Y354" s="1" t="s">
        <v>2082</v>
      </c>
      <c r="Z354" s="1" t="s">
        <v>2080</v>
      </c>
      <c r="AO354" t="str">
        <v>P00423</v>
      </c>
    </row>
    <row r="355" spans="1:41" x14ac:dyDescent="0.35">
      <c r="A355" s="1" t="s">
        <v>1151</v>
      </c>
      <c r="B355" s="1" t="s">
        <v>1152</v>
      </c>
      <c r="C355">
        <v>46</v>
      </c>
      <c r="D355" s="1" t="s">
        <v>25</v>
      </c>
      <c r="E355" s="1" t="s">
        <v>219</v>
      </c>
      <c r="F355" s="1" t="s">
        <v>41</v>
      </c>
      <c r="G355" s="2">
        <v>45820</v>
      </c>
      <c r="H355" s="2">
        <v>45827</v>
      </c>
      <c r="I355" s="1" t="s">
        <v>127</v>
      </c>
      <c r="J355" s="1" t="s">
        <v>147</v>
      </c>
      <c r="K355" s="1" t="s">
        <v>55</v>
      </c>
      <c r="L355" s="1" t="s">
        <v>44</v>
      </c>
      <c r="M355" s="1" t="s">
        <v>2086</v>
      </c>
      <c r="N355">
        <v>0</v>
      </c>
      <c r="O355">
        <v>2070.34</v>
      </c>
      <c r="P355">
        <v>39424.629999999997</v>
      </c>
      <c r="Q355">
        <v>7</v>
      </c>
      <c r="R355">
        <v>118</v>
      </c>
      <c r="S355">
        <v>3.6</v>
      </c>
      <c r="T355" s="1" t="s">
        <v>46</v>
      </c>
      <c r="U355" s="1" t="s">
        <v>35</v>
      </c>
      <c r="V355" s="1" t="s">
        <v>130</v>
      </c>
      <c r="W355" s="1" t="s">
        <v>131</v>
      </c>
      <c r="X355">
        <v>41494.97</v>
      </c>
      <c r="Y355" s="1" t="s">
        <v>2079</v>
      </c>
      <c r="Z355" s="1" t="s">
        <v>2080</v>
      </c>
      <c r="AO355" t="str">
        <v>P00424</v>
      </c>
    </row>
    <row r="356" spans="1:41" x14ac:dyDescent="0.35">
      <c r="A356" s="1" t="s">
        <v>1153</v>
      </c>
      <c r="B356" s="1" t="s">
        <v>218</v>
      </c>
      <c r="C356">
        <v>0</v>
      </c>
      <c r="D356" s="1" t="s">
        <v>25</v>
      </c>
      <c r="E356" s="1" t="s">
        <v>263</v>
      </c>
      <c r="F356" s="1" t="s">
        <v>193</v>
      </c>
      <c r="G356" s="2">
        <v>45823</v>
      </c>
      <c r="H356" s="2">
        <v>45830</v>
      </c>
      <c r="I356" s="1" t="s">
        <v>127</v>
      </c>
      <c r="J356" s="1" t="s">
        <v>141</v>
      </c>
      <c r="K356" s="1" t="s">
        <v>128</v>
      </c>
      <c r="L356" s="1" t="s">
        <v>44</v>
      </c>
      <c r="M356" s="1" t="s">
        <v>2085</v>
      </c>
      <c r="N356">
        <v>240102.31</v>
      </c>
      <c r="O356">
        <v>0</v>
      </c>
      <c r="P356">
        <v>67791.37</v>
      </c>
      <c r="Q356">
        <v>7</v>
      </c>
      <c r="R356">
        <v>87</v>
      </c>
      <c r="S356">
        <v>4.2</v>
      </c>
      <c r="T356" s="1" t="s">
        <v>46</v>
      </c>
      <c r="U356" s="1" t="s">
        <v>35</v>
      </c>
      <c r="V356" s="1" t="s">
        <v>102</v>
      </c>
      <c r="W356" s="1" t="s">
        <v>83</v>
      </c>
      <c r="X356">
        <v>307893.68</v>
      </c>
      <c r="Y356" s="1" t="s">
        <v>2093</v>
      </c>
      <c r="Z356" s="1" t="s">
        <v>2080</v>
      </c>
      <c r="AO356" t="str">
        <v>P00425</v>
      </c>
    </row>
    <row r="357" spans="1:41" x14ac:dyDescent="0.35">
      <c r="A357" s="1" t="s">
        <v>1154</v>
      </c>
      <c r="B357" s="1" t="s">
        <v>1155</v>
      </c>
      <c r="C357">
        <v>71</v>
      </c>
      <c r="D357" s="1" t="s">
        <v>25</v>
      </c>
      <c r="E357" s="1" t="s">
        <v>86</v>
      </c>
      <c r="F357" s="1" t="s">
        <v>41</v>
      </c>
      <c r="G357" s="2">
        <v>45412</v>
      </c>
      <c r="H357" s="2">
        <v>45413</v>
      </c>
      <c r="I357" s="1" t="s">
        <v>53</v>
      </c>
      <c r="J357" s="1" t="s">
        <v>87</v>
      </c>
      <c r="K357" s="1" t="s">
        <v>163</v>
      </c>
      <c r="L357" s="1" t="s">
        <v>32</v>
      </c>
      <c r="M357" s="1" t="s">
        <v>2085</v>
      </c>
      <c r="N357">
        <v>365841.45</v>
      </c>
      <c r="O357">
        <v>44588.61</v>
      </c>
      <c r="P357">
        <v>41114.480000000003</v>
      </c>
      <c r="Q357">
        <v>1</v>
      </c>
      <c r="R357">
        <v>138</v>
      </c>
      <c r="S357">
        <v>2.8</v>
      </c>
      <c r="T357" s="1" t="s">
        <v>34</v>
      </c>
      <c r="U357" s="1" t="s">
        <v>35</v>
      </c>
      <c r="V357" s="1" t="s">
        <v>75</v>
      </c>
      <c r="W357" s="1" t="s">
        <v>131</v>
      </c>
      <c r="X357">
        <v>451544.54</v>
      </c>
      <c r="Y357" s="1" t="s">
        <v>2088</v>
      </c>
      <c r="Z357" s="1" t="s">
        <v>2080</v>
      </c>
      <c r="AO357" t="str">
        <v>P00428</v>
      </c>
    </row>
    <row r="358" spans="1:41" x14ac:dyDescent="0.35">
      <c r="A358" s="1" t="s">
        <v>1158</v>
      </c>
      <c r="B358" s="1" t="s">
        <v>761</v>
      </c>
      <c r="C358">
        <v>1</v>
      </c>
      <c r="D358" s="1" t="s">
        <v>119</v>
      </c>
      <c r="E358" s="1" t="s">
        <v>86</v>
      </c>
      <c r="F358" s="1" t="s">
        <v>227</v>
      </c>
      <c r="G358" s="2">
        <v>45878</v>
      </c>
      <c r="H358" s="2">
        <v>45882</v>
      </c>
      <c r="I358" s="1" t="s">
        <v>273</v>
      </c>
      <c r="J358" s="1" t="s">
        <v>137</v>
      </c>
      <c r="K358" s="1" t="s">
        <v>148</v>
      </c>
      <c r="L358" s="1" t="s">
        <v>32</v>
      </c>
      <c r="M358" s="1" t="s">
        <v>2086</v>
      </c>
      <c r="N358">
        <v>57350.26</v>
      </c>
      <c r="O358">
        <v>22921.53</v>
      </c>
      <c r="P358">
        <v>35974.21</v>
      </c>
      <c r="Q358">
        <v>4</v>
      </c>
      <c r="R358">
        <v>4</v>
      </c>
      <c r="S358">
        <v>4.2</v>
      </c>
      <c r="T358" s="1" t="s">
        <v>46</v>
      </c>
      <c r="U358" s="1" t="s">
        <v>149</v>
      </c>
      <c r="V358" s="1" t="s">
        <v>75</v>
      </c>
      <c r="W358" s="1" t="s">
        <v>59</v>
      </c>
      <c r="X358">
        <v>116246</v>
      </c>
      <c r="Y358" s="1" t="s">
        <v>2093</v>
      </c>
      <c r="Z358" s="1" t="s">
        <v>2083</v>
      </c>
      <c r="AO358" t="str">
        <v>P00429</v>
      </c>
    </row>
    <row r="359" spans="1:41" x14ac:dyDescent="0.35">
      <c r="A359" s="1" t="s">
        <v>1160</v>
      </c>
      <c r="B359" s="1" t="s">
        <v>569</v>
      </c>
      <c r="C359">
        <v>38</v>
      </c>
      <c r="D359" s="1" t="s">
        <v>25</v>
      </c>
      <c r="E359" s="1" t="s">
        <v>40</v>
      </c>
      <c r="F359" s="1" t="s">
        <v>87</v>
      </c>
      <c r="G359" s="2">
        <v>45711</v>
      </c>
      <c r="H359" s="2">
        <v>45714</v>
      </c>
      <c r="I359" s="1" t="s">
        <v>235</v>
      </c>
      <c r="J359" s="1" t="s">
        <v>54</v>
      </c>
      <c r="K359" s="1" t="s">
        <v>148</v>
      </c>
      <c r="L359" s="1" t="s">
        <v>32</v>
      </c>
      <c r="M359" s="1" t="s">
        <v>2090</v>
      </c>
      <c r="N359">
        <v>114189.19</v>
      </c>
      <c r="O359">
        <v>56217.68</v>
      </c>
      <c r="P359">
        <v>94662.21</v>
      </c>
      <c r="Q359">
        <v>3</v>
      </c>
      <c r="R359">
        <v>58</v>
      </c>
      <c r="S359">
        <v>2.9</v>
      </c>
      <c r="T359" s="1" t="s">
        <v>46</v>
      </c>
      <c r="U359" s="1" t="s">
        <v>95</v>
      </c>
      <c r="V359" s="1" t="s">
        <v>75</v>
      </c>
      <c r="W359" s="1" t="s">
        <v>83</v>
      </c>
      <c r="X359">
        <v>265069.08</v>
      </c>
      <c r="Y359" s="1" t="s">
        <v>2079</v>
      </c>
      <c r="Z359" s="1" t="s">
        <v>2091</v>
      </c>
      <c r="AO359" t="str">
        <v>P00430</v>
      </c>
    </row>
    <row r="360" spans="1:41" x14ac:dyDescent="0.35">
      <c r="A360" s="1" t="s">
        <v>1162</v>
      </c>
      <c r="B360" s="1" t="s">
        <v>459</v>
      </c>
      <c r="C360">
        <v>35</v>
      </c>
      <c r="D360" s="1" t="s">
        <v>25</v>
      </c>
      <c r="E360" s="1" t="s">
        <v>112</v>
      </c>
      <c r="F360" s="1" t="s">
        <v>193</v>
      </c>
      <c r="G360" s="2">
        <v>45951</v>
      </c>
      <c r="H360" s="2">
        <v>45955</v>
      </c>
      <c r="I360" s="1" t="s">
        <v>53</v>
      </c>
      <c r="J360" s="1" t="s">
        <v>90</v>
      </c>
      <c r="K360" s="1" t="s">
        <v>174</v>
      </c>
      <c r="L360" s="1" t="s">
        <v>32</v>
      </c>
      <c r="M360" s="1" t="s">
        <v>2090</v>
      </c>
      <c r="N360">
        <v>200484.39</v>
      </c>
      <c r="O360">
        <v>48491.33</v>
      </c>
      <c r="P360">
        <v>0</v>
      </c>
      <c r="Q360">
        <v>4</v>
      </c>
      <c r="R360">
        <v>193</v>
      </c>
      <c r="S360">
        <v>3.8</v>
      </c>
      <c r="T360" s="1" t="s">
        <v>46</v>
      </c>
      <c r="U360" s="1" t="s">
        <v>95</v>
      </c>
      <c r="V360" s="1" t="s">
        <v>75</v>
      </c>
      <c r="W360" s="1" t="s">
        <v>83</v>
      </c>
      <c r="X360">
        <v>248975.72000000003</v>
      </c>
      <c r="Y360" s="1" t="s">
        <v>2082</v>
      </c>
      <c r="Z360" s="1" t="s">
        <v>2080</v>
      </c>
      <c r="AO360" t="str">
        <v>P00431</v>
      </c>
    </row>
    <row r="361" spans="1:41" x14ac:dyDescent="0.35">
      <c r="A361" s="1" t="s">
        <v>1164</v>
      </c>
      <c r="B361" s="1" t="s">
        <v>1165</v>
      </c>
      <c r="C361">
        <v>41</v>
      </c>
      <c r="D361" s="1" t="s">
        <v>25</v>
      </c>
      <c r="E361" s="1" t="s">
        <v>2084</v>
      </c>
      <c r="F361" s="1" t="s">
        <v>87</v>
      </c>
      <c r="G361" s="2">
        <v>45746</v>
      </c>
      <c r="H361" s="2">
        <v>45748</v>
      </c>
      <c r="I361" s="1" t="s">
        <v>53</v>
      </c>
      <c r="J361" s="1" t="s">
        <v>137</v>
      </c>
      <c r="K361" s="1" t="s">
        <v>153</v>
      </c>
      <c r="L361" s="1" t="s">
        <v>44</v>
      </c>
      <c r="M361" s="1" t="s">
        <v>2085</v>
      </c>
      <c r="N361">
        <v>214740.11</v>
      </c>
      <c r="O361">
        <v>0</v>
      </c>
      <c r="P361">
        <v>89848.15</v>
      </c>
      <c r="Q361">
        <v>2</v>
      </c>
      <c r="R361">
        <v>98</v>
      </c>
      <c r="S361">
        <v>4.3</v>
      </c>
      <c r="T361" s="1" t="s">
        <v>46</v>
      </c>
      <c r="U361" s="1" t="s">
        <v>149</v>
      </c>
      <c r="V361" s="1" t="s">
        <v>75</v>
      </c>
      <c r="W361" s="1" t="s">
        <v>36</v>
      </c>
      <c r="X361">
        <v>304588.26</v>
      </c>
      <c r="Y361" s="1" t="s">
        <v>2079</v>
      </c>
      <c r="Z361" s="1" t="s">
        <v>2080</v>
      </c>
      <c r="AO361" t="str">
        <v>P00432</v>
      </c>
    </row>
    <row r="362" spans="1:41" x14ac:dyDescent="0.35">
      <c r="A362" s="1" t="s">
        <v>1167</v>
      </c>
      <c r="B362" s="1" t="s">
        <v>634</v>
      </c>
      <c r="C362">
        <v>20</v>
      </c>
      <c r="D362" s="1" t="s">
        <v>119</v>
      </c>
      <c r="E362" s="1" t="s">
        <v>263</v>
      </c>
      <c r="F362" s="1" t="s">
        <v>120</v>
      </c>
      <c r="G362" s="2">
        <v>45439</v>
      </c>
      <c r="H362" s="2">
        <v>45445</v>
      </c>
      <c r="I362" s="1" t="s">
        <v>221</v>
      </c>
      <c r="J362" s="1" t="s">
        <v>147</v>
      </c>
      <c r="K362" s="1" t="s">
        <v>153</v>
      </c>
      <c r="L362" s="1" t="s">
        <v>44</v>
      </c>
      <c r="M362" s="1" t="s">
        <v>2092</v>
      </c>
      <c r="N362">
        <v>286286.07</v>
      </c>
      <c r="O362">
        <v>23308.97</v>
      </c>
      <c r="P362">
        <v>70403.12</v>
      </c>
      <c r="Q362">
        <v>6</v>
      </c>
      <c r="R362">
        <v>0</v>
      </c>
      <c r="S362">
        <v>3.6</v>
      </c>
      <c r="T362" s="1" t="s">
        <v>34</v>
      </c>
      <c r="U362" s="1" t="s">
        <v>95</v>
      </c>
      <c r="V362" s="1" t="s">
        <v>102</v>
      </c>
      <c r="W362" s="1" t="s">
        <v>83</v>
      </c>
      <c r="X362">
        <v>379998.16000000003</v>
      </c>
      <c r="Y362" s="1" t="s">
        <v>2082</v>
      </c>
      <c r="Z362" s="1" t="s">
        <v>2083</v>
      </c>
      <c r="AO362" t="str">
        <v>P00433</v>
      </c>
    </row>
    <row r="363" spans="1:41" x14ac:dyDescent="0.35">
      <c r="A363" s="1" t="s">
        <v>1169</v>
      </c>
      <c r="B363" s="1" t="s">
        <v>1170</v>
      </c>
      <c r="C363">
        <v>52</v>
      </c>
      <c r="D363" s="1" t="s">
        <v>25</v>
      </c>
      <c r="E363" s="1" t="s">
        <v>51</v>
      </c>
      <c r="F363" s="1" t="s">
        <v>108</v>
      </c>
      <c r="G363" s="2">
        <v>45676</v>
      </c>
      <c r="H363" s="2">
        <v>45678</v>
      </c>
      <c r="I363" s="1" t="s">
        <v>257</v>
      </c>
      <c r="J363" s="1" t="s">
        <v>2081</v>
      </c>
      <c r="K363" s="1" t="s">
        <v>81</v>
      </c>
      <c r="L363" s="1" t="s">
        <v>32</v>
      </c>
      <c r="M363" s="1" t="s">
        <v>2092</v>
      </c>
      <c r="N363">
        <v>285806.19</v>
      </c>
      <c r="O363">
        <v>12309.35</v>
      </c>
      <c r="P363">
        <v>23634.78</v>
      </c>
      <c r="Q363">
        <v>2</v>
      </c>
      <c r="R363">
        <v>86</v>
      </c>
      <c r="S363">
        <v>2.5</v>
      </c>
      <c r="T363" s="1" t="s">
        <v>34</v>
      </c>
      <c r="U363" s="1" t="s">
        <v>95</v>
      </c>
      <c r="V363" s="1" t="s">
        <v>75</v>
      </c>
      <c r="W363" s="1" t="s">
        <v>12</v>
      </c>
      <c r="X363">
        <v>321750.31999999995</v>
      </c>
      <c r="Y363" s="1" t="s">
        <v>2079</v>
      </c>
      <c r="Z363" s="1" t="s">
        <v>2080</v>
      </c>
      <c r="AO363" t="str">
        <v>P00434</v>
      </c>
    </row>
    <row r="364" spans="1:41" x14ac:dyDescent="0.35">
      <c r="A364" s="1" t="s">
        <v>1171</v>
      </c>
      <c r="B364" s="1" t="s">
        <v>974</v>
      </c>
      <c r="C364">
        <v>34</v>
      </c>
      <c r="D364" s="1" t="s">
        <v>119</v>
      </c>
      <c r="E364" s="1" t="s">
        <v>263</v>
      </c>
      <c r="F364" s="1" t="s">
        <v>145</v>
      </c>
      <c r="G364" s="2">
        <v>46227</v>
      </c>
      <c r="H364" s="2">
        <v>46232</v>
      </c>
      <c r="I364" s="1" t="s">
        <v>127</v>
      </c>
      <c r="J364" s="1" t="s">
        <v>30</v>
      </c>
      <c r="K364" s="1" t="s">
        <v>148</v>
      </c>
      <c r="L364" s="1" t="s">
        <v>32</v>
      </c>
      <c r="M364" s="1" t="s">
        <v>2090</v>
      </c>
      <c r="N364">
        <v>0</v>
      </c>
      <c r="O364">
        <v>20629.45</v>
      </c>
      <c r="P364">
        <v>13843.69</v>
      </c>
      <c r="Q364">
        <v>5</v>
      </c>
      <c r="R364">
        <v>0</v>
      </c>
      <c r="S364">
        <v>2.1</v>
      </c>
      <c r="T364" s="1" t="s">
        <v>46</v>
      </c>
      <c r="U364" s="1" t="s">
        <v>149</v>
      </c>
      <c r="V364" s="1" t="s">
        <v>75</v>
      </c>
      <c r="W364" s="1" t="s">
        <v>131</v>
      </c>
      <c r="X364">
        <v>34473.14</v>
      </c>
      <c r="Y364" s="1" t="s">
        <v>2082</v>
      </c>
      <c r="Z364" s="1" t="s">
        <v>2083</v>
      </c>
      <c r="AO364" t="str">
        <v>P00435</v>
      </c>
    </row>
    <row r="365" spans="1:41" x14ac:dyDescent="0.35">
      <c r="A365" s="1" t="s">
        <v>1173</v>
      </c>
      <c r="B365" s="1" t="s">
        <v>1174</v>
      </c>
      <c r="C365">
        <v>72</v>
      </c>
      <c r="D365" s="1" t="s">
        <v>25</v>
      </c>
      <c r="E365" s="1" t="s">
        <v>26</v>
      </c>
      <c r="F365" s="1" t="s">
        <v>145</v>
      </c>
      <c r="G365" s="2">
        <v>45464</v>
      </c>
      <c r="H365" s="2">
        <v>45467</v>
      </c>
      <c r="I365" s="1" t="s">
        <v>53</v>
      </c>
      <c r="J365" s="1" t="s">
        <v>141</v>
      </c>
      <c r="K365" s="1" t="s">
        <v>148</v>
      </c>
      <c r="L365" s="1" t="s">
        <v>32</v>
      </c>
      <c r="M365" s="1" t="s">
        <v>2090</v>
      </c>
      <c r="N365">
        <v>263845.83</v>
      </c>
      <c r="O365">
        <v>14837.42</v>
      </c>
      <c r="P365">
        <v>58677.13</v>
      </c>
      <c r="Q365">
        <v>3</v>
      </c>
      <c r="R365">
        <v>60</v>
      </c>
      <c r="S365">
        <v>2.8</v>
      </c>
      <c r="T365" s="1" t="s">
        <v>34</v>
      </c>
      <c r="U365" s="1" t="s">
        <v>95</v>
      </c>
      <c r="V365" s="1" t="s">
        <v>102</v>
      </c>
      <c r="W365" s="1" t="s">
        <v>36</v>
      </c>
      <c r="X365">
        <v>337360.38</v>
      </c>
      <c r="Y365" s="1" t="s">
        <v>2088</v>
      </c>
      <c r="Z365" s="1" t="s">
        <v>2080</v>
      </c>
      <c r="AO365" t="str">
        <v>P00436</v>
      </c>
    </row>
    <row r="366" spans="1:41" x14ac:dyDescent="0.35">
      <c r="A366" s="1" t="s">
        <v>1175</v>
      </c>
      <c r="B366" s="1" t="s">
        <v>656</v>
      </c>
      <c r="C366">
        <v>4</v>
      </c>
      <c r="D366" s="1" t="s">
        <v>25</v>
      </c>
      <c r="E366" s="1" t="s">
        <v>26</v>
      </c>
      <c r="F366" s="1" t="s">
        <v>63</v>
      </c>
      <c r="G366" s="2">
        <v>45939</v>
      </c>
      <c r="H366" s="2">
        <v>45940</v>
      </c>
      <c r="I366" s="1" t="s">
        <v>53</v>
      </c>
      <c r="J366" s="1" t="s">
        <v>147</v>
      </c>
      <c r="K366" s="1" t="s">
        <v>55</v>
      </c>
      <c r="L366" s="1" t="s">
        <v>32</v>
      </c>
      <c r="M366" s="1" t="s">
        <v>2086</v>
      </c>
      <c r="N366">
        <v>165410.68</v>
      </c>
      <c r="O366">
        <v>33951.339999999997</v>
      </c>
      <c r="P366">
        <v>42101.29</v>
      </c>
      <c r="Q366">
        <v>1</v>
      </c>
      <c r="R366">
        <v>63</v>
      </c>
      <c r="S366">
        <v>2.5</v>
      </c>
      <c r="T366" s="1" t="s">
        <v>34</v>
      </c>
      <c r="U366" s="1" t="s">
        <v>95</v>
      </c>
      <c r="V366" s="1" t="s">
        <v>75</v>
      </c>
      <c r="W366" s="1" t="s">
        <v>131</v>
      </c>
      <c r="X366">
        <v>241463.31</v>
      </c>
      <c r="Y366" s="1" t="s">
        <v>2093</v>
      </c>
      <c r="Z366" s="1" t="s">
        <v>2080</v>
      </c>
      <c r="AO366" t="str">
        <v>P00437</v>
      </c>
    </row>
    <row r="367" spans="1:41" x14ac:dyDescent="0.35">
      <c r="A367" s="1" t="s">
        <v>1181</v>
      </c>
      <c r="B367" s="1" t="s">
        <v>1182</v>
      </c>
      <c r="C367">
        <v>16</v>
      </c>
      <c r="D367" s="1" t="s">
        <v>25</v>
      </c>
      <c r="E367" s="1" t="s">
        <v>219</v>
      </c>
      <c r="F367" s="1" t="s">
        <v>87</v>
      </c>
      <c r="G367" s="2">
        <v>46124</v>
      </c>
      <c r="H367" s="2">
        <v>46132</v>
      </c>
      <c r="I367" s="1" t="s">
        <v>100</v>
      </c>
      <c r="J367" s="1" t="s">
        <v>115</v>
      </c>
      <c r="K367" s="1" t="s">
        <v>55</v>
      </c>
      <c r="L367" s="1" t="s">
        <v>44</v>
      </c>
      <c r="M367" s="1" t="s">
        <v>2092</v>
      </c>
      <c r="N367">
        <v>345117.68</v>
      </c>
      <c r="O367">
        <v>52323.85</v>
      </c>
      <c r="P367">
        <v>99888.61</v>
      </c>
      <c r="Q367">
        <v>8</v>
      </c>
      <c r="R367">
        <v>64</v>
      </c>
      <c r="S367">
        <v>4.5999999999999996</v>
      </c>
      <c r="T367" s="1" t="s">
        <v>46</v>
      </c>
      <c r="U367" s="1" t="s">
        <v>35</v>
      </c>
      <c r="V367" s="1" t="s">
        <v>75</v>
      </c>
      <c r="W367" s="1" t="s">
        <v>83</v>
      </c>
      <c r="X367">
        <v>497330.13999999996</v>
      </c>
      <c r="Y367" s="1" t="s">
        <v>2093</v>
      </c>
      <c r="Z367" s="1" t="s">
        <v>2080</v>
      </c>
      <c r="AO367" t="str">
        <v>P00438</v>
      </c>
    </row>
    <row r="368" spans="1:41" x14ac:dyDescent="0.35">
      <c r="A368" s="1" t="s">
        <v>1184</v>
      </c>
      <c r="B368" s="1" t="s">
        <v>624</v>
      </c>
      <c r="C368">
        <v>29</v>
      </c>
      <c r="D368" s="1" t="s">
        <v>25</v>
      </c>
      <c r="E368" s="1" t="s">
        <v>86</v>
      </c>
      <c r="F368" s="1" t="s">
        <v>87</v>
      </c>
      <c r="G368" s="2">
        <v>45658</v>
      </c>
      <c r="H368" s="2">
        <v>45673</v>
      </c>
      <c r="I368" s="1" t="s">
        <v>114</v>
      </c>
      <c r="J368" s="1" t="s">
        <v>2081</v>
      </c>
      <c r="K368" s="1" t="s">
        <v>55</v>
      </c>
      <c r="L368" s="1" t="s">
        <v>32</v>
      </c>
      <c r="M368" s="1" t="s">
        <v>2092</v>
      </c>
      <c r="N368">
        <v>5094.37</v>
      </c>
      <c r="O368">
        <v>0</v>
      </c>
      <c r="P368">
        <v>66381.36</v>
      </c>
      <c r="Q368">
        <v>15</v>
      </c>
      <c r="R368">
        <v>0</v>
      </c>
      <c r="S368">
        <v>3.2</v>
      </c>
      <c r="T368" s="1" t="s">
        <v>46</v>
      </c>
      <c r="U368" s="1" t="s">
        <v>35</v>
      </c>
      <c r="V368" s="1" t="s">
        <v>130</v>
      </c>
      <c r="W368" s="1" t="s">
        <v>12</v>
      </c>
      <c r="X368">
        <v>71475.73</v>
      </c>
      <c r="Y368" s="1" t="s">
        <v>2082</v>
      </c>
      <c r="Z368" s="1" t="s">
        <v>2083</v>
      </c>
      <c r="AO368" t="str">
        <v>P00440</v>
      </c>
    </row>
    <row r="369" spans="1:41" x14ac:dyDescent="0.35">
      <c r="A369" s="1" t="s">
        <v>1186</v>
      </c>
      <c r="B369" s="1" t="s">
        <v>945</v>
      </c>
      <c r="C369">
        <v>47</v>
      </c>
      <c r="D369" s="1" t="s">
        <v>119</v>
      </c>
      <c r="E369" s="1" t="s">
        <v>192</v>
      </c>
      <c r="F369" s="1" t="s">
        <v>145</v>
      </c>
      <c r="G369" s="2">
        <v>45576</v>
      </c>
      <c r="H369" s="2">
        <v>45580</v>
      </c>
      <c r="I369" s="1" t="s">
        <v>159</v>
      </c>
      <c r="J369" s="1" t="s">
        <v>141</v>
      </c>
      <c r="K369" s="1" t="s">
        <v>55</v>
      </c>
      <c r="L369" s="1" t="s">
        <v>32</v>
      </c>
      <c r="M369" s="1" t="s">
        <v>2086</v>
      </c>
      <c r="N369">
        <v>279562.28000000003</v>
      </c>
      <c r="O369">
        <v>35557.25</v>
      </c>
      <c r="P369">
        <v>83365.97</v>
      </c>
      <c r="Q369">
        <v>4</v>
      </c>
      <c r="R369">
        <v>23</v>
      </c>
      <c r="S369">
        <v>2.8</v>
      </c>
      <c r="T369" s="1" t="s">
        <v>46</v>
      </c>
      <c r="U369" s="1" t="s">
        <v>149</v>
      </c>
      <c r="V369" s="1" t="s">
        <v>75</v>
      </c>
      <c r="W369" s="1" t="s">
        <v>83</v>
      </c>
      <c r="X369">
        <v>398485.5</v>
      </c>
      <c r="Y369" s="1" t="s">
        <v>2079</v>
      </c>
      <c r="Z369" s="1" t="s">
        <v>2083</v>
      </c>
      <c r="AO369" t="str">
        <v>P00441</v>
      </c>
    </row>
    <row r="370" spans="1:41" x14ac:dyDescent="0.35">
      <c r="A370" s="1" t="s">
        <v>1188</v>
      </c>
      <c r="B370" s="1" t="s">
        <v>697</v>
      </c>
      <c r="C370">
        <v>61</v>
      </c>
      <c r="D370" s="1" t="s">
        <v>119</v>
      </c>
      <c r="E370" s="1" t="s">
        <v>112</v>
      </c>
      <c r="F370" s="1" t="s">
        <v>145</v>
      </c>
      <c r="G370" s="2">
        <v>46093</v>
      </c>
      <c r="H370" s="2">
        <v>46094</v>
      </c>
      <c r="I370" s="1" t="s">
        <v>273</v>
      </c>
      <c r="J370" s="1" t="s">
        <v>87</v>
      </c>
      <c r="K370" s="1" t="s">
        <v>148</v>
      </c>
      <c r="L370" s="1" t="s">
        <v>32</v>
      </c>
      <c r="M370" s="1" t="s">
        <v>2086</v>
      </c>
      <c r="N370">
        <v>346055.8</v>
      </c>
      <c r="O370">
        <v>41280.629999999997</v>
      </c>
      <c r="P370">
        <v>80504.81</v>
      </c>
      <c r="Q370">
        <v>1</v>
      </c>
      <c r="R370">
        <v>6</v>
      </c>
      <c r="S370">
        <v>5</v>
      </c>
      <c r="T370" s="1" t="s">
        <v>46</v>
      </c>
      <c r="U370" s="1" t="s">
        <v>149</v>
      </c>
      <c r="V370" s="1" t="s">
        <v>130</v>
      </c>
      <c r="W370" s="1" t="s">
        <v>131</v>
      </c>
      <c r="X370">
        <v>467841.24</v>
      </c>
      <c r="Y370" s="1" t="s">
        <v>2088</v>
      </c>
      <c r="Z370" s="1" t="s">
        <v>2083</v>
      </c>
      <c r="AO370" t="str">
        <v>P00442</v>
      </c>
    </row>
    <row r="371" spans="1:41" x14ac:dyDescent="0.35">
      <c r="A371" s="1" t="s">
        <v>1189</v>
      </c>
      <c r="B371" s="1" t="s">
        <v>1190</v>
      </c>
      <c r="C371">
        <v>59</v>
      </c>
      <c r="D371" s="1" t="s">
        <v>25</v>
      </c>
      <c r="E371" s="1" t="s">
        <v>112</v>
      </c>
      <c r="F371" s="1" t="s">
        <v>227</v>
      </c>
      <c r="G371" s="2">
        <v>45988</v>
      </c>
      <c r="H371" s="2">
        <v>45997</v>
      </c>
      <c r="I371" s="1" t="s">
        <v>273</v>
      </c>
      <c r="J371" s="1" t="s">
        <v>2081</v>
      </c>
      <c r="K371" s="1" t="s">
        <v>148</v>
      </c>
      <c r="L371" s="1" t="s">
        <v>32</v>
      </c>
      <c r="M371" s="1" t="s">
        <v>2092</v>
      </c>
      <c r="N371">
        <v>469451.85</v>
      </c>
      <c r="O371">
        <v>0</v>
      </c>
      <c r="P371">
        <v>29266.560000000001</v>
      </c>
      <c r="Q371">
        <v>9</v>
      </c>
      <c r="R371">
        <v>39</v>
      </c>
      <c r="S371">
        <v>4.5999999999999996</v>
      </c>
      <c r="T371" s="1" t="s">
        <v>46</v>
      </c>
      <c r="U371" s="1" t="s">
        <v>95</v>
      </c>
      <c r="V371" s="1" t="s">
        <v>130</v>
      </c>
      <c r="W371" s="1" t="s">
        <v>131</v>
      </c>
      <c r="X371">
        <v>498718.41</v>
      </c>
      <c r="Y371" s="1" t="s">
        <v>2079</v>
      </c>
      <c r="Z371" s="1" t="s">
        <v>2091</v>
      </c>
      <c r="AO371" t="str">
        <v>P00443</v>
      </c>
    </row>
    <row r="372" spans="1:41" x14ac:dyDescent="0.35">
      <c r="A372" s="1" t="s">
        <v>1191</v>
      </c>
      <c r="B372" s="1" t="s">
        <v>569</v>
      </c>
      <c r="C372">
        <v>59</v>
      </c>
      <c r="D372" s="1" t="s">
        <v>25</v>
      </c>
      <c r="E372" s="1" t="s">
        <v>26</v>
      </c>
      <c r="F372" s="1" t="s">
        <v>120</v>
      </c>
      <c r="G372" s="2">
        <v>46047</v>
      </c>
      <c r="H372" s="2">
        <v>46048</v>
      </c>
      <c r="I372" s="1" t="s">
        <v>257</v>
      </c>
      <c r="J372" s="1" t="s">
        <v>30</v>
      </c>
      <c r="K372" s="1" t="s">
        <v>163</v>
      </c>
      <c r="L372" s="1" t="s">
        <v>66</v>
      </c>
      <c r="M372" s="1" t="s">
        <v>2087</v>
      </c>
      <c r="N372">
        <v>411875.06</v>
      </c>
      <c r="O372">
        <v>47380.07</v>
      </c>
      <c r="P372">
        <v>53512.53</v>
      </c>
      <c r="Q372">
        <v>1</v>
      </c>
      <c r="R372">
        <v>20</v>
      </c>
      <c r="S372">
        <v>2.6</v>
      </c>
      <c r="T372" s="1" t="s">
        <v>46</v>
      </c>
      <c r="U372" s="1" t="s">
        <v>35</v>
      </c>
      <c r="V372" s="1" t="s">
        <v>130</v>
      </c>
      <c r="W372" s="1" t="s">
        <v>131</v>
      </c>
      <c r="X372">
        <v>512767.66000000003</v>
      </c>
      <c r="Y372" s="1" t="s">
        <v>2079</v>
      </c>
      <c r="Z372" s="1" t="s">
        <v>2083</v>
      </c>
      <c r="AO372" t="str">
        <v>P00445</v>
      </c>
    </row>
    <row r="373" spans="1:41" x14ac:dyDescent="0.35">
      <c r="A373" s="1" t="s">
        <v>1193</v>
      </c>
      <c r="B373" s="1" t="s">
        <v>815</v>
      </c>
      <c r="C373">
        <v>60</v>
      </c>
      <c r="D373" s="1" t="s">
        <v>25</v>
      </c>
      <c r="E373" s="1" t="s">
        <v>2084</v>
      </c>
      <c r="F373" s="1" t="s">
        <v>120</v>
      </c>
      <c r="G373" s="2">
        <v>45776</v>
      </c>
      <c r="H373" s="2">
        <v>45783</v>
      </c>
      <c r="I373" s="1" t="s">
        <v>53</v>
      </c>
      <c r="J373" s="1" t="s">
        <v>30</v>
      </c>
      <c r="K373" s="1" t="s">
        <v>122</v>
      </c>
      <c r="L373" s="1" t="s">
        <v>32</v>
      </c>
      <c r="M373" s="1" t="s">
        <v>2092</v>
      </c>
      <c r="N373">
        <v>214537.27</v>
      </c>
      <c r="O373">
        <v>19552.259999999998</v>
      </c>
      <c r="P373">
        <v>0</v>
      </c>
      <c r="Q373">
        <v>7</v>
      </c>
      <c r="R373">
        <v>14</v>
      </c>
      <c r="S373">
        <v>5</v>
      </c>
      <c r="T373" s="1" t="s">
        <v>46</v>
      </c>
      <c r="U373" s="1" t="s">
        <v>35</v>
      </c>
      <c r="V373" s="1" t="s">
        <v>75</v>
      </c>
      <c r="W373" s="1" t="s">
        <v>131</v>
      </c>
      <c r="X373">
        <v>234089.53</v>
      </c>
      <c r="Y373" s="1" t="s">
        <v>2088</v>
      </c>
      <c r="Z373" s="1" t="s">
        <v>2083</v>
      </c>
      <c r="AO373" t="str">
        <v>P00446</v>
      </c>
    </row>
    <row r="374" spans="1:41" x14ac:dyDescent="0.35">
      <c r="A374" s="1" t="s">
        <v>1196</v>
      </c>
      <c r="B374" s="1" t="s">
        <v>1026</v>
      </c>
      <c r="C374">
        <v>6</v>
      </c>
      <c r="D374" s="1" t="s">
        <v>119</v>
      </c>
      <c r="E374" s="1" t="s">
        <v>86</v>
      </c>
      <c r="F374" s="1" t="s">
        <v>87</v>
      </c>
      <c r="G374" s="2">
        <v>46177</v>
      </c>
      <c r="H374" s="2">
        <v>46200</v>
      </c>
      <c r="I374" s="1" t="s">
        <v>53</v>
      </c>
      <c r="J374" s="1" t="s">
        <v>2081</v>
      </c>
      <c r="K374" s="1" t="s">
        <v>128</v>
      </c>
      <c r="L374" s="1" t="s">
        <v>32</v>
      </c>
      <c r="M374" s="1" t="s">
        <v>2086</v>
      </c>
      <c r="N374">
        <v>368221.99</v>
      </c>
      <c r="O374">
        <v>25679.96</v>
      </c>
      <c r="P374">
        <v>68157.600000000006</v>
      </c>
      <c r="Q374">
        <v>23</v>
      </c>
      <c r="R374">
        <v>128</v>
      </c>
      <c r="S374">
        <v>2.7</v>
      </c>
      <c r="T374" s="1" t="s">
        <v>46</v>
      </c>
      <c r="U374" s="1" t="s">
        <v>35</v>
      </c>
      <c r="V374" s="1" t="s">
        <v>130</v>
      </c>
      <c r="W374" s="1" t="s">
        <v>36</v>
      </c>
      <c r="X374">
        <v>462059.55000000005</v>
      </c>
      <c r="Y374" s="1" t="s">
        <v>2093</v>
      </c>
      <c r="Z374" s="1" t="s">
        <v>2080</v>
      </c>
      <c r="AO374" t="str">
        <v>P00447</v>
      </c>
    </row>
    <row r="375" spans="1:41" x14ac:dyDescent="0.35">
      <c r="A375" s="1" t="s">
        <v>1199</v>
      </c>
      <c r="B375" s="1" t="s">
        <v>1200</v>
      </c>
      <c r="C375">
        <v>23</v>
      </c>
      <c r="D375" s="1" t="s">
        <v>119</v>
      </c>
      <c r="E375" s="1" t="s">
        <v>177</v>
      </c>
      <c r="F375" s="1" t="s">
        <v>135</v>
      </c>
      <c r="G375" s="2">
        <v>45658</v>
      </c>
      <c r="H375" s="2">
        <v>45661</v>
      </c>
      <c r="I375" s="1" t="s">
        <v>53</v>
      </c>
      <c r="J375" s="1" t="s">
        <v>2081</v>
      </c>
      <c r="K375" s="1" t="s">
        <v>81</v>
      </c>
      <c r="L375" s="1" t="s">
        <v>66</v>
      </c>
      <c r="M375" s="1" t="s">
        <v>2087</v>
      </c>
      <c r="N375">
        <v>120289.09</v>
      </c>
      <c r="O375">
        <v>59668.37</v>
      </c>
      <c r="P375">
        <v>88090.06</v>
      </c>
      <c r="Q375">
        <v>3</v>
      </c>
      <c r="R375">
        <v>77</v>
      </c>
      <c r="S375">
        <v>3.8</v>
      </c>
      <c r="T375" s="1" t="s">
        <v>46</v>
      </c>
      <c r="U375" s="1" t="s">
        <v>95</v>
      </c>
      <c r="V375" s="1" t="s">
        <v>102</v>
      </c>
      <c r="W375" s="1" t="s">
        <v>36</v>
      </c>
      <c r="X375">
        <v>268047.52</v>
      </c>
      <c r="Y375" s="1" t="s">
        <v>2082</v>
      </c>
      <c r="Z375" s="1" t="s">
        <v>2080</v>
      </c>
      <c r="AO375" t="str">
        <v>P00448</v>
      </c>
    </row>
    <row r="376" spans="1:41" x14ac:dyDescent="0.35">
      <c r="A376" s="1" t="s">
        <v>1202</v>
      </c>
      <c r="B376" s="1" t="s">
        <v>1069</v>
      </c>
      <c r="C376">
        <v>68</v>
      </c>
      <c r="D376" s="1" t="s">
        <v>25</v>
      </c>
      <c r="E376" s="1" t="s">
        <v>86</v>
      </c>
      <c r="F376" s="1" t="s">
        <v>227</v>
      </c>
      <c r="G376" s="2">
        <v>45497</v>
      </c>
      <c r="H376" s="2">
        <v>45498</v>
      </c>
      <c r="I376" s="1" t="s">
        <v>159</v>
      </c>
      <c r="J376" s="1" t="s">
        <v>141</v>
      </c>
      <c r="K376" s="1" t="s">
        <v>91</v>
      </c>
      <c r="L376" s="1" t="s">
        <v>66</v>
      </c>
      <c r="M376" s="1" t="s">
        <v>2092</v>
      </c>
      <c r="N376">
        <v>313158.36</v>
      </c>
      <c r="O376">
        <v>78530.44</v>
      </c>
      <c r="P376">
        <v>18650.310000000001</v>
      </c>
      <c r="Q376">
        <v>1</v>
      </c>
      <c r="R376">
        <v>66</v>
      </c>
      <c r="S376">
        <v>4</v>
      </c>
      <c r="T376" s="1" t="s">
        <v>46</v>
      </c>
      <c r="U376" s="1" t="s">
        <v>35</v>
      </c>
      <c r="V376" s="1" t="s">
        <v>102</v>
      </c>
      <c r="W376" s="1" t="s">
        <v>12</v>
      </c>
      <c r="X376">
        <v>410339.11</v>
      </c>
      <c r="Y376" s="1" t="s">
        <v>2088</v>
      </c>
      <c r="Z376" s="1" t="s">
        <v>2080</v>
      </c>
      <c r="AO376" t="str">
        <v>P00449</v>
      </c>
    </row>
    <row r="377" spans="1:41" x14ac:dyDescent="0.35">
      <c r="A377" s="1" t="s">
        <v>1204</v>
      </c>
      <c r="B377" s="1" t="s">
        <v>1205</v>
      </c>
      <c r="C377">
        <v>38</v>
      </c>
      <c r="D377" s="1" t="s">
        <v>119</v>
      </c>
      <c r="E377" s="1" t="s">
        <v>40</v>
      </c>
      <c r="F377" s="1" t="s">
        <v>227</v>
      </c>
      <c r="G377" s="2">
        <v>46234</v>
      </c>
      <c r="H377" s="2">
        <v>46238</v>
      </c>
      <c r="I377" s="1" t="s">
        <v>257</v>
      </c>
      <c r="J377" s="1" t="s">
        <v>137</v>
      </c>
      <c r="K377" s="1" t="s">
        <v>81</v>
      </c>
      <c r="L377" s="1" t="s">
        <v>32</v>
      </c>
      <c r="M377" s="1" t="s">
        <v>2092</v>
      </c>
      <c r="N377">
        <v>97785.45</v>
      </c>
      <c r="O377">
        <v>52035.19</v>
      </c>
      <c r="P377">
        <v>66634.06</v>
      </c>
      <c r="Q377">
        <v>4</v>
      </c>
      <c r="R377">
        <v>26</v>
      </c>
      <c r="S377">
        <v>0.9</v>
      </c>
      <c r="T377" s="1" t="s">
        <v>46</v>
      </c>
      <c r="U377" s="1" t="s">
        <v>35</v>
      </c>
      <c r="V377" s="1" t="s">
        <v>102</v>
      </c>
      <c r="W377" s="1" t="s">
        <v>59</v>
      </c>
      <c r="X377">
        <v>216454.7</v>
      </c>
      <c r="Y377" s="1" t="s">
        <v>2079</v>
      </c>
      <c r="Z377" s="1" t="s">
        <v>2083</v>
      </c>
      <c r="AO377" t="str">
        <v>P00450</v>
      </c>
    </row>
    <row r="378" spans="1:41" x14ac:dyDescent="0.35">
      <c r="A378" s="1" t="s">
        <v>1206</v>
      </c>
      <c r="B378" s="1" t="s">
        <v>240</v>
      </c>
      <c r="C378">
        <v>45</v>
      </c>
      <c r="D378" s="1" t="s">
        <v>119</v>
      </c>
      <c r="E378" s="1" t="s">
        <v>107</v>
      </c>
      <c r="F378" s="1" t="s">
        <v>41</v>
      </c>
      <c r="G378" s="2">
        <v>45409</v>
      </c>
      <c r="H378" s="2">
        <v>45416</v>
      </c>
      <c r="I378" s="1" t="s">
        <v>159</v>
      </c>
      <c r="J378" s="1" t="s">
        <v>141</v>
      </c>
      <c r="K378" s="1" t="s">
        <v>81</v>
      </c>
      <c r="L378" s="1" t="s">
        <v>32</v>
      </c>
      <c r="M378" s="1" t="s">
        <v>2085</v>
      </c>
      <c r="N378">
        <v>231143.7</v>
      </c>
      <c r="O378">
        <v>43851.44</v>
      </c>
      <c r="P378">
        <v>19148.91</v>
      </c>
      <c r="Q378">
        <v>7</v>
      </c>
      <c r="R378">
        <v>97</v>
      </c>
      <c r="S378">
        <v>0.9</v>
      </c>
      <c r="T378" s="1" t="s">
        <v>34</v>
      </c>
      <c r="U378" s="1" t="s">
        <v>95</v>
      </c>
      <c r="V378" s="1" t="s">
        <v>130</v>
      </c>
      <c r="W378" s="1" t="s">
        <v>59</v>
      </c>
      <c r="X378">
        <v>294144.05</v>
      </c>
      <c r="Y378" s="1" t="s">
        <v>2079</v>
      </c>
      <c r="Z378" s="1" t="s">
        <v>2080</v>
      </c>
      <c r="AO378" t="str">
        <v>P00451</v>
      </c>
    </row>
    <row r="379" spans="1:41" x14ac:dyDescent="0.35">
      <c r="A379" s="1" t="s">
        <v>1208</v>
      </c>
      <c r="B379" s="1" t="s">
        <v>309</v>
      </c>
      <c r="C379">
        <v>8</v>
      </c>
      <c r="D379" s="1" t="s">
        <v>25</v>
      </c>
      <c r="E379" s="1" t="s">
        <v>26</v>
      </c>
      <c r="F379" s="1" t="s">
        <v>135</v>
      </c>
      <c r="G379" s="2">
        <v>45474</v>
      </c>
      <c r="H379" s="2">
        <v>45479</v>
      </c>
      <c r="I379" s="1" t="s">
        <v>29</v>
      </c>
      <c r="J379" s="1" t="s">
        <v>141</v>
      </c>
      <c r="K379" s="1" t="s">
        <v>55</v>
      </c>
      <c r="L379" s="1" t="s">
        <v>44</v>
      </c>
      <c r="M379" s="1" t="s">
        <v>2092</v>
      </c>
      <c r="N379">
        <v>430478.78</v>
      </c>
      <c r="O379">
        <v>21747</v>
      </c>
      <c r="P379">
        <v>38649.99</v>
      </c>
      <c r="Q379">
        <v>5</v>
      </c>
      <c r="R379">
        <v>47</v>
      </c>
      <c r="S379">
        <v>3.3</v>
      </c>
      <c r="T379" s="1" t="s">
        <v>46</v>
      </c>
      <c r="U379" s="1" t="s">
        <v>95</v>
      </c>
      <c r="V379" s="1" t="s">
        <v>75</v>
      </c>
      <c r="W379" s="1" t="s">
        <v>83</v>
      </c>
      <c r="X379">
        <v>490875.77</v>
      </c>
      <c r="Y379" s="1" t="s">
        <v>2093</v>
      </c>
      <c r="Z379" s="1" t="s">
        <v>2091</v>
      </c>
      <c r="AO379" t="str">
        <v>P00452</v>
      </c>
    </row>
    <row r="380" spans="1:41" x14ac:dyDescent="0.35">
      <c r="A380" s="1" t="s">
        <v>1209</v>
      </c>
      <c r="B380" s="1" t="s">
        <v>262</v>
      </c>
      <c r="C380">
        <v>0</v>
      </c>
      <c r="D380" s="1" t="s">
        <v>119</v>
      </c>
      <c r="E380" s="1" t="s">
        <v>86</v>
      </c>
      <c r="F380" s="1" t="s">
        <v>120</v>
      </c>
      <c r="G380" s="2">
        <v>46110</v>
      </c>
      <c r="H380" s="2">
        <v>46118</v>
      </c>
      <c r="I380" s="1" t="s">
        <v>277</v>
      </c>
      <c r="J380" s="1" t="s">
        <v>141</v>
      </c>
      <c r="K380" s="1" t="s">
        <v>163</v>
      </c>
      <c r="L380" s="1" t="s">
        <v>44</v>
      </c>
      <c r="M380" s="1" t="s">
        <v>2092</v>
      </c>
      <c r="N380">
        <v>398775.15</v>
      </c>
      <c r="O380">
        <v>38450.589999999997</v>
      </c>
      <c r="P380">
        <v>8789.35</v>
      </c>
      <c r="Q380">
        <v>8</v>
      </c>
      <c r="R380">
        <v>14</v>
      </c>
      <c r="S380">
        <v>5</v>
      </c>
      <c r="T380" s="1" t="s">
        <v>46</v>
      </c>
      <c r="U380" s="1" t="s">
        <v>95</v>
      </c>
      <c r="V380" s="1" t="s">
        <v>102</v>
      </c>
      <c r="W380" s="1" t="s">
        <v>83</v>
      </c>
      <c r="X380">
        <v>446015.08999999997</v>
      </c>
      <c r="Y380" s="1" t="s">
        <v>2093</v>
      </c>
      <c r="Z380" s="1" t="s">
        <v>2083</v>
      </c>
      <c r="AO380" t="str">
        <v>P00453</v>
      </c>
    </row>
    <row r="381" spans="1:41" x14ac:dyDescent="0.35">
      <c r="A381" s="1" t="s">
        <v>1210</v>
      </c>
      <c r="B381" s="1" t="s">
        <v>904</v>
      </c>
      <c r="C381">
        <v>17</v>
      </c>
      <c r="D381" s="1" t="s">
        <v>119</v>
      </c>
      <c r="E381" s="1" t="s">
        <v>177</v>
      </c>
      <c r="F381" s="1" t="s">
        <v>227</v>
      </c>
      <c r="G381" s="2">
        <v>45840</v>
      </c>
      <c r="H381" s="2">
        <v>45841</v>
      </c>
      <c r="I381" s="1" t="s">
        <v>257</v>
      </c>
      <c r="J381" s="1" t="s">
        <v>141</v>
      </c>
      <c r="K381" s="1" t="s">
        <v>148</v>
      </c>
      <c r="L381" s="1" t="s">
        <v>44</v>
      </c>
      <c r="M381" s="1" t="s">
        <v>2087</v>
      </c>
      <c r="N381">
        <v>379224.04</v>
      </c>
      <c r="O381">
        <v>38463.82</v>
      </c>
      <c r="P381">
        <v>16862.23</v>
      </c>
      <c r="Q381">
        <v>1</v>
      </c>
      <c r="R381">
        <v>111</v>
      </c>
      <c r="S381">
        <v>2.4</v>
      </c>
      <c r="T381" s="1" t="s">
        <v>46</v>
      </c>
      <c r="U381" s="1" t="s">
        <v>149</v>
      </c>
      <c r="V381" s="1" t="s">
        <v>102</v>
      </c>
      <c r="W381" s="1" t="s">
        <v>59</v>
      </c>
      <c r="X381">
        <v>434550.08999999997</v>
      </c>
      <c r="Y381" s="1" t="s">
        <v>2093</v>
      </c>
      <c r="Z381" s="1" t="s">
        <v>2080</v>
      </c>
      <c r="AO381" t="str">
        <v>P00456</v>
      </c>
    </row>
    <row r="382" spans="1:41" x14ac:dyDescent="0.35">
      <c r="A382" s="1" t="s">
        <v>1212</v>
      </c>
      <c r="B382" s="1" t="s">
        <v>860</v>
      </c>
      <c r="C382">
        <v>66</v>
      </c>
      <c r="D382" s="1" t="s">
        <v>25</v>
      </c>
      <c r="E382" s="1" t="s">
        <v>177</v>
      </c>
      <c r="F382" s="1" t="s">
        <v>145</v>
      </c>
      <c r="G382" s="2">
        <v>46061</v>
      </c>
      <c r="H382" s="2">
        <v>46067</v>
      </c>
      <c r="I382" s="1" t="s">
        <v>53</v>
      </c>
      <c r="J382" s="1" t="s">
        <v>147</v>
      </c>
      <c r="K382" s="1" t="s">
        <v>122</v>
      </c>
      <c r="L382" s="1" t="s">
        <v>44</v>
      </c>
      <c r="M382" s="1" t="s">
        <v>2085</v>
      </c>
      <c r="N382">
        <v>294480.87</v>
      </c>
      <c r="O382">
        <v>39041.53</v>
      </c>
      <c r="P382">
        <v>97835.64</v>
      </c>
      <c r="Q382">
        <v>6</v>
      </c>
      <c r="R382">
        <v>94</v>
      </c>
      <c r="S382">
        <v>2.2000000000000002</v>
      </c>
      <c r="T382" s="1" t="s">
        <v>34</v>
      </c>
      <c r="U382" s="1" t="s">
        <v>149</v>
      </c>
      <c r="V382" s="1" t="s">
        <v>102</v>
      </c>
      <c r="W382" s="1" t="s">
        <v>59</v>
      </c>
      <c r="X382">
        <v>431358.04000000004</v>
      </c>
      <c r="Y382" s="1" t="s">
        <v>2088</v>
      </c>
      <c r="Z382" s="1" t="s">
        <v>2080</v>
      </c>
      <c r="AO382" t="str">
        <v>P00457</v>
      </c>
    </row>
    <row r="383" spans="1:41" x14ac:dyDescent="0.35">
      <c r="A383" s="1" t="s">
        <v>1214</v>
      </c>
      <c r="B383" s="1" t="s">
        <v>945</v>
      </c>
      <c r="C383">
        <v>88</v>
      </c>
      <c r="D383" s="1" t="s">
        <v>25</v>
      </c>
      <c r="E383" s="1" t="s">
        <v>86</v>
      </c>
      <c r="F383" s="1" t="s">
        <v>145</v>
      </c>
      <c r="G383" s="2">
        <v>46208</v>
      </c>
      <c r="H383" s="2">
        <v>46212</v>
      </c>
      <c r="I383" s="1" t="s">
        <v>257</v>
      </c>
      <c r="J383" s="1" t="s">
        <v>115</v>
      </c>
      <c r="K383" s="1" t="s">
        <v>31</v>
      </c>
      <c r="L383" s="1" t="s">
        <v>66</v>
      </c>
      <c r="M383" s="1" t="s">
        <v>2086</v>
      </c>
      <c r="N383">
        <v>77933.67</v>
      </c>
      <c r="O383">
        <v>20963.43</v>
      </c>
      <c r="P383">
        <v>57493.38</v>
      </c>
      <c r="Q383">
        <v>4</v>
      </c>
      <c r="R383">
        <v>90</v>
      </c>
      <c r="S383">
        <v>2.4</v>
      </c>
      <c r="T383" s="1" t="s">
        <v>34</v>
      </c>
      <c r="U383" s="1" t="s">
        <v>149</v>
      </c>
      <c r="V383" s="1" t="s">
        <v>102</v>
      </c>
      <c r="W383" s="1" t="s">
        <v>12</v>
      </c>
      <c r="X383">
        <v>156390.48000000001</v>
      </c>
      <c r="Y383" s="1" t="s">
        <v>2088</v>
      </c>
      <c r="Z383" s="1" t="s">
        <v>2080</v>
      </c>
      <c r="AO383" t="str">
        <v>P00458</v>
      </c>
    </row>
    <row r="384" spans="1:41" x14ac:dyDescent="0.35">
      <c r="A384" s="1" t="s">
        <v>1216</v>
      </c>
      <c r="B384" s="1" t="s">
        <v>683</v>
      </c>
      <c r="C384">
        <v>92</v>
      </c>
      <c r="D384" s="1" t="s">
        <v>119</v>
      </c>
      <c r="E384" s="1" t="s">
        <v>86</v>
      </c>
      <c r="F384" s="1" t="s">
        <v>193</v>
      </c>
      <c r="G384" s="2">
        <v>45334</v>
      </c>
      <c r="H384" s="2">
        <v>45340</v>
      </c>
      <c r="I384" s="1" t="s">
        <v>235</v>
      </c>
      <c r="J384" s="1" t="s">
        <v>115</v>
      </c>
      <c r="K384" s="1" t="s">
        <v>91</v>
      </c>
      <c r="L384" s="1" t="s">
        <v>44</v>
      </c>
      <c r="M384" s="1" t="s">
        <v>2086</v>
      </c>
      <c r="N384">
        <v>247458.4</v>
      </c>
      <c r="O384">
        <v>7398.29</v>
      </c>
      <c r="P384">
        <v>0</v>
      </c>
      <c r="Q384">
        <v>6</v>
      </c>
      <c r="R384">
        <v>114</v>
      </c>
      <c r="S384">
        <v>5</v>
      </c>
      <c r="T384" s="1" t="s">
        <v>34</v>
      </c>
      <c r="U384" s="1" t="s">
        <v>35</v>
      </c>
      <c r="V384" s="1" t="s">
        <v>102</v>
      </c>
      <c r="W384" s="1" t="s">
        <v>83</v>
      </c>
      <c r="X384">
        <v>254856.69</v>
      </c>
      <c r="Y384" s="1" t="s">
        <v>2088</v>
      </c>
      <c r="Z384" s="1" t="s">
        <v>2080</v>
      </c>
      <c r="AO384" t="str">
        <v>P00459</v>
      </c>
    </row>
    <row r="385" spans="1:41" x14ac:dyDescent="0.35">
      <c r="A385" s="1" t="s">
        <v>1218</v>
      </c>
      <c r="B385" s="1" t="s">
        <v>1219</v>
      </c>
      <c r="C385">
        <v>42</v>
      </c>
      <c r="D385" s="1" t="s">
        <v>119</v>
      </c>
      <c r="E385" s="1" t="s">
        <v>86</v>
      </c>
      <c r="F385" s="1" t="s">
        <v>145</v>
      </c>
      <c r="G385" s="2">
        <v>45376</v>
      </c>
      <c r="H385" s="2">
        <v>45380</v>
      </c>
      <c r="I385" s="1" t="s">
        <v>221</v>
      </c>
      <c r="J385" s="1" t="s">
        <v>2081</v>
      </c>
      <c r="K385" s="1" t="s">
        <v>153</v>
      </c>
      <c r="L385" s="1" t="s">
        <v>32</v>
      </c>
      <c r="M385" s="1" t="s">
        <v>57</v>
      </c>
      <c r="N385">
        <v>137501.97</v>
      </c>
      <c r="O385">
        <v>2695.91</v>
      </c>
      <c r="P385">
        <v>70042.539999999994</v>
      </c>
      <c r="Q385">
        <v>4</v>
      </c>
      <c r="R385">
        <v>163</v>
      </c>
      <c r="S385">
        <v>1.7</v>
      </c>
      <c r="T385" s="1" t="s">
        <v>34</v>
      </c>
      <c r="U385" s="1" t="s">
        <v>35</v>
      </c>
      <c r="V385" s="1" t="s">
        <v>102</v>
      </c>
      <c r="W385" s="1" t="s">
        <v>36</v>
      </c>
      <c r="X385">
        <v>210240.41999999998</v>
      </c>
      <c r="Y385" s="1" t="s">
        <v>2079</v>
      </c>
      <c r="Z385" s="1" t="s">
        <v>2080</v>
      </c>
      <c r="AO385" t="str">
        <v>P00460</v>
      </c>
    </row>
    <row r="386" spans="1:41" x14ac:dyDescent="0.35">
      <c r="A386" s="1" t="s">
        <v>1220</v>
      </c>
      <c r="B386" s="1" t="s">
        <v>644</v>
      </c>
      <c r="C386">
        <v>55</v>
      </c>
      <c r="D386" s="1" t="s">
        <v>119</v>
      </c>
      <c r="E386" s="1" t="s">
        <v>112</v>
      </c>
      <c r="F386" s="1" t="s">
        <v>227</v>
      </c>
      <c r="G386" s="2">
        <v>45991</v>
      </c>
      <c r="H386" s="2">
        <v>46000</v>
      </c>
      <c r="I386" s="1" t="s">
        <v>277</v>
      </c>
      <c r="J386" s="1" t="s">
        <v>2081</v>
      </c>
      <c r="K386" s="1" t="s">
        <v>128</v>
      </c>
      <c r="L386" s="1" t="s">
        <v>32</v>
      </c>
      <c r="M386" s="1" t="s">
        <v>2092</v>
      </c>
      <c r="N386">
        <v>415943.25</v>
      </c>
      <c r="O386">
        <v>0</v>
      </c>
      <c r="P386">
        <v>4025.28</v>
      </c>
      <c r="Q386">
        <v>9</v>
      </c>
      <c r="R386">
        <v>83</v>
      </c>
      <c r="S386">
        <v>4.4000000000000004</v>
      </c>
      <c r="T386" s="1" t="s">
        <v>34</v>
      </c>
      <c r="U386" s="1" t="s">
        <v>95</v>
      </c>
      <c r="V386" s="1" t="s">
        <v>130</v>
      </c>
      <c r="W386" s="1" t="s">
        <v>12</v>
      </c>
      <c r="X386">
        <v>419968.53</v>
      </c>
      <c r="Y386" s="1" t="s">
        <v>2079</v>
      </c>
      <c r="Z386" s="1" t="s">
        <v>2080</v>
      </c>
      <c r="AO386" t="str">
        <v>P00461</v>
      </c>
    </row>
    <row r="387" spans="1:41" x14ac:dyDescent="0.35">
      <c r="A387" s="1" t="s">
        <v>1222</v>
      </c>
      <c r="B387" s="1" t="s">
        <v>959</v>
      </c>
      <c r="C387">
        <v>58</v>
      </c>
      <c r="D387" s="1" t="s">
        <v>25</v>
      </c>
      <c r="E387" s="1" t="s">
        <v>112</v>
      </c>
      <c r="F387" s="1" t="s">
        <v>120</v>
      </c>
      <c r="G387" s="2">
        <v>45304</v>
      </c>
      <c r="H387" s="2">
        <v>45315</v>
      </c>
      <c r="I387" s="1" t="s">
        <v>277</v>
      </c>
      <c r="J387" s="1" t="s">
        <v>2081</v>
      </c>
      <c r="K387" s="1" t="s">
        <v>128</v>
      </c>
      <c r="L387" s="1" t="s">
        <v>32</v>
      </c>
      <c r="M387" s="1" t="s">
        <v>2092</v>
      </c>
      <c r="N387">
        <v>186024.62</v>
      </c>
      <c r="O387">
        <v>4340.7700000000004</v>
      </c>
      <c r="P387">
        <v>81900.02</v>
      </c>
      <c r="Q387">
        <v>11</v>
      </c>
      <c r="R387">
        <v>22</v>
      </c>
      <c r="S387">
        <v>5</v>
      </c>
      <c r="T387" s="1" t="s">
        <v>34</v>
      </c>
      <c r="U387" s="1" t="s">
        <v>101</v>
      </c>
      <c r="V387" s="1" t="s">
        <v>130</v>
      </c>
      <c r="W387" s="1" t="s">
        <v>59</v>
      </c>
      <c r="X387">
        <v>272265.40999999997</v>
      </c>
      <c r="Y387" s="1" t="s">
        <v>2079</v>
      </c>
      <c r="Z387" s="1" t="s">
        <v>2083</v>
      </c>
      <c r="AO387" t="str">
        <v>P00462</v>
      </c>
    </row>
    <row r="388" spans="1:41" x14ac:dyDescent="0.35">
      <c r="A388" s="1" t="s">
        <v>1223</v>
      </c>
      <c r="B388" s="1" t="s">
        <v>1224</v>
      </c>
      <c r="C388">
        <v>77</v>
      </c>
      <c r="D388" s="1" t="s">
        <v>25</v>
      </c>
      <c r="E388" s="1" t="s">
        <v>112</v>
      </c>
      <c r="F388" s="1" t="s">
        <v>87</v>
      </c>
      <c r="G388" s="2">
        <v>45379</v>
      </c>
      <c r="H388" s="2">
        <v>45381</v>
      </c>
      <c r="I388" s="1" t="s">
        <v>273</v>
      </c>
      <c r="J388" s="1" t="s">
        <v>30</v>
      </c>
      <c r="K388" s="1" t="s">
        <v>91</v>
      </c>
      <c r="L388" s="1" t="s">
        <v>44</v>
      </c>
      <c r="M388" s="1" t="s">
        <v>2089</v>
      </c>
      <c r="N388">
        <v>315050.38</v>
      </c>
      <c r="O388">
        <v>26575.11</v>
      </c>
      <c r="P388">
        <v>29418.11</v>
      </c>
      <c r="Q388">
        <v>2</v>
      </c>
      <c r="R388">
        <v>69</v>
      </c>
      <c r="S388">
        <v>4.3</v>
      </c>
      <c r="T388" s="1" t="s">
        <v>34</v>
      </c>
      <c r="U388" s="1" t="s">
        <v>35</v>
      </c>
      <c r="V388" s="1" t="s">
        <v>102</v>
      </c>
      <c r="W388" s="1" t="s">
        <v>83</v>
      </c>
      <c r="X388">
        <v>371043.6</v>
      </c>
      <c r="Y388" s="1" t="s">
        <v>2088</v>
      </c>
      <c r="Z388" s="1" t="s">
        <v>2080</v>
      </c>
      <c r="AO388" t="str">
        <v>P00464</v>
      </c>
    </row>
    <row r="389" spans="1:41" x14ac:dyDescent="0.35">
      <c r="A389" s="1" t="s">
        <v>1226</v>
      </c>
      <c r="B389" s="1" t="s">
        <v>1227</v>
      </c>
      <c r="C389">
        <v>29</v>
      </c>
      <c r="D389" s="1" t="s">
        <v>119</v>
      </c>
      <c r="E389" s="1" t="s">
        <v>107</v>
      </c>
      <c r="F389" s="1" t="s">
        <v>227</v>
      </c>
      <c r="G389" s="2">
        <v>45994</v>
      </c>
      <c r="H389" s="2">
        <v>45997</v>
      </c>
      <c r="I389" s="1" t="s">
        <v>273</v>
      </c>
      <c r="J389" s="1" t="s">
        <v>90</v>
      </c>
      <c r="K389" s="1" t="s">
        <v>174</v>
      </c>
      <c r="L389" s="1" t="s">
        <v>44</v>
      </c>
      <c r="M389" s="1" t="s">
        <v>2078</v>
      </c>
      <c r="N389">
        <v>196811.6</v>
      </c>
      <c r="O389">
        <v>31964.43</v>
      </c>
      <c r="P389">
        <v>0</v>
      </c>
      <c r="Q389">
        <v>3</v>
      </c>
      <c r="R389">
        <v>129</v>
      </c>
      <c r="S389">
        <v>2.4</v>
      </c>
      <c r="T389" s="1" t="s">
        <v>46</v>
      </c>
      <c r="U389" s="1" t="s">
        <v>35</v>
      </c>
      <c r="V389" s="1" t="s">
        <v>102</v>
      </c>
      <c r="W389" s="1" t="s">
        <v>131</v>
      </c>
      <c r="X389">
        <v>228776.03</v>
      </c>
      <c r="Y389" s="1" t="s">
        <v>2082</v>
      </c>
      <c r="Z389" s="1" t="s">
        <v>2080</v>
      </c>
      <c r="AO389" t="str">
        <v>P00466</v>
      </c>
    </row>
    <row r="390" spans="1:41" x14ac:dyDescent="0.35">
      <c r="A390" s="1" t="s">
        <v>1229</v>
      </c>
      <c r="B390" s="1" t="s">
        <v>133</v>
      </c>
      <c r="C390">
        <v>5</v>
      </c>
      <c r="D390" s="1" t="s">
        <v>119</v>
      </c>
      <c r="E390" s="1" t="s">
        <v>86</v>
      </c>
      <c r="F390" s="1" t="s">
        <v>135</v>
      </c>
      <c r="G390" s="2">
        <v>45754</v>
      </c>
      <c r="H390" s="2">
        <v>45755</v>
      </c>
      <c r="I390" s="1" t="s">
        <v>127</v>
      </c>
      <c r="J390" s="1" t="s">
        <v>141</v>
      </c>
      <c r="K390" s="1" t="s">
        <v>174</v>
      </c>
      <c r="L390" s="1" t="s">
        <v>32</v>
      </c>
      <c r="M390" s="1" t="s">
        <v>2089</v>
      </c>
      <c r="N390">
        <v>0</v>
      </c>
      <c r="O390">
        <v>0</v>
      </c>
      <c r="P390">
        <v>23729.37</v>
      </c>
      <c r="Q390">
        <v>1</v>
      </c>
      <c r="R390">
        <v>241</v>
      </c>
      <c r="S390">
        <v>3</v>
      </c>
      <c r="T390" s="1" t="s">
        <v>46</v>
      </c>
      <c r="U390" s="1" t="s">
        <v>35</v>
      </c>
      <c r="V390" s="1" t="s">
        <v>130</v>
      </c>
      <c r="W390" s="1" t="s">
        <v>83</v>
      </c>
      <c r="X390">
        <v>23729.37</v>
      </c>
      <c r="Y390" s="1" t="s">
        <v>2093</v>
      </c>
      <c r="Z390" s="1" t="s">
        <v>2080</v>
      </c>
      <c r="AO390" t="str">
        <v>P00467</v>
      </c>
    </row>
    <row r="391" spans="1:41" x14ac:dyDescent="0.35">
      <c r="A391" s="1" t="s">
        <v>1230</v>
      </c>
      <c r="B391" s="1" t="s">
        <v>252</v>
      </c>
      <c r="C391">
        <v>51</v>
      </c>
      <c r="D391" s="1" t="s">
        <v>25</v>
      </c>
      <c r="E391" s="1" t="s">
        <v>51</v>
      </c>
      <c r="F391" s="1" t="s">
        <v>227</v>
      </c>
      <c r="G391" s="2">
        <v>45363</v>
      </c>
      <c r="H391" s="2">
        <v>45366</v>
      </c>
      <c r="I391" s="1" t="s">
        <v>127</v>
      </c>
      <c r="J391" s="1" t="s">
        <v>141</v>
      </c>
      <c r="K391" s="1" t="s">
        <v>163</v>
      </c>
      <c r="L391" s="1" t="s">
        <v>66</v>
      </c>
      <c r="M391" s="1" t="s">
        <v>2086</v>
      </c>
      <c r="N391">
        <v>238349.13</v>
      </c>
      <c r="O391">
        <v>28063.91</v>
      </c>
      <c r="P391">
        <v>9141.19</v>
      </c>
      <c r="Q391">
        <v>3</v>
      </c>
      <c r="R391">
        <v>203</v>
      </c>
      <c r="S391">
        <v>5</v>
      </c>
      <c r="T391" s="1" t="s">
        <v>46</v>
      </c>
      <c r="U391" s="1" t="s">
        <v>149</v>
      </c>
      <c r="V391" s="1" t="s">
        <v>75</v>
      </c>
      <c r="W391" s="1" t="s">
        <v>83</v>
      </c>
      <c r="X391">
        <v>275554.23</v>
      </c>
      <c r="Y391" s="1" t="s">
        <v>2079</v>
      </c>
      <c r="Z391" s="1" t="s">
        <v>2080</v>
      </c>
      <c r="AO391" t="str">
        <v>P00468</v>
      </c>
    </row>
    <row r="392" spans="1:41" x14ac:dyDescent="0.35">
      <c r="A392" s="1" t="s">
        <v>1232</v>
      </c>
      <c r="B392" s="1" t="s">
        <v>1233</v>
      </c>
      <c r="C392">
        <v>20</v>
      </c>
      <c r="D392" s="1" t="s">
        <v>25</v>
      </c>
      <c r="E392" s="1" t="s">
        <v>107</v>
      </c>
      <c r="F392" s="1" t="s">
        <v>87</v>
      </c>
      <c r="G392" s="2">
        <v>46183</v>
      </c>
      <c r="H392" s="2">
        <v>46184</v>
      </c>
      <c r="I392" s="1" t="s">
        <v>127</v>
      </c>
      <c r="J392" s="1" t="s">
        <v>147</v>
      </c>
      <c r="K392" s="1" t="s">
        <v>81</v>
      </c>
      <c r="L392" s="1" t="s">
        <v>32</v>
      </c>
      <c r="M392" s="1" t="s">
        <v>2087</v>
      </c>
      <c r="N392">
        <v>180826.55</v>
      </c>
      <c r="O392">
        <v>5886.56</v>
      </c>
      <c r="P392">
        <v>60178.97</v>
      </c>
      <c r="Q392">
        <v>1</v>
      </c>
      <c r="R392">
        <v>40</v>
      </c>
      <c r="S392">
        <v>5</v>
      </c>
      <c r="T392" s="1" t="s">
        <v>46</v>
      </c>
      <c r="U392" s="1" t="s">
        <v>101</v>
      </c>
      <c r="V392" s="1" t="s">
        <v>75</v>
      </c>
      <c r="W392" s="1" t="s">
        <v>12</v>
      </c>
      <c r="X392">
        <v>246892.08</v>
      </c>
      <c r="Y392" s="1" t="s">
        <v>2082</v>
      </c>
      <c r="Z392" s="1" t="s">
        <v>2091</v>
      </c>
      <c r="AO392" t="str">
        <v>P00469</v>
      </c>
    </row>
    <row r="393" spans="1:41" x14ac:dyDescent="0.35">
      <c r="A393" s="1" t="s">
        <v>1235</v>
      </c>
      <c r="B393" s="1" t="s">
        <v>759</v>
      </c>
      <c r="C393">
        <v>47</v>
      </c>
      <c r="D393" s="1" t="s">
        <v>119</v>
      </c>
      <c r="E393" s="1" t="s">
        <v>86</v>
      </c>
      <c r="F393" s="1" t="s">
        <v>41</v>
      </c>
      <c r="G393" s="2">
        <v>45628</v>
      </c>
      <c r="H393" s="2">
        <v>45635</v>
      </c>
      <c r="I393" s="1" t="s">
        <v>53</v>
      </c>
      <c r="J393" s="1" t="s">
        <v>87</v>
      </c>
      <c r="K393" s="1" t="s">
        <v>55</v>
      </c>
      <c r="L393" s="1" t="s">
        <v>66</v>
      </c>
      <c r="M393" s="1" t="s">
        <v>2087</v>
      </c>
      <c r="N393">
        <v>363778.08</v>
      </c>
      <c r="O393">
        <v>57647.51</v>
      </c>
      <c r="P393">
        <v>28081.58</v>
      </c>
      <c r="Q393">
        <v>7</v>
      </c>
      <c r="R393">
        <v>33</v>
      </c>
      <c r="S393">
        <v>3.8</v>
      </c>
      <c r="T393" s="1" t="s">
        <v>46</v>
      </c>
      <c r="U393" s="1" t="s">
        <v>35</v>
      </c>
      <c r="V393" s="1" t="s">
        <v>75</v>
      </c>
      <c r="W393" s="1" t="s">
        <v>131</v>
      </c>
      <c r="X393">
        <v>449507.17000000004</v>
      </c>
      <c r="Y393" s="1" t="s">
        <v>2079</v>
      </c>
      <c r="Z393" s="1" t="s">
        <v>2091</v>
      </c>
      <c r="AO393" t="str">
        <v>P00470</v>
      </c>
    </row>
    <row r="394" spans="1:41" x14ac:dyDescent="0.35">
      <c r="A394" s="1" t="s">
        <v>1237</v>
      </c>
      <c r="B394" s="1" t="s">
        <v>499</v>
      </c>
      <c r="C394">
        <v>46</v>
      </c>
      <c r="D394" s="1" t="s">
        <v>119</v>
      </c>
      <c r="E394" s="1" t="s">
        <v>157</v>
      </c>
      <c r="F394" s="1" t="s">
        <v>87</v>
      </c>
      <c r="G394" s="2">
        <v>46224</v>
      </c>
      <c r="H394" s="2">
        <v>46229</v>
      </c>
      <c r="I394" s="1" t="s">
        <v>53</v>
      </c>
      <c r="J394" s="1" t="s">
        <v>30</v>
      </c>
      <c r="K394" s="1" t="s">
        <v>31</v>
      </c>
      <c r="L394" s="1" t="s">
        <v>32</v>
      </c>
      <c r="M394" s="1" t="s">
        <v>2087</v>
      </c>
      <c r="N394">
        <v>0</v>
      </c>
      <c r="O394">
        <v>9929.39</v>
      </c>
      <c r="P394">
        <v>42780.81</v>
      </c>
      <c r="Q394">
        <v>5</v>
      </c>
      <c r="R394">
        <v>89</v>
      </c>
      <c r="S394">
        <v>5</v>
      </c>
      <c r="T394" s="1" t="s">
        <v>46</v>
      </c>
      <c r="U394" s="1" t="s">
        <v>95</v>
      </c>
      <c r="V394" s="1" t="s">
        <v>75</v>
      </c>
      <c r="W394" s="1" t="s">
        <v>59</v>
      </c>
      <c r="X394">
        <v>52710.2</v>
      </c>
      <c r="Y394" s="1" t="s">
        <v>2079</v>
      </c>
      <c r="Z394" s="1" t="s">
        <v>2080</v>
      </c>
      <c r="AO394" t="str">
        <v>P00471</v>
      </c>
    </row>
    <row r="395" spans="1:41" x14ac:dyDescent="0.35">
      <c r="A395" s="1" t="s">
        <v>1239</v>
      </c>
      <c r="B395" s="1" t="s">
        <v>300</v>
      </c>
      <c r="C395">
        <v>54</v>
      </c>
      <c r="D395" s="1" t="s">
        <v>25</v>
      </c>
      <c r="E395" s="1" t="s">
        <v>26</v>
      </c>
      <c r="F395" s="1" t="s">
        <v>41</v>
      </c>
      <c r="G395" s="2">
        <v>46076</v>
      </c>
      <c r="H395" s="2">
        <v>46077</v>
      </c>
      <c r="I395" s="1" t="s">
        <v>100</v>
      </c>
      <c r="J395" s="1" t="s">
        <v>2081</v>
      </c>
      <c r="K395" s="1" t="s">
        <v>31</v>
      </c>
      <c r="L395" s="1" t="s">
        <v>32</v>
      </c>
      <c r="M395" s="1" t="s">
        <v>2089</v>
      </c>
      <c r="N395">
        <v>428475.84</v>
      </c>
      <c r="O395">
        <v>86786.240000000005</v>
      </c>
      <c r="P395">
        <v>32868.080000000002</v>
      </c>
      <c r="Q395">
        <v>1</v>
      </c>
      <c r="R395">
        <v>131</v>
      </c>
      <c r="S395">
        <v>4.4000000000000004</v>
      </c>
      <c r="T395" s="1" t="s">
        <v>46</v>
      </c>
      <c r="U395" s="1" t="s">
        <v>95</v>
      </c>
      <c r="V395" s="1" t="s">
        <v>75</v>
      </c>
      <c r="W395" s="1" t="s">
        <v>59</v>
      </c>
      <c r="X395">
        <v>548130.16</v>
      </c>
      <c r="Y395" s="1" t="s">
        <v>2079</v>
      </c>
      <c r="Z395" s="1" t="s">
        <v>2080</v>
      </c>
      <c r="AO395" t="str">
        <v>P00472</v>
      </c>
    </row>
    <row r="396" spans="1:41" x14ac:dyDescent="0.35">
      <c r="A396" s="1" t="s">
        <v>1242</v>
      </c>
      <c r="B396" s="1" t="s">
        <v>429</v>
      </c>
      <c r="C396">
        <v>28</v>
      </c>
      <c r="D396" s="1" t="s">
        <v>25</v>
      </c>
      <c r="E396" s="1" t="s">
        <v>192</v>
      </c>
      <c r="F396" s="1" t="s">
        <v>120</v>
      </c>
      <c r="G396" s="2">
        <v>45419</v>
      </c>
      <c r="H396" s="2">
        <v>45432</v>
      </c>
      <c r="I396" s="1" t="s">
        <v>273</v>
      </c>
      <c r="J396" s="1" t="s">
        <v>141</v>
      </c>
      <c r="K396" s="1" t="s">
        <v>153</v>
      </c>
      <c r="L396" s="1" t="s">
        <v>32</v>
      </c>
      <c r="M396" s="1" t="s">
        <v>2090</v>
      </c>
      <c r="N396">
        <v>163569.35999999999</v>
      </c>
      <c r="O396">
        <v>79788.83</v>
      </c>
      <c r="P396">
        <v>20038.16</v>
      </c>
      <c r="Q396">
        <v>13</v>
      </c>
      <c r="R396">
        <v>53</v>
      </c>
      <c r="S396">
        <v>3.5</v>
      </c>
      <c r="T396" s="1" t="s">
        <v>46</v>
      </c>
      <c r="U396" s="1" t="s">
        <v>149</v>
      </c>
      <c r="V396" s="1" t="s">
        <v>130</v>
      </c>
      <c r="W396" s="1" t="s">
        <v>36</v>
      </c>
      <c r="X396">
        <v>263396.34999999998</v>
      </c>
      <c r="Y396" s="1" t="s">
        <v>2082</v>
      </c>
      <c r="Z396" s="1" t="s">
        <v>2091</v>
      </c>
      <c r="AO396" t="str">
        <v>P00473</v>
      </c>
    </row>
    <row r="397" spans="1:41" x14ac:dyDescent="0.35">
      <c r="A397" s="1" t="s">
        <v>1244</v>
      </c>
      <c r="B397" s="1" t="s">
        <v>857</v>
      </c>
      <c r="C397">
        <v>47</v>
      </c>
      <c r="D397" s="1" t="s">
        <v>25</v>
      </c>
      <c r="E397" s="1" t="s">
        <v>26</v>
      </c>
      <c r="F397" s="1" t="s">
        <v>227</v>
      </c>
      <c r="G397" s="2">
        <v>45970</v>
      </c>
      <c r="H397" s="2">
        <v>45975</v>
      </c>
      <c r="I397" s="1" t="s">
        <v>114</v>
      </c>
      <c r="J397" s="1" t="s">
        <v>137</v>
      </c>
      <c r="K397" s="1" t="s">
        <v>148</v>
      </c>
      <c r="L397" s="1" t="s">
        <v>32</v>
      </c>
      <c r="M397" s="1" t="s">
        <v>2089</v>
      </c>
      <c r="N397">
        <v>39032.449999999997</v>
      </c>
      <c r="O397">
        <v>16695.79</v>
      </c>
      <c r="P397">
        <v>26779.37</v>
      </c>
      <c r="Q397">
        <v>5</v>
      </c>
      <c r="R397">
        <v>89</v>
      </c>
      <c r="S397">
        <v>4.3</v>
      </c>
      <c r="T397" s="1" t="s">
        <v>34</v>
      </c>
      <c r="U397" s="1" t="s">
        <v>149</v>
      </c>
      <c r="V397" s="1" t="s">
        <v>130</v>
      </c>
      <c r="W397" s="1" t="s">
        <v>59</v>
      </c>
      <c r="X397">
        <v>82507.61</v>
      </c>
      <c r="Y397" s="1" t="s">
        <v>2079</v>
      </c>
      <c r="Z397" s="1" t="s">
        <v>2080</v>
      </c>
      <c r="AO397" t="str">
        <v>P00474</v>
      </c>
    </row>
    <row r="398" spans="1:41" x14ac:dyDescent="0.35">
      <c r="A398" s="1" t="s">
        <v>1246</v>
      </c>
      <c r="B398" s="1" t="s">
        <v>505</v>
      </c>
      <c r="C398">
        <v>3</v>
      </c>
      <c r="D398" s="1" t="s">
        <v>25</v>
      </c>
      <c r="E398" s="1" t="s">
        <v>40</v>
      </c>
      <c r="F398" s="1" t="s">
        <v>120</v>
      </c>
      <c r="G398" s="2">
        <v>45488</v>
      </c>
      <c r="H398" s="2">
        <v>45492</v>
      </c>
      <c r="I398" s="1" t="s">
        <v>100</v>
      </c>
      <c r="J398" s="1" t="s">
        <v>87</v>
      </c>
      <c r="K398" s="1" t="s">
        <v>163</v>
      </c>
      <c r="L398" s="1" t="s">
        <v>44</v>
      </c>
      <c r="M398" s="1" t="s">
        <v>2086</v>
      </c>
      <c r="N398">
        <v>368951.74</v>
      </c>
      <c r="O398">
        <v>36314.22</v>
      </c>
      <c r="P398">
        <v>86535.96</v>
      </c>
      <c r="Q398">
        <v>4</v>
      </c>
      <c r="R398">
        <v>128</v>
      </c>
      <c r="S398">
        <v>5</v>
      </c>
      <c r="T398" s="1" t="s">
        <v>34</v>
      </c>
      <c r="U398" s="1" t="s">
        <v>35</v>
      </c>
      <c r="V398" s="1" t="s">
        <v>102</v>
      </c>
      <c r="W398" s="1" t="s">
        <v>83</v>
      </c>
      <c r="X398">
        <v>491801.92</v>
      </c>
      <c r="Y398" s="1" t="s">
        <v>2093</v>
      </c>
      <c r="Z398" s="1" t="s">
        <v>2080</v>
      </c>
      <c r="AO398" t="str">
        <v>P00475</v>
      </c>
    </row>
    <row r="399" spans="1:41" x14ac:dyDescent="0.35">
      <c r="A399" s="1" t="s">
        <v>1248</v>
      </c>
      <c r="B399" s="1" t="s">
        <v>1249</v>
      </c>
      <c r="C399">
        <v>72</v>
      </c>
      <c r="D399" s="1" t="s">
        <v>25</v>
      </c>
      <c r="E399" s="1" t="s">
        <v>219</v>
      </c>
      <c r="F399" s="1" t="s">
        <v>227</v>
      </c>
      <c r="G399" s="2">
        <v>45510</v>
      </c>
      <c r="H399" s="2">
        <v>45514</v>
      </c>
      <c r="I399" s="1" t="s">
        <v>100</v>
      </c>
      <c r="J399" s="1" t="s">
        <v>141</v>
      </c>
      <c r="K399" s="1" t="s">
        <v>128</v>
      </c>
      <c r="L399" s="1" t="s">
        <v>44</v>
      </c>
      <c r="M399" s="1" t="s">
        <v>2085</v>
      </c>
      <c r="N399">
        <v>293115.09000000003</v>
      </c>
      <c r="O399">
        <v>27552.12</v>
      </c>
      <c r="P399">
        <v>113173.04</v>
      </c>
      <c r="Q399">
        <v>4</v>
      </c>
      <c r="R399">
        <v>161</v>
      </c>
      <c r="S399">
        <v>4.4000000000000004</v>
      </c>
      <c r="T399" s="1" t="s">
        <v>46</v>
      </c>
      <c r="U399" s="1" t="s">
        <v>35</v>
      </c>
      <c r="V399" s="1" t="s">
        <v>130</v>
      </c>
      <c r="W399" s="1" t="s">
        <v>83</v>
      </c>
      <c r="X399">
        <v>433840.25</v>
      </c>
      <c r="Y399" s="1" t="s">
        <v>2088</v>
      </c>
      <c r="Z399" s="1" t="s">
        <v>2080</v>
      </c>
      <c r="AO399" t="str">
        <v>P00476</v>
      </c>
    </row>
    <row r="400" spans="1:41" x14ac:dyDescent="0.35">
      <c r="A400" s="1" t="s">
        <v>1250</v>
      </c>
      <c r="B400" s="1" t="s">
        <v>713</v>
      </c>
      <c r="C400">
        <v>14</v>
      </c>
      <c r="D400" s="1" t="s">
        <v>25</v>
      </c>
      <c r="E400" s="1" t="s">
        <v>107</v>
      </c>
      <c r="F400" s="1" t="s">
        <v>120</v>
      </c>
      <c r="G400" s="2">
        <v>45515</v>
      </c>
      <c r="H400" s="2">
        <v>45516</v>
      </c>
      <c r="I400" s="1" t="s">
        <v>100</v>
      </c>
      <c r="J400" s="1" t="s">
        <v>87</v>
      </c>
      <c r="K400" s="1" t="s">
        <v>55</v>
      </c>
      <c r="L400" s="1" t="s">
        <v>32</v>
      </c>
      <c r="M400" s="1" t="s">
        <v>2086</v>
      </c>
      <c r="N400">
        <v>260980.17</v>
      </c>
      <c r="O400">
        <v>33638.03</v>
      </c>
      <c r="P400">
        <v>26576.32</v>
      </c>
      <c r="Q400">
        <v>1</v>
      </c>
      <c r="R400">
        <v>105</v>
      </c>
      <c r="S400">
        <v>5</v>
      </c>
      <c r="T400" s="1" t="s">
        <v>46</v>
      </c>
      <c r="U400" s="1" t="s">
        <v>95</v>
      </c>
      <c r="V400" s="1" t="s">
        <v>75</v>
      </c>
      <c r="W400" s="1" t="s">
        <v>83</v>
      </c>
      <c r="X400">
        <v>321194.52</v>
      </c>
      <c r="Y400" s="1" t="s">
        <v>2093</v>
      </c>
      <c r="Z400" s="1" t="s">
        <v>2080</v>
      </c>
      <c r="AO400" t="str">
        <v>P00477</v>
      </c>
    </row>
    <row r="401" spans="1:41" x14ac:dyDescent="0.35">
      <c r="A401" s="1" t="s">
        <v>1252</v>
      </c>
      <c r="B401" s="1" t="s">
        <v>297</v>
      </c>
      <c r="C401">
        <v>17</v>
      </c>
      <c r="D401" s="1" t="s">
        <v>25</v>
      </c>
      <c r="E401" s="1" t="s">
        <v>107</v>
      </c>
      <c r="F401" s="1" t="s">
        <v>120</v>
      </c>
      <c r="G401" s="2">
        <v>46071</v>
      </c>
      <c r="H401" s="2">
        <v>46076</v>
      </c>
      <c r="I401" s="1" t="s">
        <v>235</v>
      </c>
      <c r="J401" s="1" t="s">
        <v>141</v>
      </c>
      <c r="K401" s="1" t="s">
        <v>81</v>
      </c>
      <c r="L401" s="1" t="s">
        <v>32</v>
      </c>
      <c r="M401" s="1" t="s">
        <v>2090</v>
      </c>
      <c r="N401">
        <v>204388.76</v>
      </c>
      <c r="O401">
        <v>9875.84</v>
      </c>
      <c r="P401">
        <v>33369</v>
      </c>
      <c r="Q401">
        <v>5</v>
      </c>
      <c r="R401">
        <v>63</v>
      </c>
      <c r="S401">
        <v>3.1</v>
      </c>
      <c r="T401" s="1" t="s">
        <v>34</v>
      </c>
      <c r="U401" s="1" t="s">
        <v>101</v>
      </c>
      <c r="V401" s="1" t="s">
        <v>130</v>
      </c>
      <c r="W401" s="1" t="s">
        <v>59</v>
      </c>
      <c r="X401">
        <v>247633.6</v>
      </c>
      <c r="Y401" s="1" t="s">
        <v>2093</v>
      </c>
      <c r="Z401" s="1" t="s">
        <v>2080</v>
      </c>
      <c r="AO401" t="str">
        <v>P00478</v>
      </c>
    </row>
    <row r="402" spans="1:41" x14ac:dyDescent="0.35">
      <c r="A402" s="1" t="s">
        <v>1254</v>
      </c>
      <c r="B402" s="1" t="s">
        <v>1255</v>
      </c>
      <c r="C402">
        <v>40</v>
      </c>
      <c r="D402" s="1" t="s">
        <v>25</v>
      </c>
      <c r="E402" s="1" t="s">
        <v>51</v>
      </c>
      <c r="F402" s="1" t="s">
        <v>135</v>
      </c>
      <c r="G402" s="2">
        <v>45926</v>
      </c>
      <c r="H402" s="2">
        <v>45927</v>
      </c>
      <c r="I402" s="1" t="s">
        <v>173</v>
      </c>
      <c r="J402" s="1" t="s">
        <v>137</v>
      </c>
      <c r="K402" s="1" t="s">
        <v>153</v>
      </c>
      <c r="L402" s="1" t="s">
        <v>32</v>
      </c>
      <c r="M402" s="1" t="s">
        <v>2078</v>
      </c>
      <c r="N402">
        <v>141514.93</v>
      </c>
      <c r="O402">
        <v>0</v>
      </c>
      <c r="P402">
        <v>106589.16</v>
      </c>
      <c r="Q402">
        <v>1</v>
      </c>
      <c r="R402">
        <v>176</v>
      </c>
      <c r="S402">
        <v>3.2</v>
      </c>
      <c r="T402" s="1" t="s">
        <v>34</v>
      </c>
      <c r="U402" s="1" t="s">
        <v>101</v>
      </c>
      <c r="V402" s="1" t="s">
        <v>130</v>
      </c>
      <c r="W402" s="1" t="s">
        <v>59</v>
      </c>
      <c r="X402">
        <v>248104.09</v>
      </c>
      <c r="Y402" s="1" t="s">
        <v>2079</v>
      </c>
      <c r="Z402" s="1" t="s">
        <v>2080</v>
      </c>
      <c r="AO402" t="str">
        <v>P00479</v>
      </c>
    </row>
    <row r="403" spans="1:41" x14ac:dyDescent="0.35">
      <c r="A403" s="1" t="s">
        <v>1256</v>
      </c>
      <c r="B403" s="1" t="s">
        <v>821</v>
      </c>
      <c r="C403">
        <v>17</v>
      </c>
      <c r="D403" s="1" t="s">
        <v>119</v>
      </c>
      <c r="E403" s="1" t="s">
        <v>51</v>
      </c>
      <c r="F403" s="1" t="s">
        <v>120</v>
      </c>
      <c r="G403" s="2">
        <v>46070</v>
      </c>
      <c r="H403" s="2">
        <v>46073</v>
      </c>
      <c r="I403" s="1" t="s">
        <v>273</v>
      </c>
      <c r="J403" s="1" t="s">
        <v>141</v>
      </c>
      <c r="K403" s="1" t="s">
        <v>91</v>
      </c>
      <c r="L403" s="1" t="s">
        <v>66</v>
      </c>
      <c r="M403" s="1" t="s">
        <v>2089</v>
      </c>
      <c r="N403">
        <v>457401.2</v>
      </c>
      <c r="O403">
        <v>77432.22</v>
      </c>
      <c r="P403">
        <v>49700.81</v>
      </c>
      <c r="Q403">
        <v>3</v>
      </c>
      <c r="R403">
        <v>171</v>
      </c>
      <c r="S403">
        <v>3.9</v>
      </c>
      <c r="T403" s="1" t="s">
        <v>46</v>
      </c>
      <c r="U403" s="1" t="s">
        <v>35</v>
      </c>
      <c r="V403" s="1" t="s">
        <v>102</v>
      </c>
      <c r="W403" s="1" t="s">
        <v>59</v>
      </c>
      <c r="X403">
        <v>584534.23</v>
      </c>
      <c r="Y403" s="1" t="s">
        <v>2093</v>
      </c>
      <c r="Z403" s="1" t="s">
        <v>2080</v>
      </c>
      <c r="AO403" t="str">
        <v>P00480</v>
      </c>
    </row>
    <row r="404" spans="1:41" x14ac:dyDescent="0.35">
      <c r="A404" s="1" t="s">
        <v>1258</v>
      </c>
      <c r="B404" s="1" t="s">
        <v>350</v>
      </c>
      <c r="C404">
        <v>33</v>
      </c>
      <c r="D404" s="1" t="s">
        <v>25</v>
      </c>
      <c r="E404" s="1" t="s">
        <v>26</v>
      </c>
      <c r="F404" s="1" t="s">
        <v>145</v>
      </c>
      <c r="G404" s="2">
        <v>46028</v>
      </c>
      <c r="H404" s="2">
        <v>46029</v>
      </c>
      <c r="I404" s="1" t="s">
        <v>235</v>
      </c>
      <c r="J404" s="1" t="s">
        <v>147</v>
      </c>
      <c r="K404" s="1" t="s">
        <v>91</v>
      </c>
      <c r="L404" s="1" t="s">
        <v>66</v>
      </c>
      <c r="M404" s="1" t="s">
        <v>2089</v>
      </c>
      <c r="N404">
        <v>238469.92</v>
      </c>
      <c r="O404">
        <v>18636.310000000001</v>
      </c>
      <c r="P404">
        <v>38440.400000000001</v>
      </c>
      <c r="Q404">
        <v>1</v>
      </c>
      <c r="R404">
        <v>88</v>
      </c>
      <c r="S404">
        <v>3.6</v>
      </c>
      <c r="T404" s="1" t="s">
        <v>34</v>
      </c>
      <c r="U404" s="1" t="s">
        <v>35</v>
      </c>
      <c r="V404" s="1" t="s">
        <v>75</v>
      </c>
      <c r="W404" s="1" t="s">
        <v>59</v>
      </c>
      <c r="X404">
        <v>295546.63</v>
      </c>
      <c r="Y404" s="1" t="s">
        <v>2082</v>
      </c>
      <c r="Z404" s="1" t="s">
        <v>2080</v>
      </c>
      <c r="AO404" t="str">
        <v>P00481</v>
      </c>
    </row>
    <row r="405" spans="1:41" x14ac:dyDescent="0.35">
      <c r="A405" s="1" t="s">
        <v>1259</v>
      </c>
      <c r="B405" s="1" t="s">
        <v>624</v>
      </c>
      <c r="C405">
        <v>19</v>
      </c>
      <c r="D405" s="1" t="s">
        <v>25</v>
      </c>
      <c r="E405" s="1" t="s">
        <v>26</v>
      </c>
      <c r="F405" s="1" t="s">
        <v>120</v>
      </c>
      <c r="G405" s="2">
        <v>45501</v>
      </c>
      <c r="H405" s="2">
        <v>45504</v>
      </c>
      <c r="I405" s="1" t="s">
        <v>273</v>
      </c>
      <c r="J405" s="1" t="s">
        <v>87</v>
      </c>
      <c r="K405" s="1" t="s">
        <v>91</v>
      </c>
      <c r="L405" s="1" t="s">
        <v>66</v>
      </c>
      <c r="M405" s="1" t="s">
        <v>2078</v>
      </c>
      <c r="N405">
        <v>119617.74</v>
      </c>
      <c r="O405">
        <v>0</v>
      </c>
      <c r="P405">
        <v>74334.47</v>
      </c>
      <c r="Q405">
        <v>3</v>
      </c>
      <c r="R405">
        <v>0</v>
      </c>
      <c r="S405">
        <v>5</v>
      </c>
      <c r="T405" s="1" t="s">
        <v>46</v>
      </c>
      <c r="U405" s="1" t="s">
        <v>101</v>
      </c>
      <c r="V405" s="1" t="s">
        <v>130</v>
      </c>
      <c r="W405" s="1" t="s">
        <v>131</v>
      </c>
      <c r="X405">
        <v>193952.21000000002</v>
      </c>
      <c r="Y405" s="1" t="s">
        <v>2082</v>
      </c>
      <c r="Z405" s="1" t="s">
        <v>2083</v>
      </c>
      <c r="AO405" t="str">
        <v>P00482</v>
      </c>
    </row>
    <row r="406" spans="1:41" x14ac:dyDescent="0.35">
      <c r="A406" s="1" t="s">
        <v>1261</v>
      </c>
      <c r="B406" s="1" t="s">
        <v>543</v>
      </c>
      <c r="C406">
        <v>36</v>
      </c>
      <c r="D406" s="1" t="s">
        <v>119</v>
      </c>
      <c r="E406" s="1" t="s">
        <v>86</v>
      </c>
      <c r="F406" s="1" t="s">
        <v>227</v>
      </c>
      <c r="G406" s="2">
        <v>46175</v>
      </c>
      <c r="H406" s="2">
        <v>46183</v>
      </c>
      <c r="I406" s="1" t="s">
        <v>273</v>
      </c>
      <c r="J406" s="1" t="s">
        <v>115</v>
      </c>
      <c r="K406" s="1" t="s">
        <v>163</v>
      </c>
      <c r="L406" s="1" t="s">
        <v>44</v>
      </c>
      <c r="M406" s="1" t="s">
        <v>2090</v>
      </c>
      <c r="N406">
        <v>0</v>
      </c>
      <c r="O406">
        <v>20967.240000000002</v>
      </c>
      <c r="P406">
        <v>43074.48</v>
      </c>
      <c r="Q406">
        <v>8</v>
      </c>
      <c r="R406">
        <v>19</v>
      </c>
      <c r="S406">
        <v>3</v>
      </c>
      <c r="T406" s="1" t="s">
        <v>34</v>
      </c>
      <c r="U406" s="1" t="s">
        <v>101</v>
      </c>
      <c r="V406" s="1" t="s">
        <v>102</v>
      </c>
      <c r="W406" s="1" t="s">
        <v>131</v>
      </c>
      <c r="X406">
        <v>64041.72</v>
      </c>
      <c r="Y406" s="1" t="s">
        <v>2079</v>
      </c>
      <c r="Z406" s="1" t="s">
        <v>2083</v>
      </c>
      <c r="AO406" t="str">
        <v>P00483</v>
      </c>
    </row>
    <row r="407" spans="1:41" x14ac:dyDescent="0.35">
      <c r="A407" s="1" t="s">
        <v>1263</v>
      </c>
      <c r="B407" s="1" t="s">
        <v>1152</v>
      </c>
      <c r="C407">
        <v>57</v>
      </c>
      <c r="D407" s="1" t="s">
        <v>119</v>
      </c>
      <c r="E407" s="1" t="s">
        <v>263</v>
      </c>
      <c r="F407" s="1" t="s">
        <v>87</v>
      </c>
      <c r="G407" s="2">
        <v>45448</v>
      </c>
      <c r="H407" s="2">
        <v>45457</v>
      </c>
      <c r="I407" s="1" t="s">
        <v>53</v>
      </c>
      <c r="J407" s="1" t="s">
        <v>2081</v>
      </c>
      <c r="K407" s="1" t="s">
        <v>91</v>
      </c>
      <c r="L407" s="1" t="s">
        <v>66</v>
      </c>
      <c r="M407" s="1" t="s">
        <v>2086</v>
      </c>
      <c r="N407">
        <v>90561.02</v>
      </c>
      <c r="O407">
        <v>0</v>
      </c>
      <c r="P407">
        <v>35189.480000000003</v>
      </c>
      <c r="Q407">
        <v>9</v>
      </c>
      <c r="R407">
        <v>78</v>
      </c>
      <c r="S407">
        <v>4.3</v>
      </c>
      <c r="T407" s="1" t="s">
        <v>46</v>
      </c>
      <c r="U407" s="1" t="s">
        <v>101</v>
      </c>
      <c r="V407" s="1" t="s">
        <v>75</v>
      </c>
      <c r="W407" s="1" t="s">
        <v>83</v>
      </c>
      <c r="X407">
        <v>125750.5</v>
      </c>
      <c r="Y407" s="1" t="s">
        <v>2079</v>
      </c>
      <c r="Z407" s="1" t="s">
        <v>2080</v>
      </c>
      <c r="AO407" t="str">
        <v>P00484</v>
      </c>
    </row>
    <row r="408" spans="1:41" x14ac:dyDescent="0.35">
      <c r="A408" s="1" t="s">
        <v>1264</v>
      </c>
      <c r="B408" s="1" t="s">
        <v>226</v>
      </c>
      <c r="C408">
        <v>54</v>
      </c>
      <c r="D408" s="1" t="s">
        <v>25</v>
      </c>
      <c r="E408" s="1" t="s">
        <v>263</v>
      </c>
      <c r="F408" s="1" t="s">
        <v>87</v>
      </c>
      <c r="G408" s="2">
        <v>46034</v>
      </c>
      <c r="H408" s="2">
        <v>46036</v>
      </c>
      <c r="I408" s="1" t="s">
        <v>273</v>
      </c>
      <c r="J408" s="1" t="s">
        <v>115</v>
      </c>
      <c r="K408" s="1" t="s">
        <v>55</v>
      </c>
      <c r="L408" s="1" t="s">
        <v>66</v>
      </c>
      <c r="M408" s="1" t="s">
        <v>2086</v>
      </c>
      <c r="N408">
        <v>490921.57</v>
      </c>
      <c r="O408">
        <v>50387.53</v>
      </c>
      <c r="P408">
        <v>43557.34</v>
      </c>
      <c r="Q408">
        <v>2</v>
      </c>
      <c r="R408">
        <v>81</v>
      </c>
      <c r="S408">
        <v>3.2</v>
      </c>
      <c r="T408" s="1" t="s">
        <v>34</v>
      </c>
      <c r="U408" s="1" t="s">
        <v>95</v>
      </c>
      <c r="V408" s="1" t="s">
        <v>75</v>
      </c>
      <c r="W408" s="1" t="s">
        <v>131</v>
      </c>
      <c r="X408">
        <v>584866.43999999994</v>
      </c>
      <c r="Y408" s="1" t="s">
        <v>2079</v>
      </c>
      <c r="Z408" s="1" t="s">
        <v>2080</v>
      </c>
      <c r="AO408" t="str">
        <v>P00485</v>
      </c>
    </row>
    <row r="409" spans="1:41" x14ac:dyDescent="0.35">
      <c r="A409" s="1" t="s">
        <v>1266</v>
      </c>
      <c r="B409" s="1" t="s">
        <v>871</v>
      </c>
      <c r="C409">
        <v>29</v>
      </c>
      <c r="D409" s="1" t="s">
        <v>25</v>
      </c>
      <c r="E409" s="1" t="s">
        <v>263</v>
      </c>
      <c r="F409" s="1" t="s">
        <v>227</v>
      </c>
      <c r="G409" s="2">
        <v>46081</v>
      </c>
      <c r="H409" s="2">
        <v>46088</v>
      </c>
      <c r="I409" s="1" t="s">
        <v>273</v>
      </c>
      <c r="J409" s="1" t="s">
        <v>141</v>
      </c>
      <c r="K409" s="1" t="s">
        <v>55</v>
      </c>
      <c r="L409" s="1" t="s">
        <v>66</v>
      </c>
      <c r="M409" s="1" t="s">
        <v>2092</v>
      </c>
      <c r="N409">
        <v>226331.18</v>
      </c>
      <c r="O409">
        <v>31279.95</v>
      </c>
      <c r="P409">
        <v>29946.47</v>
      </c>
      <c r="Q409">
        <v>7</v>
      </c>
      <c r="R409">
        <v>0</v>
      </c>
      <c r="S409">
        <v>1.4</v>
      </c>
      <c r="T409" s="1" t="s">
        <v>46</v>
      </c>
      <c r="U409" s="1" t="s">
        <v>95</v>
      </c>
      <c r="V409" s="1" t="s">
        <v>75</v>
      </c>
      <c r="W409" s="1" t="s">
        <v>59</v>
      </c>
      <c r="X409">
        <v>287557.59999999998</v>
      </c>
      <c r="Y409" s="1" t="s">
        <v>2082</v>
      </c>
      <c r="Z409" s="1" t="s">
        <v>2083</v>
      </c>
      <c r="AO409" t="str">
        <v>P00486</v>
      </c>
    </row>
    <row r="410" spans="1:41" x14ac:dyDescent="0.35">
      <c r="A410" s="1" t="s">
        <v>1268</v>
      </c>
      <c r="B410" s="1" t="s">
        <v>543</v>
      </c>
      <c r="C410">
        <v>54</v>
      </c>
      <c r="D410" s="1" t="s">
        <v>119</v>
      </c>
      <c r="E410" s="1" t="s">
        <v>263</v>
      </c>
      <c r="F410" s="1" t="s">
        <v>193</v>
      </c>
      <c r="G410" s="2">
        <v>45973</v>
      </c>
      <c r="H410" s="2">
        <v>45976</v>
      </c>
      <c r="I410" s="1" t="s">
        <v>53</v>
      </c>
      <c r="J410" s="1" t="s">
        <v>141</v>
      </c>
      <c r="K410" s="1" t="s">
        <v>163</v>
      </c>
      <c r="L410" s="1" t="s">
        <v>66</v>
      </c>
      <c r="M410" s="1" t="s">
        <v>2092</v>
      </c>
      <c r="N410">
        <v>145295.96</v>
      </c>
      <c r="O410">
        <v>60520.53</v>
      </c>
      <c r="P410">
        <v>18696.79</v>
      </c>
      <c r="Q410">
        <v>3</v>
      </c>
      <c r="R410">
        <v>223</v>
      </c>
      <c r="S410">
        <v>1.4</v>
      </c>
      <c r="T410" s="1" t="s">
        <v>34</v>
      </c>
      <c r="U410" s="1" t="s">
        <v>149</v>
      </c>
      <c r="V410" s="1" t="s">
        <v>130</v>
      </c>
      <c r="W410" s="1" t="s">
        <v>131</v>
      </c>
      <c r="X410">
        <v>224513.28</v>
      </c>
      <c r="Y410" s="1" t="s">
        <v>2079</v>
      </c>
      <c r="Z410" s="1" t="s">
        <v>2080</v>
      </c>
      <c r="AO410" t="str">
        <v>P00488</v>
      </c>
    </row>
    <row r="411" spans="1:41" x14ac:dyDescent="0.35">
      <c r="A411" s="1" t="s">
        <v>1270</v>
      </c>
      <c r="B411" s="1" t="s">
        <v>475</v>
      </c>
      <c r="C411">
        <v>53</v>
      </c>
      <c r="D411" s="1" t="s">
        <v>25</v>
      </c>
      <c r="E411" s="1" t="s">
        <v>192</v>
      </c>
      <c r="F411" s="1" t="s">
        <v>193</v>
      </c>
      <c r="G411" s="2">
        <v>46189</v>
      </c>
      <c r="H411" s="2">
        <v>46193</v>
      </c>
      <c r="I411" s="1" t="s">
        <v>273</v>
      </c>
      <c r="J411" s="1" t="s">
        <v>2081</v>
      </c>
      <c r="K411" s="1" t="s">
        <v>55</v>
      </c>
      <c r="L411" s="1" t="s">
        <v>66</v>
      </c>
      <c r="M411" s="1" t="s">
        <v>2089</v>
      </c>
      <c r="N411">
        <v>108622.01</v>
      </c>
      <c r="O411">
        <v>40609.85</v>
      </c>
      <c r="P411">
        <v>83385.56</v>
      </c>
      <c r="Q411">
        <v>4</v>
      </c>
      <c r="R411">
        <v>0</v>
      </c>
      <c r="S411">
        <v>4.4000000000000004</v>
      </c>
      <c r="T411" s="1" t="s">
        <v>34</v>
      </c>
      <c r="U411" s="1" t="s">
        <v>149</v>
      </c>
      <c r="V411" s="1" t="s">
        <v>75</v>
      </c>
      <c r="W411" s="1" t="s">
        <v>131</v>
      </c>
      <c r="X411">
        <v>232617.41999999998</v>
      </c>
      <c r="Y411" s="1" t="s">
        <v>2079</v>
      </c>
      <c r="Z411" s="1" t="s">
        <v>2083</v>
      </c>
      <c r="AO411" t="str">
        <v>P00489</v>
      </c>
    </row>
    <row r="412" spans="1:41" x14ac:dyDescent="0.35">
      <c r="A412" s="1" t="s">
        <v>1272</v>
      </c>
      <c r="B412" s="1" t="s">
        <v>262</v>
      </c>
      <c r="C412">
        <v>21</v>
      </c>
      <c r="D412" s="1" t="s">
        <v>25</v>
      </c>
      <c r="E412" s="1" t="s">
        <v>26</v>
      </c>
      <c r="F412" s="1" t="s">
        <v>227</v>
      </c>
      <c r="G412" s="2">
        <v>46058</v>
      </c>
      <c r="H412" s="2">
        <v>46059</v>
      </c>
      <c r="I412" s="1" t="s">
        <v>114</v>
      </c>
      <c r="J412" s="1" t="s">
        <v>141</v>
      </c>
      <c r="K412" s="1" t="s">
        <v>163</v>
      </c>
      <c r="L412" s="1" t="s">
        <v>66</v>
      </c>
      <c r="M412" s="1" t="s">
        <v>2090</v>
      </c>
      <c r="N412">
        <v>448083.29</v>
      </c>
      <c r="O412">
        <v>15455.45</v>
      </c>
      <c r="P412">
        <v>9783.6</v>
      </c>
      <c r="Q412">
        <v>1</v>
      </c>
      <c r="R412">
        <v>80</v>
      </c>
      <c r="S412">
        <v>5</v>
      </c>
      <c r="T412" s="1" t="s">
        <v>34</v>
      </c>
      <c r="U412" s="1" t="s">
        <v>35</v>
      </c>
      <c r="V412" s="1" t="s">
        <v>75</v>
      </c>
      <c r="W412" s="1" t="s">
        <v>131</v>
      </c>
      <c r="X412">
        <v>473322.33999999997</v>
      </c>
      <c r="Y412" s="1" t="s">
        <v>2082</v>
      </c>
      <c r="Z412" s="1" t="s">
        <v>2080</v>
      </c>
      <c r="AO412" t="str">
        <v>P00490</v>
      </c>
    </row>
    <row r="413" spans="1:41" x14ac:dyDescent="0.35">
      <c r="A413" s="1" t="s">
        <v>1274</v>
      </c>
      <c r="B413" s="1" t="s">
        <v>1137</v>
      </c>
      <c r="C413">
        <v>19</v>
      </c>
      <c r="D413" s="1" t="s">
        <v>25</v>
      </c>
      <c r="E413" s="1" t="s">
        <v>26</v>
      </c>
      <c r="F413" s="1" t="s">
        <v>135</v>
      </c>
      <c r="G413" s="2">
        <v>45429</v>
      </c>
      <c r="H413" s="2">
        <v>45430</v>
      </c>
      <c r="I413" s="1" t="s">
        <v>114</v>
      </c>
      <c r="J413" s="1" t="s">
        <v>87</v>
      </c>
      <c r="K413" s="1" t="s">
        <v>91</v>
      </c>
      <c r="L413" s="1" t="s">
        <v>32</v>
      </c>
      <c r="M413" s="1" t="s">
        <v>2092</v>
      </c>
      <c r="N413">
        <v>429640.44</v>
      </c>
      <c r="O413">
        <v>76442.559999999998</v>
      </c>
      <c r="P413">
        <v>41897.06</v>
      </c>
      <c r="Q413">
        <v>1</v>
      </c>
      <c r="R413">
        <v>2</v>
      </c>
      <c r="S413">
        <v>5</v>
      </c>
      <c r="T413" s="1" t="s">
        <v>46</v>
      </c>
      <c r="U413" s="1" t="s">
        <v>101</v>
      </c>
      <c r="V413" s="1" t="s">
        <v>130</v>
      </c>
      <c r="W413" s="1" t="s">
        <v>83</v>
      </c>
      <c r="X413">
        <v>547980.06000000006</v>
      </c>
      <c r="Y413" s="1" t="s">
        <v>2082</v>
      </c>
      <c r="Z413" s="1" t="s">
        <v>2083</v>
      </c>
      <c r="AO413" t="str">
        <v>P00491</v>
      </c>
    </row>
    <row r="414" spans="1:41" x14ac:dyDescent="0.35">
      <c r="A414" s="1" t="s">
        <v>1275</v>
      </c>
      <c r="B414" s="1" t="s">
        <v>1276</v>
      </c>
      <c r="C414">
        <v>57</v>
      </c>
      <c r="D414" s="1" t="s">
        <v>119</v>
      </c>
      <c r="E414" s="1" t="s">
        <v>86</v>
      </c>
      <c r="F414" s="1" t="s">
        <v>63</v>
      </c>
      <c r="G414" s="2">
        <v>45943</v>
      </c>
      <c r="H414" s="2">
        <v>45952</v>
      </c>
      <c r="I414" s="1" t="s">
        <v>221</v>
      </c>
      <c r="J414" s="1" t="s">
        <v>115</v>
      </c>
      <c r="K414" s="1" t="s">
        <v>55</v>
      </c>
      <c r="L414" s="1" t="s">
        <v>66</v>
      </c>
      <c r="M414" s="1" t="s">
        <v>57</v>
      </c>
      <c r="N414">
        <v>106263.67</v>
      </c>
      <c r="O414">
        <v>28774.27</v>
      </c>
      <c r="P414">
        <v>40189.199999999997</v>
      </c>
      <c r="Q414">
        <v>9</v>
      </c>
      <c r="R414">
        <v>119</v>
      </c>
      <c r="S414">
        <v>5</v>
      </c>
      <c r="T414" s="1" t="s">
        <v>46</v>
      </c>
      <c r="U414" s="1" t="s">
        <v>95</v>
      </c>
      <c r="V414" s="1" t="s">
        <v>130</v>
      </c>
      <c r="W414" s="1" t="s">
        <v>83</v>
      </c>
      <c r="X414">
        <v>175227.14</v>
      </c>
      <c r="Y414" s="1" t="s">
        <v>2079</v>
      </c>
      <c r="Z414" s="1" t="s">
        <v>2080</v>
      </c>
      <c r="AO414" t="str">
        <v>P00492</v>
      </c>
    </row>
    <row r="415" spans="1:41" x14ac:dyDescent="0.35">
      <c r="A415" s="1" t="s">
        <v>1278</v>
      </c>
      <c r="B415" s="1" t="s">
        <v>368</v>
      </c>
      <c r="C415">
        <v>19</v>
      </c>
      <c r="D415" s="1" t="s">
        <v>25</v>
      </c>
      <c r="E415" s="1" t="s">
        <v>112</v>
      </c>
      <c r="F415" s="1" t="s">
        <v>145</v>
      </c>
      <c r="G415" s="2">
        <v>45334</v>
      </c>
      <c r="H415" s="2">
        <v>45339</v>
      </c>
      <c r="I415" s="1" t="s">
        <v>273</v>
      </c>
      <c r="J415" s="1" t="s">
        <v>115</v>
      </c>
      <c r="K415" s="1" t="s">
        <v>81</v>
      </c>
      <c r="L415" s="1" t="s">
        <v>32</v>
      </c>
      <c r="M415" s="1" t="s">
        <v>2087</v>
      </c>
      <c r="N415">
        <v>412709.5</v>
      </c>
      <c r="O415">
        <v>37828.300000000003</v>
      </c>
      <c r="P415">
        <v>65611.97</v>
      </c>
      <c r="Q415">
        <v>5</v>
      </c>
      <c r="R415">
        <v>204</v>
      </c>
      <c r="S415">
        <v>2.2999999999999998</v>
      </c>
      <c r="T415" s="1" t="s">
        <v>34</v>
      </c>
      <c r="U415" s="1" t="s">
        <v>95</v>
      </c>
      <c r="V415" s="1" t="s">
        <v>102</v>
      </c>
      <c r="W415" s="1" t="s">
        <v>131</v>
      </c>
      <c r="X415">
        <v>516149.77</v>
      </c>
      <c r="Y415" s="1" t="s">
        <v>2082</v>
      </c>
      <c r="Z415" s="1" t="s">
        <v>2080</v>
      </c>
      <c r="AO415" t="str">
        <v>P00493</v>
      </c>
    </row>
    <row r="416" spans="1:41" x14ac:dyDescent="0.35">
      <c r="A416" s="1" t="s">
        <v>1279</v>
      </c>
      <c r="B416" s="1" t="s">
        <v>916</v>
      </c>
      <c r="C416">
        <v>31</v>
      </c>
      <c r="D416" s="1" t="s">
        <v>25</v>
      </c>
      <c r="E416" s="1" t="s">
        <v>26</v>
      </c>
      <c r="F416" s="1" t="s">
        <v>193</v>
      </c>
      <c r="G416" s="2">
        <v>45973</v>
      </c>
      <c r="H416" s="2">
        <v>45976</v>
      </c>
      <c r="I416" s="1" t="s">
        <v>53</v>
      </c>
      <c r="J416" s="1" t="s">
        <v>152</v>
      </c>
      <c r="K416" s="1" t="s">
        <v>31</v>
      </c>
      <c r="L416" s="1" t="s">
        <v>66</v>
      </c>
      <c r="M416" s="1" t="s">
        <v>57</v>
      </c>
      <c r="N416">
        <v>499.68</v>
      </c>
      <c r="O416">
        <v>38667.75</v>
      </c>
      <c r="P416">
        <v>120346.7</v>
      </c>
      <c r="Q416">
        <v>3</v>
      </c>
      <c r="R416">
        <v>0</v>
      </c>
      <c r="S416">
        <v>3.7</v>
      </c>
      <c r="T416" s="1" t="s">
        <v>34</v>
      </c>
      <c r="U416" s="1" t="s">
        <v>95</v>
      </c>
      <c r="V416" s="1" t="s">
        <v>102</v>
      </c>
      <c r="W416" s="1" t="s">
        <v>83</v>
      </c>
      <c r="X416">
        <v>159514.13</v>
      </c>
      <c r="Y416" s="1" t="s">
        <v>2082</v>
      </c>
      <c r="Z416" s="1" t="s">
        <v>2083</v>
      </c>
      <c r="AO416" t="str">
        <v>P00494</v>
      </c>
    </row>
    <row r="417" spans="1:41" x14ac:dyDescent="0.35">
      <c r="A417" s="1" t="s">
        <v>1280</v>
      </c>
      <c r="B417" s="1" t="s">
        <v>285</v>
      </c>
      <c r="C417">
        <v>45</v>
      </c>
      <c r="D417" s="1" t="s">
        <v>25</v>
      </c>
      <c r="E417" s="1" t="s">
        <v>26</v>
      </c>
      <c r="F417" s="1" t="s">
        <v>145</v>
      </c>
      <c r="G417" s="2">
        <v>45669</v>
      </c>
      <c r="H417" s="2">
        <v>45673</v>
      </c>
      <c r="I417" s="1" t="s">
        <v>273</v>
      </c>
      <c r="J417" s="1" t="s">
        <v>141</v>
      </c>
      <c r="K417" s="1" t="s">
        <v>31</v>
      </c>
      <c r="L417" s="1" t="s">
        <v>44</v>
      </c>
      <c r="M417" s="1" t="s">
        <v>2086</v>
      </c>
      <c r="N417">
        <v>204162.07</v>
      </c>
      <c r="O417">
        <v>0</v>
      </c>
      <c r="P417">
        <v>51983.6</v>
      </c>
      <c r="Q417">
        <v>4</v>
      </c>
      <c r="R417">
        <v>38</v>
      </c>
      <c r="S417">
        <v>0.9</v>
      </c>
      <c r="T417" s="1" t="s">
        <v>34</v>
      </c>
      <c r="U417" s="1" t="s">
        <v>35</v>
      </c>
      <c r="V417" s="1" t="s">
        <v>130</v>
      </c>
      <c r="W417" s="1" t="s">
        <v>83</v>
      </c>
      <c r="X417">
        <v>256145.67</v>
      </c>
      <c r="Y417" s="1" t="s">
        <v>2079</v>
      </c>
      <c r="Z417" s="1" t="s">
        <v>2091</v>
      </c>
      <c r="AO417" t="str">
        <v>P00495</v>
      </c>
    </row>
    <row r="418" spans="1:41" x14ac:dyDescent="0.35">
      <c r="A418" s="1" t="s">
        <v>1282</v>
      </c>
      <c r="B418" s="1" t="s">
        <v>230</v>
      </c>
      <c r="C418">
        <v>64</v>
      </c>
      <c r="D418" s="1" t="s">
        <v>25</v>
      </c>
      <c r="E418" s="1" t="s">
        <v>26</v>
      </c>
      <c r="F418" s="1" t="s">
        <v>41</v>
      </c>
      <c r="G418" s="2">
        <v>45375</v>
      </c>
      <c r="H418" s="2">
        <v>45382</v>
      </c>
      <c r="I418" s="1" t="s">
        <v>127</v>
      </c>
      <c r="J418" s="1" t="s">
        <v>87</v>
      </c>
      <c r="K418" s="1" t="s">
        <v>128</v>
      </c>
      <c r="L418" s="1" t="s">
        <v>66</v>
      </c>
      <c r="M418" s="1" t="s">
        <v>2086</v>
      </c>
      <c r="N418">
        <v>227232.54</v>
      </c>
      <c r="O418">
        <v>35726.870000000003</v>
      </c>
      <c r="P418">
        <v>77229.539999999994</v>
      </c>
      <c r="Q418">
        <v>7</v>
      </c>
      <c r="R418">
        <v>111</v>
      </c>
      <c r="S418">
        <v>4.9000000000000004</v>
      </c>
      <c r="T418" s="1" t="s">
        <v>46</v>
      </c>
      <c r="U418" s="1" t="s">
        <v>149</v>
      </c>
      <c r="V418" s="1" t="s">
        <v>130</v>
      </c>
      <c r="W418" s="1" t="s">
        <v>83</v>
      </c>
      <c r="X418">
        <v>340188.95</v>
      </c>
      <c r="Y418" s="1" t="s">
        <v>2088</v>
      </c>
      <c r="Z418" s="1" t="s">
        <v>2080</v>
      </c>
      <c r="AO418" t="str">
        <v>P00496</v>
      </c>
    </row>
    <row r="419" spans="1:41" x14ac:dyDescent="0.35">
      <c r="A419" s="1" t="s">
        <v>1284</v>
      </c>
      <c r="B419" s="1" t="s">
        <v>1233</v>
      </c>
      <c r="C419">
        <v>71</v>
      </c>
      <c r="D419" s="1" t="s">
        <v>119</v>
      </c>
      <c r="E419" s="1" t="s">
        <v>157</v>
      </c>
      <c r="F419" s="1" t="s">
        <v>41</v>
      </c>
      <c r="G419" s="2">
        <v>46209</v>
      </c>
      <c r="H419" s="2">
        <v>46211</v>
      </c>
      <c r="I419" s="1" t="s">
        <v>257</v>
      </c>
      <c r="J419" s="1" t="s">
        <v>30</v>
      </c>
      <c r="K419" s="1" t="s">
        <v>31</v>
      </c>
      <c r="L419" s="1" t="s">
        <v>32</v>
      </c>
      <c r="M419" s="1" t="s">
        <v>2087</v>
      </c>
      <c r="N419">
        <v>264910</v>
      </c>
      <c r="O419">
        <v>34851.300000000003</v>
      </c>
      <c r="P419">
        <v>6898.17</v>
      </c>
      <c r="Q419">
        <v>2</v>
      </c>
      <c r="R419">
        <v>116</v>
      </c>
      <c r="S419">
        <v>2.6</v>
      </c>
      <c r="T419" s="1" t="s">
        <v>46</v>
      </c>
      <c r="U419" s="1" t="s">
        <v>35</v>
      </c>
      <c r="V419" s="1" t="s">
        <v>75</v>
      </c>
      <c r="W419" s="1" t="s">
        <v>131</v>
      </c>
      <c r="X419">
        <v>306659.46999999997</v>
      </c>
      <c r="Y419" s="1" t="s">
        <v>2088</v>
      </c>
      <c r="Z419" s="1" t="s">
        <v>2080</v>
      </c>
      <c r="AO419" t="str">
        <v>P00497</v>
      </c>
    </row>
    <row r="420" spans="1:41" x14ac:dyDescent="0.35">
      <c r="A420" s="1" t="s">
        <v>1286</v>
      </c>
      <c r="B420" s="1" t="s">
        <v>1287</v>
      </c>
      <c r="C420">
        <v>14</v>
      </c>
      <c r="D420" s="1" t="s">
        <v>119</v>
      </c>
      <c r="E420" s="1" t="s">
        <v>26</v>
      </c>
      <c r="F420" s="1" t="s">
        <v>120</v>
      </c>
      <c r="G420" s="2">
        <v>46052</v>
      </c>
      <c r="H420" s="2">
        <v>46055</v>
      </c>
      <c r="I420" s="1" t="s">
        <v>257</v>
      </c>
      <c r="J420" s="1" t="s">
        <v>30</v>
      </c>
      <c r="K420" s="1" t="s">
        <v>153</v>
      </c>
      <c r="L420" s="1" t="s">
        <v>44</v>
      </c>
      <c r="M420" s="1" t="s">
        <v>2087</v>
      </c>
      <c r="N420">
        <v>122602.72</v>
      </c>
      <c r="O420">
        <v>7046.83</v>
      </c>
      <c r="P420">
        <v>82187.520000000004</v>
      </c>
      <c r="Q420">
        <v>3</v>
      </c>
      <c r="R420">
        <v>65</v>
      </c>
      <c r="S420">
        <v>5</v>
      </c>
      <c r="T420" s="1" t="s">
        <v>46</v>
      </c>
      <c r="U420" s="1" t="s">
        <v>35</v>
      </c>
      <c r="V420" s="1" t="s">
        <v>75</v>
      </c>
      <c r="W420" s="1" t="s">
        <v>83</v>
      </c>
      <c r="X420">
        <v>211837.07</v>
      </c>
      <c r="Y420" s="1" t="s">
        <v>2093</v>
      </c>
      <c r="Z420" s="1" t="s">
        <v>2080</v>
      </c>
      <c r="AO420" t="str">
        <v>P00498</v>
      </c>
    </row>
    <row r="421" spans="1:41" x14ac:dyDescent="0.35">
      <c r="A421" s="1" t="s">
        <v>1289</v>
      </c>
      <c r="B421" s="1" t="s">
        <v>583</v>
      </c>
      <c r="C421">
        <v>92</v>
      </c>
      <c r="D421" s="1" t="s">
        <v>119</v>
      </c>
      <c r="E421" s="1" t="s">
        <v>26</v>
      </c>
      <c r="F421" s="1" t="s">
        <v>63</v>
      </c>
      <c r="G421" s="2">
        <v>45612</v>
      </c>
      <c r="H421" s="2">
        <v>45616</v>
      </c>
      <c r="I421" s="1" t="s">
        <v>53</v>
      </c>
      <c r="J421" s="1" t="s">
        <v>90</v>
      </c>
      <c r="K421" s="1" t="s">
        <v>174</v>
      </c>
      <c r="L421" s="1" t="s">
        <v>32</v>
      </c>
      <c r="M421" s="1" t="s">
        <v>2086</v>
      </c>
      <c r="N421">
        <v>12877.81</v>
      </c>
      <c r="O421">
        <v>61480.83</v>
      </c>
      <c r="P421">
        <v>79393.23</v>
      </c>
      <c r="Q421">
        <v>4</v>
      </c>
      <c r="R421">
        <v>21</v>
      </c>
      <c r="S421">
        <v>5</v>
      </c>
      <c r="T421" s="1" t="s">
        <v>46</v>
      </c>
      <c r="U421" s="1" t="s">
        <v>35</v>
      </c>
      <c r="V421" s="1" t="s">
        <v>102</v>
      </c>
      <c r="W421" s="1" t="s">
        <v>83</v>
      </c>
      <c r="X421">
        <v>153751.87</v>
      </c>
      <c r="Y421" s="1" t="s">
        <v>2088</v>
      </c>
      <c r="Z421" s="1" t="s">
        <v>2083</v>
      </c>
      <c r="AO421" t="str">
        <v>P00499</v>
      </c>
    </row>
    <row r="422" spans="1:41" x14ac:dyDescent="0.35">
      <c r="A422" s="1" t="s">
        <v>1291</v>
      </c>
      <c r="B422" s="1" t="s">
        <v>790</v>
      </c>
      <c r="C422">
        <v>37</v>
      </c>
      <c r="D422" s="1" t="s">
        <v>119</v>
      </c>
      <c r="E422" s="1" t="s">
        <v>40</v>
      </c>
      <c r="F422" s="1" t="s">
        <v>41</v>
      </c>
      <c r="G422" s="2">
        <v>45440</v>
      </c>
      <c r="H422" s="2">
        <v>45443</v>
      </c>
      <c r="I422" s="1" t="s">
        <v>53</v>
      </c>
      <c r="J422" s="1" t="s">
        <v>147</v>
      </c>
      <c r="K422" s="1" t="s">
        <v>81</v>
      </c>
      <c r="L422" s="1" t="s">
        <v>66</v>
      </c>
      <c r="M422" s="1" t="s">
        <v>2078</v>
      </c>
      <c r="N422">
        <v>104649.03</v>
      </c>
      <c r="O422">
        <v>12022.26</v>
      </c>
      <c r="P422">
        <v>106494.36</v>
      </c>
      <c r="Q422">
        <v>3</v>
      </c>
      <c r="R422">
        <v>95</v>
      </c>
      <c r="S422">
        <v>4.7</v>
      </c>
      <c r="T422" s="1" t="s">
        <v>46</v>
      </c>
      <c r="U422" s="1" t="s">
        <v>95</v>
      </c>
      <c r="V422" s="1" t="s">
        <v>102</v>
      </c>
      <c r="W422" s="1" t="s">
        <v>12</v>
      </c>
      <c r="X422">
        <v>223165.65</v>
      </c>
      <c r="Y422" s="1" t="s">
        <v>2079</v>
      </c>
      <c r="Z422" s="1" t="s">
        <v>2080</v>
      </c>
      <c r="AO422" t="str">
        <v>P00500</v>
      </c>
    </row>
    <row r="423" spans="1:41" x14ac:dyDescent="0.35">
      <c r="A423" s="1" t="s">
        <v>1294</v>
      </c>
      <c r="B423" s="1" t="s">
        <v>363</v>
      </c>
      <c r="C423">
        <v>51</v>
      </c>
      <c r="D423" s="1" t="s">
        <v>119</v>
      </c>
      <c r="E423" s="1" t="s">
        <v>2084</v>
      </c>
      <c r="F423" s="1" t="s">
        <v>87</v>
      </c>
      <c r="G423" s="2">
        <v>45853</v>
      </c>
      <c r="H423" s="2">
        <v>45855</v>
      </c>
      <c r="I423" s="1" t="s">
        <v>235</v>
      </c>
      <c r="J423" s="1" t="s">
        <v>152</v>
      </c>
      <c r="K423" s="1" t="s">
        <v>163</v>
      </c>
      <c r="L423" s="1" t="s">
        <v>44</v>
      </c>
      <c r="M423" s="1" t="s">
        <v>2086</v>
      </c>
      <c r="N423">
        <v>316999.81</v>
      </c>
      <c r="O423">
        <v>48365.94</v>
      </c>
      <c r="P423">
        <v>15425.89</v>
      </c>
      <c r="Q423">
        <v>2</v>
      </c>
      <c r="R423">
        <v>73</v>
      </c>
      <c r="S423">
        <v>5</v>
      </c>
      <c r="T423" s="1" t="s">
        <v>46</v>
      </c>
      <c r="U423" s="1" t="s">
        <v>95</v>
      </c>
      <c r="V423" s="1" t="s">
        <v>75</v>
      </c>
      <c r="W423" s="1" t="s">
        <v>59</v>
      </c>
      <c r="X423">
        <v>380791.64</v>
      </c>
      <c r="Y423" s="1" t="s">
        <v>2079</v>
      </c>
      <c r="Z423" s="1" t="s">
        <v>2080</v>
      </c>
      <c r="AO423" t="str">
        <v>P00501</v>
      </c>
    </row>
    <row r="424" spans="1:41" x14ac:dyDescent="0.35">
      <c r="A424" s="1" t="s">
        <v>1297</v>
      </c>
      <c r="B424" s="1" t="s">
        <v>1026</v>
      </c>
      <c r="C424">
        <v>59</v>
      </c>
      <c r="D424" s="1" t="s">
        <v>119</v>
      </c>
      <c r="E424" s="1" t="s">
        <v>26</v>
      </c>
      <c r="F424" s="1" t="s">
        <v>87</v>
      </c>
      <c r="G424" s="2">
        <v>46096</v>
      </c>
      <c r="H424" s="2">
        <v>46097</v>
      </c>
      <c r="I424" s="1" t="s">
        <v>100</v>
      </c>
      <c r="J424" s="1" t="s">
        <v>90</v>
      </c>
      <c r="K424" s="1" t="s">
        <v>148</v>
      </c>
      <c r="L424" s="1" t="s">
        <v>44</v>
      </c>
      <c r="M424" s="1" t="s">
        <v>2085</v>
      </c>
      <c r="N424">
        <v>4007.79</v>
      </c>
      <c r="O424">
        <v>14181.12</v>
      </c>
      <c r="P424">
        <v>62893.23</v>
      </c>
      <c r="Q424">
        <v>1</v>
      </c>
      <c r="R424">
        <v>47</v>
      </c>
      <c r="S424">
        <v>3.4</v>
      </c>
      <c r="T424" s="1" t="s">
        <v>46</v>
      </c>
      <c r="U424" s="1" t="s">
        <v>149</v>
      </c>
      <c r="V424" s="1" t="s">
        <v>130</v>
      </c>
      <c r="W424" s="1" t="s">
        <v>131</v>
      </c>
      <c r="X424">
        <v>81082.14</v>
      </c>
      <c r="Y424" s="1" t="s">
        <v>2079</v>
      </c>
      <c r="Z424" s="1" t="s">
        <v>2091</v>
      </c>
      <c r="AO424" t="str">
        <v>P00502</v>
      </c>
    </row>
    <row r="425" spans="1:41" x14ac:dyDescent="0.35">
      <c r="A425" s="1" t="s">
        <v>1299</v>
      </c>
      <c r="B425" s="1" t="s">
        <v>215</v>
      </c>
      <c r="C425">
        <v>52</v>
      </c>
      <c r="D425" s="1" t="s">
        <v>25</v>
      </c>
      <c r="E425" s="1" t="s">
        <v>26</v>
      </c>
      <c r="F425" s="1" t="s">
        <v>41</v>
      </c>
      <c r="G425" s="2">
        <v>45413</v>
      </c>
      <c r="H425" s="2">
        <v>45418</v>
      </c>
      <c r="I425" s="1" t="s">
        <v>114</v>
      </c>
      <c r="J425" s="1" t="s">
        <v>87</v>
      </c>
      <c r="K425" s="1" t="s">
        <v>81</v>
      </c>
      <c r="L425" s="1" t="s">
        <v>32</v>
      </c>
      <c r="M425" s="1" t="s">
        <v>2090</v>
      </c>
      <c r="N425">
        <v>257354.58</v>
      </c>
      <c r="O425">
        <v>21521.94</v>
      </c>
      <c r="P425">
        <v>56101.83</v>
      </c>
      <c r="Q425">
        <v>5</v>
      </c>
      <c r="R425">
        <v>85</v>
      </c>
      <c r="S425">
        <v>4.3</v>
      </c>
      <c r="T425" s="1" t="s">
        <v>46</v>
      </c>
      <c r="U425" s="1" t="s">
        <v>149</v>
      </c>
      <c r="V425" s="1" t="s">
        <v>75</v>
      </c>
      <c r="W425" s="1" t="s">
        <v>131</v>
      </c>
      <c r="X425">
        <v>334978.34999999998</v>
      </c>
      <c r="Y425" s="1" t="s">
        <v>2079</v>
      </c>
      <c r="Z425" s="1" t="s">
        <v>2080</v>
      </c>
      <c r="AO425" t="str">
        <v>P00503</v>
      </c>
    </row>
    <row r="426" spans="1:41" x14ac:dyDescent="0.35">
      <c r="A426" s="1" t="s">
        <v>1301</v>
      </c>
      <c r="B426" s="1" t="s">
        <v>519</v>
      </c>
      <c r="C426">
        <v>38</v>
      </c>
      <c r="D426" s="1" t="s">
        <v>119</v>
      </c>
      <c r="E426" s="1" t="s">
        <v>26</v>
      </c>
      <c r="F426" s="1" t="s">
        <v>108</v>
      </c>
      <c r="G426" s="2">
        <v>45416</v>
      </c>
      <c r="H426" s="2">
        <v>45418</v>
      </c>
      <c r="I426" s="1" t="s">
        <v>273</v>
      </c>
      <c r="J426" s="1" t="s">
        <v>90</v>
      </c>
      <c r="K426" s="1" t="s">
        <v>81</v>
      </c>
      <c r="L426" s="1" t="s">
        <v>32</v>
      </c>
      <c r="M426" s="1" t="s">
        <v>2090</v>
      </c>
      <c r="N426">
        <v>81405.91</v>
      </c>
      <c r="O426">
        <v>29124.81</v>
      </c>
      <c r="P426">
        <v>20669.97</v>
      </c>
      <c r="Q426">
        <v>2</v>
      </c>
      <c r="R426">
        <v>11</v>
      </c>
      <c r="S426">
        <v>4</v>
      </c>
      <c r="T426" s="1" t="s">
        <v>46</v>
      </c>
      <c r="U426" s="1" t="s">
        <v>35</v>
      </c>
      <c r="V426" s="1" t="s">
        <v>102</v>
      </c>
      <c r="W426" s="1" t="s">
        <v>131</v>
      </c>
      <c r="X426">
        <v>131200.69</v>
      </c>
      <c r="Y426" s="1" t="s">
        <v>2079</v>
      </c>
      <c r="Z426" s="1" t="s">
        <v>2083</v>
      </c>
      <c r="AO426" t="str">
        <v>P00504</v>
      </c>
    </row>
    <row r="427" spans="1:41" x14ac:dyDescent="0.35">
      <c r="A427" s="1" t="s">
        <v>1303</v>
      </c>
      <c r="B427" s="1" t="s">
        <v>1018</v>
      </c>
      <c r="C427">
        <v>60</v>
      </c>
      <c r="D427" s="1" t="s">
        <v>119</v>
      </c>
      <c r="E427" s="1" t="s">
        <v>26</v>
      </c>
      <c r="F427" s="1" t="s">
        <v>108</v>
      </c>
      <c r="G427" s="2">
        <v>46106</v>
      </c>
      <c r="H427" s="2">
        <v>46109</v>
      </c>
      <c r="I427" s="1" t="s">
        <v>273</v>
      </c>
      <c r="J427" s="1" t="s">
        <v>115</v>
      </c>
      <c r="K427" s="1" t="s">
        <v>174</v>
      </c>
      <c r="L427" s="1" t="s">
        <v>32</v>
      </c>
      <c r="M427" s="1" t="s">
        <v>2089</v>
      </c>
      <c r="N427">
        <v>159642.42000000001</v>
      </c>
      <c r="O427">
        <v>40201.32</v>
      </c>
      <c r="P427">
        <v>61523.93</v>
      </c>
      <c r="Q427">
        <v>3</v>
      </c>
      <c r="R427">
        <v>128</v>
      </c>
      <c r="S427">
        <v>2.6</v>
      </c>
      <c r="T427" s="1" t="s">
        <v>46</v>
      </c>
      <c r="U427" s="1" t="s">
        <v>35</v>
      </c>
      <c r="V427" s="1" t="s">
        <v>75</v>
      </c>
      <c r="W427" s="1" t="s">
        <v>131</v>
      </c>
      <c r="X427">
        <v>261367.67</v>
      </c>
      <c r="Y427" s="1" t="s">
        <v>2088</v>
      </c>
      <c r="Z427" s="1" t="s">
        <v>2080</v>
      </c>
      <c r="AO427" t="str">
        <v>P00505</v>
      </c>
    </row>
    <row r="428" spans="1:41" x14ac:dyDescent="0.35">
      <c r="A428" s="1" t="s">
        <v>1304</v>
      </c>
      <c r="B428" s="1" t="s">
        <v>318</v>
      </c>
      <c r="C428">
        <v>51</v>
      </c>
      <c r="D428" s="1" t="s">
        <v>25</v>
      </c>
      <c r="E428" s="1" t="s">
        <v>192</v>
      </c>
      <c r="F428" s="1" t="s">
        <v>108</v>
      </c>
      <c r="G428" s="2">
        <v>45966</v>
      </c>
      <c r="H428" s="2">
        <v>45969</v>
      </c>
      <c r="I428" s="1" t="s">
        <v>100</v>
      </c>
      <c r="J428" s="1" t="s">
        <v>141</v>
      </c>
      <c r="K428" s="1" t="s">
        <v>174</v>
      </c>
      <c r="L428" s="1" t="s">
        <v>44</v>
      </c>
      <c r="M428" s="1" t="s">
        <v>2085</v>
      </c>
      <c r="N428">
        <v>221004.99</v>
      </c>
      <c r="O428">
        <v>0</v>
      </c>
      <c r="P428">
        <v>49814.69</v>
      </c>
      <c r="Q428">
        <v>3</v>
      </c>
      <c r="R428">
        <v>260</v>
      </c>
      <c r="S428">
        <v>3.2</v>
      </c>
      <c r="T428" s="1" t="s">
        <v>46</v>
      </c>
      <c r="U428" s="1" t="s">
        <v>95</v>
      </c>
      <c r="V428" s="1" t="s">
        <v>102</v>
      </c>
      <c r="W428" s="1" t="s">
        <v>59</v>
      </c>
      <c r="X428">
        <v>270819.68</v>
      </c>
      <c r="Y428" s="1" t="s">
        <v>2079</v>
      </c>
      <c r="Z428" s="1" t="s">
        <v>2080</v>
      </c>
      <c r="AO428" t="str">
        <v>P00506</v>
      </c>
    </row>
    <row r="429" spans="1:41" x14ac:dyDescent="0.35">
      <c r="A429" s="1" t="s">
        <v>1306</v>
      </c>
      <c r="B429" s="1" t="s">
        <v>650</v>
      </c>
      <c r="C429">
        <v>51</v>
      </c>
      <c r="D429" s="1" t="s">
        <v>119</v>
      </c>
      <c r="E429" s="1" t="s">
        <v>219</v>
      </c>
      <c r="F429" s="1" t="s">
        <v>145</v>
      </c>
      <c r="G429" s="2">
        <v>45810</v>
      </c>
      <c r="H429" s="2">
        <v>45811</v>
      </c>
      <c r="I429" s="1" t="s">
        <v>100</v>
      </c>
      <c r="J429" s="1" t="s">
        <v>115</v>
      </c>
      <c r="K429" s="1" t="s">
        <v>148</v>
      </c>
      <c r="L429" s="1" t="s">
        <v>44</v>
      </c>
      <c r="M429" s="1" t="s">
        <v>2092</v>
      </c>
      <c r="N429">
        <v>263732.95</v>
      </c>
      <c r="O429">
        <v>59818.38</v>
      </c>
      <c r="P429">
        <v>7263.96</v>
      </c>
      <c r="Q429">
        <v>1</v>
      </c>
      <c r="R429">
        <v>149</v>
      </c>
      <c r="S429">
        <v>4.5</v>
      </c>
      <c r="T429" s="1" t="s">
        <v>46</v>
      </c>
      <c r="U429" s="1" t="s">
        <v>95</v>
      </c>
      <c r="V429" s="1" t="s">
        <v>75</v>
      </c>
      <c r="W429" s="1" t="s">
        <v>59</v>
      </c>
      <c r="X429">
        <v>330815.29000000004</v>
      </c>
      <c r="Y429" s="1" t="s">
        <v>2079</v>
      </c>
      <c r="Z429" s="1" t="s">
        <v>2080</v>
      </c>
      <c r="AO429" t="str">
        <v>P00507</v>
      </c>
    </row>
    <row r="430" spans="1:41" x14ac:dyDescent="0.35">
      <c r="A430" s="1" t="s">
        <v>1309</v>
      </c>
      <c r="B430" s="1" t="s">
        <v>776</v>
      </c>
      <c r="C430">
        <v>44</v>
      </c>
      <c r="D430" s="1" t="s">
        <v>119</v>
      </c>
      <c r="E430" s="1" t="s">
        <v>192</v>
      </c>
      <c r="F430" s="1" t="s">
        <v>87</v>
      </c>
      <c r="G430" s="2">
        <v>45558</v>
      </c>
      <c r="H430" s="2">
        <v>45561</v>
      </c>
      <c r="I430" s="1" t="s">
        <v>53</v>
      </c>
      <c r="J430" s="1" t="s">
        <v>87</v>
      </c>
      <c r="K430" s="1" t="s">
        <v>153</v>
      </c>
      <c r="L430" s="1" t="s">
        <v>32</v>
      </c>
      <c r="M430" s="1" t="s">
        <v>2086</v>
      </c>
      <c r="N430">
        <v>198965.98</v>
      </c>
      <c r="O430">
        <v>59792.69</v>
      </c>
      <c r="P430">
        <v>42488.46</v>
      </c>
      <c r="Q430">
        <v>3</v>
      </c>
      <c r="R430">
        <v>11</v>
      </c>
      <c r="S430">
        <v>3.2</v>
      </c>
      <c r="T430" s="1" t="s">
        <v>46</v>
      </c>
      <c r="U430" s="1" t="s">
        <v>149</v>
      </c>
      <c r="V430" s="1" t="s">
        <v>130</v>
      </c>
      <c r="W430" s="1" t="s">
        <v>131</v>
      </c>
      <c r="X430">
        <v>301247.13</v>
      </c>
      <c r="Y430" s="1" t="s">
        <v>2079</v>
      </c>
      <c r="Z430" s="1" t="s">
        <v>2083</v>
      </c>
      <c r="AO430" t="str">
        <v>P00508</v>
      </c>
    </row>
    <row r="431" spans="1:41" x14ac:dyDescent="0.35">
      <c r="A431" s="1" t="s">
        <v>1310</v>
      </c>
      <c r="B431" s="1" t="s">
        <v>787</v>
      </c>
      <c r="C431">
        <v>70</v>
      </c>
      <c r="D431" s="1" t="s">
        <v>119</v>
      </c>
      <c r="E431" s="1" t="s">
        <v>26</v>
      </c>
      <c r="F431" s="1" t="s">
        <v>87</v>
      </c>
      <c r="G431" s="2">
        <v>46132</v>
      </c>
      <c r="H431" s="2">
        <v>46135</v>
      </c>
      <c r="I431" s="1" t="s">
        <v>277</v>
      </c>
      <c r="J431" s="1" t="s">
        <v>152</v>
      </c>
      <c r="K431" s="1" t="s">
        <v>148</v>
      </c>
      <c r="L431" s="1" t="s">
        <v>44</v>
      </c>
      <c r="M431" s="1" t="s">
        <v>2086</v>
      </c>
      <c r="N431">
        <v>304433.26</v>
      </c>
      <c r="O431">
        <v>8736.6200000000008</v>
      </c>
      <c r="P431">
        <v>119555.7</v>
      </c>
      <c r="Q431">
        <v>3</v>
      </c>
      <c r="R431">
        <v>114</v>
      </c>
      <c r="S431">
        <v>5</v>
      </c>
      <c r="T431" s="1" t="s">
        <v>34</v>
      </c>
      <c r="U431" s="1" t="s">
        <v>101</v>
      </c>
      <c r="V431" s="1" t="s">
        <v>75</v>
      </c>
      <c r="W431" s="1" t="s">
        <v>12</v>
      </c>
      <c r="X431">
        <v>432725.58</v>
      </c>
      <c r="Y431" s="1" t="s">
        <v>2088</v>
      </c>
      <c r="Z431" s="1" t="s">
        <v>2080</v>
      </c>
      <c r="AO431" t="str">
        <v>P00509</v>
      </c>
    </row>
    <row r="432" spans="1:41" x14ac:dyDescent="0.35">
      <c r="A432" s="1" t="s">
        <v>1312</v>
      </c>
      <c r="B432" s="1" t="s">
        <v>688</v>
      </c>
      <c r="C432">
        <v>54</v>
      </c>
      <c r="D432" s="1" t="s">
        <v>25</v>
      </c>
      <c r="E432" s="1" t="s">
        <v>263</v>
      </c>
      <c r="F432" s="1" t="s">
        <v>135</v>
      </c>
      <c r="G432" s="2">
        <v>46223</v>
      </c>
      <c r="H432" s="2">
        <v>46225</v>
      </c>
      <c r="I432" s="1" t="s">
        <v>257</v>
      </c>
      <c r="J432" s="1" t="s">
        <v>2081</v>
      </c>
      <c r="K432" s="1" t="s">
        <v>148</v>
      </c>
      <c r="L432" s="1" t="s">
        <v>44</v>
      </c>
      <c r="M432" s="1" t="s">
        <v>2086</v>
      </c>
      <c r="N432">
        <v>337525.59</v>
      </c>
      <c r="O432">
        <v>60454.87</v>
      </c>
      <c r="P432">
        <v>76721.05</v>
      </c>
      <c r="Q432">
        <v>2</v>
      </c>
      <c r="R432">
        <v>160</v>
      </c>
      <c r="S432">
        <v>3.3</v>
      </c>
      <c r="T432" s="1" t="s">
        <v>46</v>
      </c>
      <c r="U432" s="1" t="s">
        <v>101</v>
      </c>
      <c r="V432" s="1" t="s">
        <v>75</v>
      </c>
      <c r="W432" s="1" t="s">
        <v>131</v>
      </c>
      <c r="X432">
        <v>474701.51</v>
      </c>
      <c r="Y432" s="1" t="s">
        <v>2079</v>
      </c>
      <c r="Z432" s="1" t="s">
        <v>2080</v>
      </c>
      <c r="AO432" t="str">
        <v>P00510</v>
      </c>
    </row>
    <row r="433" spans="1:41" x14ac:dyDescent="0.35">
      <c r="A433" s="1" t="s">
        <v>1313</v>
      </c>
      <c r="B433" s="1" t="s">
        <v>1021</v>
      </c>
      <c r="C433">
        <v>50</v>
      </c>
      <c r="D433" s="1" t="s">
        <v>119</v>
      </c>
      <c r="E433" s="1" t="s">
        <v>263</v>
      </c>
      <c r="F433" s="1" t="s">
        <v>193</v>
      </c>
      <c r="G433" s="2">
        <v>45649</v>
      </c>
      <c r="H433" s="2">
        <v>45651</v>
      </c>
      <c r="I433" s="1" t="s">
        <v>127</v>
      </c>
      <c r="J433" s="1" t="s">
        <v>2081</v>
      </c>
      <c r="K433" s="1" t="s">
        <v>148</v>
      </c>
      <c r="L433" s="1" t="s">
        <v>32</v>
      </c>
      <c r="M433" s="1" t="s">
        <v>2085</v>
      </c>
      <c r="N433">
        <v>350637.93</v>
      </c>
      <c r="O433">
        <v>24431.98</v>
      </c>
      <c r="P433">
        <v>76955.16</v>
      </c>
      <c r="Q433">
        <v>2</v>
      </c>
      <c r="R433">
        <v>203</v>
      </c>
      <c r="S433">
        <v>2.5</v>
      </c>
      <c r="T433" s="1" t="s">
        <v>46</v>
      </c>
      <c r="U433" s="1" t="s">
        <v>101</v>
      </c>
      <c r="V433" s="1" t="s">
        <v>102</v>
      </c>
      <c r="W433" s="1" t="s">
        <v>83</v>
      </c>
      <c r="X433">
        <v>452025.06999999995</v>
      </c>
      <c r="Y433" s="1" t="s">
        <v>2079</v>
      </c>
      <c r="Z433" s="1" t="s">
        <v>2080</v>
      </c>
      <c r="AO433" t="str">
        <v>P00511</v>
      </c>
    </row>
    <row r="434" spans="1:41" x14ac:dyDescent="0.35">
      <c r="A434" s="1" t="s">
        <v>1315</v>
      </c>
      <c r="B434" s="1" t="s">
        <v>761</v>
      </c>
      <c r="C434">
        <v>39</v>
      </c>
      <c r="D434" s="1" t="s">
        <v>119</v>
      </c>
      <c r="E434" s="1" t="s">
        <v>177</v>
      </c>
      <c r="F434" s="1" t="s">
        <v>135</v>
      </c>
      <c r="G434" s="2">
        <v>45301</v>
      </c>
      <c r="H434" s="2">
        <v>45302</v>
      </c>
      <c r="I434" s="1" t="s">
        <v>273</v>
      </c>
      <c r="J434" s="1" t="s">
        <v>90</v>
      </c>
      <c r="K434" s="1" t="s">
        <v>55</v>
      </c>
      <c r="L434" s="1" t="s">
        <v>66</v>
      </c>
      <c r="M434" s="1" t="s">
        <v>2089</v>
      </c>
      <c r="N434">
        <v>263065.77</v>
      </c>
      <c r="O434">
        <v>16885.82</v>
      </c>
      <c r="P434">
        <v>85566.080000000002</v>
      </c>
      <c r="Q434">
        <v>1</v>
      </c>
      <c r="R434">
        <v>126</v>
      </c>
      <c r="S434">
        <v>3.8</v>
      </c>
      <c r="T434" s="1" t="s">
        <v>46</v>
      </c>
      <c r="U434" s="1" t="s">
        <v>35</v>
      </c>
      <c r="V434" s="1" t="s">
        <v>130</v>
      </c>
      <c r="W434" s="1" t="s">
        <v>131</v>
      </c>
      <c r="X434">
        <v>365517.67000000004</v>
      </c>
      <c r="Y434" s="1" t="s">
        <v>2079</v>
      </c>
      <c r="Z434" s="1" t="s">
        <v>2080</v>
      </c>
      <c r="AO434" t="str">
        <v>P00513</v>
      </c>
    </row>
    <row r="435" spans="1:41" x14ac:dyDescent="0.35">
      <c r="A435" s="1" t="s">
        <v>1316</v>
      </c>
      <c r="B435" s="1" t="s">
        <v>475</v>
      </c>
      <c r="C435">
        <v>14</v>
      </c>
      <c r="D435" s="1" t="s">
        <v>119</v>
      </c>
      <c r="E435" s="1" t="s">
        <v>177</v>
      </c>
      <c r="F435" s="1" t="s">
        <v>227</v>
      </c>
      <c r="G435" s="2">
        <v>46267</v>
      </c>
      <c r="H435" s="2">
        <v>46268</v>
      </c>
      <c r="I435" s="1" t="s">
        <v>257</v>
      </c>
      <c r="J435" s="1" t="s">
        <v>2081</v>
      </c>
      <c r="K435" s="1" t="s">
        <v>148</v>
      </c>
      <c r="L435" s="1" t="s">
        <v>66</v>
      </c>
      <c r="M435" s="1" t="s">
        <v>57</v>
      </c>
      <c r="N435">
        <v>259341.3</v>
      </c>
      <c r="O435">
        <v>0</v>
      </c>
      <c r="P435">
        <v>75379.12</v>
      </c>
      <c r="Q435">
        <v>1</v>
      </c>
      <c r="R435">
        <v>83</v>
      </c>
      <c r="S435">
        <v>5</v>
      </c>
      <c r="T435" s="1" t="s">
        <v>46</v>
      </c>
      <c r="U435" s="1" t="s">
        <v>35</v>
      </c>
      <c r="V435" s="1" t="s">
        <v>102</v>
      </c>
      <c r="W435" s="1" t="s">
        <v>131</v>
      </c>
      <c r="X435">
        <v>334720.42</v>
      </c>
      <c r="Y435" s="1" t="s">
        <v>2093</v>
      </c>
      <c r="Z435" s="1" t="s">
        <v>2080</v>
      </c>
      <c r="AO435" t="str">
        <v>P00514</v>
      </c>
    </row>
    <row r="436" spans="1:41" x14ac:dyDescent="0.35">
      <c r="A436" s="1" t="s">
        <v>1318</v>
      </c>
      <c r="B436" s="1" t="s">
        <v>1018</v>
      </c>
      <c r="C436">
        <v>39</v>
      </c>
      <c r="D436" s="1" t="s">
        <v>119</v>
      </c>
      <c r="E436" s="1" t="s">
        <v>177</v>
      </c>
      <c r="F436" s="1" t="s">
        <v>120</v>
      </c>
      <c r="G436" s="2">
        <v>46053</v>
      </c>
      <c r="H436" s="2">
        <v>46068</v>
      </c>
      <c r="I436" s="1" t="s">
        <v>273</v>
      </c>
      <c r="J436" s="1" t="s">
        <v>115</v>
      </c>
      <c r="K436" s="1" t="s">
        <v>148</v>
      </c>
      <c r="L436" s="1" t="s">
        <v>32</v>
      </c>
      <c r="M436" s="1" t="s">
        <v>2086</v>
      </c>
      <c r="N436">
        <v>205112.82</v>
      </c>
      <c r="O436">
        <v>54889.54</v>
      </c>
      <c r="P436">
        <v>96095.18</v>
      </c>
      <c r="Q436">
        <v>15</v>
      </c>
      <c r="R436">
        <v>0</v>
      </c>
      <c r="S436">
        <v>1.4</v>
      </c>
      <c r="T436" s="1" t="s">
        <v>46</v>
      </c>
      <c r="U436" s="1" t="s">
        <v>35</v>
      </c>
      <c r="V436" s="1" t="s">
        <v>102</v>
      </c>
      <c r="W436" s="1" t="s">
        <v>131</v>
      </c>
      <c r="X436">
        <v>356097.54000000004</v>
      </c>
      <c r="Y436" s="1" t="s">
        <v>2079</v>
      </c>
      <c r="Z436" s="1" t="s">
        <v>2083</v>
      </c>
      <c r="AO436" t="str">
        <v>P00515</v>
      </c>
    </row>
    <row r="437" spans="1:41" x14ac:dyDescent="0.35">
      <c r="A437" s="1" t="s">
        <v>1320</v>
      </c>
      <c r="B437" s="1" t="s">
        <v>660</v>
      </c>
      <c r="C437">
        <v>55</v>
      </c>
      <c r="D437" s="1" t="s">
        <v>25</v>
      </c>
      <c r="E437" s="1" t="s">
        <v>219</v>
      </c>
      <c r="F437" s="1" t="s">
        <v>108</v>
      </c>
      <c r="G437" s="2">
        <v>45299</v>
      </c>
      <c r="H437" s="2">
        <v>45301</v>
      </c>
      <c r="I437" s="1" t="s">
        <v>273</v>
      </c>
      <c r="J437" s="1" t="s">
        <v>141</v>
      </c>
      <c r="K437" s="1" t="s">
        <v>81</v>
      </c>
      <c r="L437" s="1" t="s">
        <v>44</v>
      </c>
      <c r="M437" s="1" t="s">
        <v>2086</v>
      </c>
      <c r="N437">
        <v>289562.3</v>
      </c>
      <c r="O437">
        <v>56744.29</v>
      </c>
      <c r="P437">
        <v>9009.07</v>
      </c>
      <c r="Q437">
        <v>2</v>
      </c>
      <c r="R437">
        <v>0</v>
      </c>
      <c r="S437">
        <v>4.8</v>
      </c>
      <c r="T437" s="1" t="s">
        <v>34</v>
      </c>
      <c r="U437" s="1" t="s">
        <v>149</v>
      </c>
      <c r="V437" s="1" t="s">
        <v>130</v>
      </c>
      <c r="W437" s="1" t="s">
        <v>83</v>
      </c>
      <c r="X437">
        <v>355315.66</v>
      </c>
      <c r="Y437" s="1" t="s">
        <v>2079</v>
      </c>
      <c r="Z437" s="1" t="s">
        <v>2083</v>
      </c>
      <c r="AO437" t="str">
        <v>P00517</v>
      </c>
    </row>
    <row r="438" spans="1:41" x14ac:dyDescent="0.35">
      <c r="A438" s="1" t="s">
        <v>1322</v>
      </c>
      <c r="B438" s="1" t="s">
        <v>1323</v>
      </c>
      <c r="C438">
        <v>0</v>
      </c>
      <c r="D438" s="1" t="s">
        <v>25</v>
      </c>
      <c r="E438" s="1" t="s">
        <v>157</v>
      </c>
      <c r="F438" s="1" t="s">
        <v>227</v>
      </c>
      <c r="G438" s="2">
        <v>45466</v>
      </c>
      <c r="H438" s="2">
        <v>45467</v>
      </c>
      <c r="I438" s="1" t="s">
        <v>257</v>
      </c>
      <c r="J438" s="1" t="s">
        <v>141</v>
      </c>
      <c r="K438" s="1" t="s">
        <v>174</v>
      </c>
      <c r="L438" s="1" t="s">
        <v>44</v>
      </c>
      <c r="M438" s="1" t="s">
        <v>57</v>
      </c>
      <c r="N438">
        <v>240308.92</v>
      </c>
      <c r="O438">
        <v>49829.39</v>
      </c>
      <c r="P438">
        <v>41338.29</v>
      </c>
      <c r="Q438">
        <v>1</v>
      </c>
      <c r="R438">
        <v>60</v>
      </c>
      <c r="S438">
        <v>3.5</v>
      </c>
      <c r="T438" s="1" t="s">
        <v>34</v>
      </c>
      <c r="U438" s="1" t="s">
        <v>95</v>
      </c>
      <c r="V438" s="1" t="s">
        <v>130</v>
      </c>
      <c r="W438" s="1" t="s">
        <v>12</v>
      </c>
      <c r="X438">
        <v>331476.59999999998</v>
      </c>
      <c r="Y438" s="1" t="s">
        <v>2093</v>
      </c>
      <c r="Z438" s="1" t="s">
        <v>2080</v>
      </c>
      <c r="AO438" t="str">
        <v>P00519</v>
      </c>
    </row>
    <row r="439" spans="1:41" x14ac:dyDescent="0.35">
      <c r="A439" s="1" t="s">
        <v>1324</v>
      </c>
      <c r="B439" s="1" t="s">
        <v>377</v>
      </c>
      <c r="C439">
        <v>13</v>
      </c>
      <c r="D439" s="1" t="s">
        <v>119</v>
      </c>
      <c r="E439" s="1" t="s">
        <v>86</v>
      </c>
      <c r="F439" s="1" t="s">
        <v>193</v>
      </c>
      <c r="G439" s="2">
        <v>46247</v>
      </c>
      <c r="H439" s="2">
        <v>46249</v>
      </c>
      <c r="I439" s="1" t="s">
        <v>257</v>
      </c>
      <c r="J439" s="1" t="s">
        <v>141</v>
      </c>
      <c r="K439" s="1" t="s">
        <v>122</v>
      </c>
      <c r="L439" s="1" t="s">
        <v>44</v>
      </c>
      <c r="M439" s="1" t="s">
        <v>2086</v>
      </c>
      <c r="N439">
        <v>119944.71</v>
      </c>
      <c r="O439">
        <v>43032</v>
      </c>
      <c r="P439">
        <v>54650.36</v>
      </c>
      <c r="Q439">
        <v>2</v>
      </c>
      <c r="R439">
        <v>107</v>
      </c>
      <c r="S439">
        <v>2.4</v>
      </c>
      <c r="T439" s="1" t="s">
        <v>34</v>
      </c>
      <c r="U439" s="1" t="s">
        <v>35</v>
      </c>
      <c r="V439" s="1" t="s">
        <v>75</v>
      </c>
      <c r="W439" s="1" t="s">
        <v>83</v>
      </c>
      <c r="X439">
        <v>217627.07</v>
      </c>
      <c r="Y439" s="1" t="s">
        <v>2093</v>
      </c>
      <c r="Z439" s="1" t="s">
        <v>2080</v>
      </c>
      <c r="AO439" t="str">
        <v>P00520</v>
      </c>
    </row>
    <row r="440" spans="1:41" x14ac:dyDescent="0.35">
      <c r="A440" s="1" t="s">
        <v>1326</v>
      </c>
      <c r="B440" s="1" t="s">
        <v>574</v>
      </c>
      <c r="C440">
        <v>0</v>
      </c>
      <c r="D440" s="1" t="s">
        <v>25</v>
      </c>
      <c r="E440" s="1" t="s">
        <v>86</v>
      </c>
      <c r="F440" s="1" t="s">
        <v>145</v>
      </c>
      <c r="G440" s="2">
        <v>45795</v>
      </c>
      <c r="H440" s="2">
        <v>45797</v>
      </c>
      <c r="I440" s="1" t="s">
        <v>257</v>
      </c>
      <c r="J440" s="1" t="s">
        <v>141</v>
      </c>
      <c r="K440" s="1" t="s">
        <v>163</v>
      </c>
      <c r="L440" s="1" t="s">
        <v>44</v>
      </c>
      <c r="M440" s="1" t="s">
        <v>57</v>
      </c>
      <c r="N440">
        <v>244986.73</v>
      </c>
      <c r="O440">
        <v>65721.440000000002</v>
      </c>
      <c r="P440">
        <v>776.04</v>
      </c>
      <c r="Q440">
        <v>2</v>
      </c>
      <c r="R440">
        <v>51</v>
      </c>
      <c r="S440">
        <v>4.0999999999999996</v>
      </c>
      <c r="T440" s="1" t="s">
        <v>46</v>
      </c>
      <c r="U440" s="1" t="s">
        <v>95</v>
      </c>
      <c r="V440" s="1" t="s">
        <v>102</v>
      </c>
      <c r="W440" s="1" t="s">
        <v>12</v>
      </c>
      <c r="X440">
        <v>311484.21000000002</v>
      </c>
      <c r="Y440" s="1" t="s">
        <v>2093</v>
      </c>
      <c r="Z440" s="1" t="s">
        <v>2091</v>
      </c>
      <c r="AO440" t="str">
        <v>P00521</v>
      </c>
    </row>
    <row r="441" spans="1:41" x14ac:dyDescent="0.35">
      <c r="A441" s="1" t="s">
        <v>1334</v>
      </c>
      <c r="B441" s="1" t="s">
        <v>350</v>
      </c>
      <c r="C441">
        <v>4</v>
      </c>
      <c r="D441" s="1" t="s">
        <v>25</v>
      </c>
      <c r="E441" s="1" t="s">
        <v>263</v>
      </c>
      <c r="F441" s="1" t="s">
        <v>227</v>
      </c>
      <c r="G441" s="2">
        <v>45579</v>
      </c>
      <c r="H441" s="2">
        <v>45580</v>
      </c>
      <c r="I441" s="1" t="s">
        <v>257</v>
      </c>
      <c r="J441" s="1" t="s">
        <v>141</v>
      </c>
      <c r="K441" s="1" t="s">
        <v>122</v>
      </c>
      <c r="L441" s="1" t="s">
        <v>44</v>
      </c>
      <c r="M441" s="1" t="s">
        <v>2092</v>
      </c>
      <c r="N441">
        <v>286015.93</v>
      </c>
      <c r="O441">
        <v>0</v>
      </c>
      <c r="P441">
        <v>8146.69</v>
      </c>
      <c r="Q441">
        <v>1</v>
      </c>
      <c r="R441">
        <v>0</v>
      </c>
      <c r="S441">
        <v>3.6</v>
      </c>
      <c r="T441" s="1" t="s">
        <v>46</v>
      </c>
      <c r="U441" s="1" t="s">
        <v>35</v>
      </c>
      <c r="V441" s="1" t="s">
        <v>102</v>
      </c>
      <c r="W441" s="1" t="s">
        <v>59</v>
      </c>
      <c r="X441">
        <v>294162.62</v>
      </c>
      <c r="Y441" s="1" t="s">
        <v>2093</v>
      </c>
      <c r="Z441" s="1" t="s">
        <v>2083</v>
      </c>
      <c r="AO441" t="str">
        <v>P00522</v>
      </c>
    </row>
    <row r="442" spans="1:41" x14ac:dyDescent="0.35">
      <c r="A442" s="1" t="s">
        <v>1335</v>
      </c>
      <c r="B442" s="1" t="s">
        <v>252</v>
      </c>
      <c r="C442">
        <v>35</v>
      </c>
      <c r="D442" s="1" t="s">
        <v>119</v>
      </c>
      <c r="E442" s="1" t="s">
        <v>26</v>
      </c>
      <c r="F442" s="1" t="s">
        <v>193</v>
      </c>
      <c r="G442" s="2">
        <v>45441</v>
      </c>
      <c r="H442" s="2">
        <v>45443</v>
      </c>
      <c r="I442" s="1" t="s">
        <v>159</v>
      </c>
      <c r="J442" s="1" t="s">
        <v>87</v>
      </c>
      <c r="K442" s="1" t="s">
        <v>122</v>
      </c>
      <c r="L442" s="1" t="s">
        <v>44</v>
      </c>
      <c r="M442" s="1" t="s">
        <v>2086</v>
      </c>
      <c r="N442">
        <v>74039.12</v>
      </c>
      <c r="O442">
        <v>694.16</v>
      </c>
      <c r="P442">
        <v>58931.1</v>
      </c>
      <c r="Q442">
        <v>2</v>
      </c>
      <c r="R442">
        <v>53</v>
      </c>
      <c r="S442">
        <v>4.0999999999999996</v>
      </c>
      <c r="T442" s="1" t="s">
        <v>34</v>
      </c>
      <c r="U442" s="1" t="s">
        <v>95</v>
      </c>
      <c r="V442" s="1" t="s">
        <v>130</v>
      </c>
      <c r="W442" s="1" t="s">
        <v>59</v>
      </c>
      <c r="X442">
        <v>133664.38</v>
      </c>
      <c r="Y442" s="1" t="s">
        <v>2082</v>
      </c>
      <c r="Z442" s="1" t="s">
        <v>2091</v>
      </c>
      <c r="AO442" t="str">
        <v>P00523</v>
      </c>
    </row>
    <row r="443" spans="1:41" x14ac:dyDescent="0.35">
      <c r="A443" s="1" t="s">
        <v>1337</v>
      </c>
      <c r="B443" s="1" t="s">
        <v>309</v>
      </c>
      <c r="C443">
        <v>46</v>
      </c>
      <c r="D443" s="1" t="s">
        <v>119</v>
      </c>
      <c r="E443" s="1" t="s">
        <v>219</v>
      </c>
      <c r="F443" s="1" t="s">
        <v>227</v>
      </c>
      <c r="G443" s="2">
        <v>45664</v>
      </c>
      <c r="H443" s="2">
        <v>45665</v>
      </c>
      <c r="I443" s="1" t="s">
        <v>273</v>
      </c>
      <c r="J443" s="1" t="s">
        <v>30</v>
      </c>
      <c r="K443" s="1" t="s">
        <v>122</v>
      </c>
      <c r="L443" s="1" t="s">
        <v>44</v>
      </c>
      <c r="M443" s="1" t="s">
        <v>2078</v>
      </c>
      <c r="N443">
        <v>402458.93</v>
      </c>
      <c r="O443">
        <v>44654.15</v>
      </c>
      <c r="P443">
        <v>32627.59</v>
      </c>
      <c r="Q443">
        <v>1</v>
      </c>
      <c r="R443">
        <v>114</v>
      </c>
      <c r="S443">
        <v>3.4</v>
      </c>
      <c r="T443" s="1" t="s">
        <v>46</v>
      </c>
      <c r="U443" s="1" t="s">
        <v>95</v>
      </c>
      <c r="V443" s="1" t="s">
        <v>130</v>
      </c>
      <c r="W443" s="1" t="s">
        <v>83</v>
      </c>
      <c r="X443">
        <v>479740.67000000004</v>
      </c>
      <c r="Y443" s="1" t="s">
        <v>2079</v>
      </c>
      <c r="Z443" s="1" t="s">
        <v>2080</v>
      </c>
      <c r="AO443" t="str">
        <v>P00524</v>
      </c>
    </row>
    <row r="444" spans="1:41" x14ac:dyDescent="0.35">
      <c r="A444" s="1" t="s">
        <v>1339</v>
      </c>
      <c r="B444" s="1" t="s">
        <v>406</v>
      </c>
      <c r="C444">
        <v>35</v>
      </c>
      <c r="D444" s="1" t="s">
        <v>25</v>
      </c>
      <c r="E444" s="1" t="s">
        <v>2084</v>
      </c>
      <c r="F444" s="1" t="s">
        <v>63</v>
      </c>
      <c r="G444" s="2">
        <v>45795</v>
      </c>
      <c r="H444" s="2">
        <v>45798</v>
      </c>
      <c r="I444" s="1" t="s">
        <v>127</v>
      </c>
      <c r="J444" s="1" t="s">
        <v>87</v>
      </c>
      <c r="K444" s="1" t="s">
        <v>148</v>
      </c>
      <c r="L444" s="1" t="s">
        <v>44</v>
      </c>
      <c r="M444" s="1" t="s">
        <v>57</v>
      </c>
      <c r="N444">
        <v>196993.07</v>
      </c>
      <c r="O444">
        <v>35302.33</v>
      </c>
      <c r="P444">
        <v>15199.24</v>
      </c>
      <c r="Q444">
        <v>3</v>
      </c>
      <c r="R444">
        <v>18</v>
      </c>
      <c r="S444">
        <v>1.9</v>
      </c>
      <c r="T444" s="1" t="s">
        <v>46</v>
      </c>
      <c r="U444" s="1" t="s">
        <v>149</v>
      </c>
      <c r="V444" s="1" t="s">
        <v>102</v>
      </c>
      <c r="W444" s="1" t="s">
        <v>83</v>
      </c>
      <c r="X444">
        <v>247494.64</v>
      </c>
      <c r="Y444" s="1" t="s">
        <v>2082</v>
      </c>
      <c r="Z444" s="1" t="s">
        <v>2083</v>
      </c>
      <c r="AO444" t="str">
        <v>P00526</v>
      </c>
    </row>
    <row r="445" spans="1:41" x14ac:dyDescent="0.35">
      <c r="A445" s="1" t="s">
        <v>1340</v>
      </c>
      <c r="B445" s="1" t="s">
        <v>580</v>
      </c>
      <c r="C445">
        <v>16</v>
      </c>
      <c r="D445" s="1" t="s">
        <v>119</v>
      </c>
      <c r="E445" s="1" t="s">
        <v>86</v>
      </c>
      <c r="F445" s="1" t="s">
        <v>120</v>
      </c>
      <c r="G445" s="2">
        <v>45507</v>
      </c>
      <c r="H445" s="2">
        <v>45508</v>
      </c>
      <c r="I445" s="1" t="s">
        <v>277</v>
      </c>
      <c r="J445" s="1" t="s">
        <v>141</v>
      </c>
      <c r="K445" s="1" t="s">
        <v>55</v>
      </c>
      <c r="L445" s="1" t="s">
        <v>32</v>
      </c>
      <c r="M445" s="1" t="s">
        <v>57</v>
      </c>
      <c r="N445">
        <v>242324.75</v>
      </c>
      <c r="O445">
        <v>7680.31</v>
      </c>
      <c r="P445">
        <v>60408.43</v>
      </c>
      <c r="Q445">
        <v>1</v>
      </c>
      <c r="R445">
        <v>97</v>
      </c>
      <c r="S445">
        <v>1.1000000000000001</v>
      </c>
      <c r="T445" s="1" t="s">
        <v>34</v>
      </c>
      <c r="U445" s="1" t="s">
        <v>101</v>
      </c>
      <c r="V445" s="1" t="s">
        <v>130</v>
      </c>
      <c r="W445" s="1" t="s">
        <v>83</v>
      </c>
      <c r="X445">
        <v>310413.49</v>
      </c>
      <c r="Y445" s="1" t="s">
        <v>2093</v>
      </c>
      <c r="Z445" s="1" t="s">
        <v>2080</v>
      </c>
      <c r="AO445" t="str">
        <v>P00527</v>
      </c>
    </row>
    <row r="446" spans="1:41" x14ac:dyDescent="0.35">
      <c r="A446" s="1" t="s">
        <v>1342</v>
      </c>
      <c r="B446" s="1" t="s">
        <v>1343</v>
      </c>
      <c r="C446">
        <v>60</v>
      </c>
      <c r="D446" s="1" t="s">
        <v>119</v>
      </c>
      <c r="E446" s="1" t="s">
        <v>51</v>
      </c>
      <c r="F446" s="1" t="s">
        <v>135</v>
      </c>
      <c r="G446" s="2">
        <v>45838</v>
      </c>
      <c r="H446" s="2">
        <v>45842</v>
      </c>
      <c r="I446" s="1" t="s">
        <v>159</v>
      </c>
      <c r="J446" s="1" t="s">
        <v>115</v>
      </c>
      <c r="K446" s="1" t="s">
        <v>174</v>
      </c>
      <c r="L446" s="1" t="s">
        <v>32</v>
      </c>
      <c r="M446" s="1" t="s">
        <v>2087</v>
      </c>
      <c r="N446">
        <v>80859.23</v>
      </c>
      <c r="O446">
        <v>40504.79</v>
      </c>
      <c r="P446">
        <v>19305.05</v>
      </c>
      <c r="Q446">
        <v>4</v>
      </c>
      <c r="R446">
        <v>102</v>
      </c>
      <c r="S446">
        <v>2.1</v>
      </c>
      <c r="T446" s="1" t="s">
        <v>34</v>
      </c>
      <c r="U446" s="1" t="s">
        <v>35</v>
      </c>
      <c r="V446" s="1" t="s">
        <v>102</v>
      </c>
      <c r="W446" s="1" t="s">
        <v>83</v>
      </c>
      <c r="X446">
        <v>140669.06999999998</v>
      </c>
      <c r="Y446" s="1" t="s">
        <v>2088</v>
      </c>
      <c r="Z446" s="1" t="s">
        <v>2080</v>
      </c>
      <c r="AO446" t="str">
        <v>P00528</v>
      </c>
    </row>
    <row r="447" spans="1:41" x14ac:dyDescent="0.35">
      <c r="A447" s="1" t="s">
        <v>1345</v>
      </c>
      <c r="B447" s="1" t="s">
        <v>736</v>
      </c>
      <c r="C447">
        <v>34</v>
      </c>
      <c r="D447" s="1" t="s">
        <v>119</v>
      </c>
      <c r="E447" s="1" t="s">
        <v>192</v>
      </c>
      <c r="F447" s="1" t="s">
        <v>193</v>
      </c>
      <c r="G447" s="2">
        <v>46101</v>
      </c>
      <c r="H447" s="2">
        <v>46102</v>
      </c>
      <c r="I447" s="1" t="s">
        <v>29</v>
      </c>
      <c r="J447" s="1" t="s">
        <v>87</v>
      </c>
      <c r="K447" s="1" t="s">
        <v>163</v>
      </c>
      <c r="L447" s="1" t="s">
        <v>66</v>
      </c>
      <c r="M447" s="1" t="s">
        <v>2089</v>
      </c>
      <c r="N447">
        <v>202677.95</v>
      </c>
      <c r="O447">
        <v>20058.009999999998</v>
      </c>
      <c r="P447">
        <v>9479.08</v>
      </c>
      <c r="Q447">
        <v>1</v>
      </c>
      <c r="R447">
        <v>65</v>
      </c>
      <c r="S447">
        <v>4.0999999999999996</v>
      </c>
      <c r="T447" s="1" t="s">
        <v>46</v>
      </c>
      <c r="U447" s="1" t="s">
        <v>95</v>
      </c>
      <c r="V447" s="1" t="s">
        <v>130</v>
      </c>
      <c r="W447" s="1" t="s">
        <v>131</v>
      </c>
      <c r="X447">
        <v>232215.04000000001</v>
      </c>
      <c r="Y447" s="1" t="s">
        <v>2082</v>
      </c>
      <c r="Z447" s="1" t="s">
        <v>2080</v>
      </c>
      <c r="AO447" t="str">
        <v>P00529</v>
      </c>
    </row>
    <row r="448" spans="1:41" x14ac:dyDescent="0.35">
      <c r="A448" s="1" t="s">
        <v>1347</v>
      </c>
      <c r="B448" s="1" t="s">
        <v>688</v>
      </c>
      <c r="C448">
        <v>47</v>
      </c>
      <c r="D448" s="1" t="s">
        <v>25</v>
      </c>
      <c r="E448" s="1" t="s">
        <v>26</v>
      </c>
      <c r="F448" s="1" t="s">
        <v>193</v>
      </c>
      <c r="G448" s="2">
        <v>45867</v>
      </c>
      <c r="H448" s="2">
        <v>45870</v>
      </c>
      <c r="I448" s="1" t="s">
        <v>29</v>
      </c>
      <c r="J448" s="1" t="s">
        <v>30</v>
      </c>
      <c r="K448" s="1" t="s">
        <v>163</v>
      </c>
      <c r="L448" s="1" t="s">
        <v>44</v>
      </c>
      <c r="M448" s="1" t="s">
        <v>2078</v>
      </c>
      <c r="N448">
        <v>126183.87</v>
      </c>
      <c r="O448">
        <v>59292.95</v>
      </c>
      <c r="P448">
        <v>9714.7999999999993</v>
      </c>
      <c r="Q448">
        <v>3</v>
      </c>
      <c r="R448">
        <v>131</v>
      </c>
      <c r="S448">
        <v>5</v>
      </c>
      <c r="T448" s="1" t="s">
        <v>46</v>
      </c>
      <c r="U448" s="1" t="s">
        <v>101</v>
      </c>
      <c r="V448" s="1" t="s">
        <v>130</v>
      </c>
      <c r="W448" s="1" t="s">
        <v>131</v>
      </c>
      <c r="X448">
        <v>195191.62</v>
      </c>
      <c r="Y448" s="1" t="s">
        <v>2079</v>
      </c>
      <c r="Z448" s="1" t="s">
        <v>2080</v>
      </c>
      <c r="AO448" t="str">
        <v>P00530</v>
      </c>
    </row>
    <row r="449" spans="1:41" x14ac:dyDescent="0.35">
      <c r="A449" s="1" t="s">
        <v>1349</v>
      </c>
      <c r="B449" s="1" t="s">
        <v>1350</v>
      </c>
      <c r="C449">
        <v>38</v>
      </c>
      <c r="D449" s="1" t="s">
        <v>25</v>
      </c>
      <c r="E449" s="1" t="s">
        <v>192</v>
      </c>
      <c r="F449" s="1" t="s">
        <v>108</v>
      </c>
      <c r="G449" s="2">
        <v>45566</v>
      </c>
      <c r="H449" s="2">
        <v>45570</v>
      </c>
      <c r="I449" s="1" t="s">
        <v>53</v>
      </c>
      <c r="J449" s="1" t="s">
        <v>54</v>
      </c>
      <c r="K449" s="1" t="s">
        <v>31</v>
      </c>
      <c r="L449" s="1" t="s">
        <v>66</v>
      </c>
      <c r="M449" s="1" t="s">
        <v>2089</v>
      </c>
      <c r="N449">
        <v>146038.41</v>
      </c>
      <c r="O449">
        <v>55902.19</v>
      </c>
      <c r="P449">
        <v>2310.75</v>
      </c>
      <c r="Q449">
        <v>4</v>
      </c>
      <c r="R449">
        <v>22</v>
      </c>
      <c r="S449">
        <v>3.2</v>
      </c>
      <c r="T449" s="1" t="s">
        <v>34</v>
      </c>
      <c r="U449" s="1" t="s">
        <v>149</v>
      </c>
      <c r="V449" s="1" t="s">
        <v>75</v>
      </c>
      <c r="W449" s="1" t="s">
        <v>83</v>
      </c>
      <c r="X449">
        <v>204251.35</v>
      </c>
      <c r="Y449" s="1" t="s">
        <v>2079</v>
      </c>
      <c r="Z449" s="1" t="s">
        <v>2083</v>
      </c>
      <c r="AO449" t="str">
        <v>P00531</v>
      </c>
    </row>
    <row r="450" spans="1:41" x14ac:dyDescent="0.35">
      <c r="A450" s="1" t="s">
        <v>1352</v>
      </c>
      <c r="B450" s="1" t="s">
        <v>1005</v>
      </c>
      <c r="C450">
        <v>51</v>
      </c>
      <c r="D450" s="1" t="s">
        <v>25</v>
      </c>
      <c r="E450" s="1" t="s">
        <v>219</v>
      </c>
      <c r="F450" s="1" t="s">
        <v>227</v>
      </c>
      <c r="G450" s="2">
        <v>45956</v>
      </c>
      <c r="H450" s="2">
        <v>45963</v>
      </c>
      <c r="I450" s="1" t="s">
        <v>221</v>
      </c>
      <c r="J450" s="1" t="s">
        <v>87</v>
      </c>
      <c r="K450" s="1" t="s">
        <v>174</v>
      </c>
      <c r="L450" s="1" t="s">
        <v>66</v>
      </c>
      <c r="M450" s="1" t="s">
        <v>2086</v>
      </c>
      <c r="N450">
        <v>84473.59</v>
      </c>
      <c r="O450">
        <v>22242.31</v>
      </c>
      <c r="P450">
        <v>26570.31</v>
      </c>
      <c r="Q450">
        <v>7</v>
      </c>
      <c r="R450">
        <v>41</v>
      </c>
      <c r="S450">
        <v>5</v>
      </c>
      <c r="T450" s="1" t="s">
        <v>34</v>
      </c>
      <c r="U450" s="1" t="s">
        <v>149</v>
      </c>
      <c r="V450" s="1" t="s">
        <v>75</v>
      </c>
      <c r="W450" s="1" t="s">
        <v>83</v>
      </c>
      <c r="X450">
        <v>133286.21</v>
      </c>
      <c r="Y450" s="1" t="s">
        <v>2079</v>
      </c>
      <c r="Z450" s="1" t="s">
        <v>2091</v>
      </c>
      <c r="AO450" t="str">
        <v>P00532</v>
      </c>
    </row>
    <row r="451" spans="1:41" x14ac:dyDescent="0.35">
      <c r="A451" s="1" t="s">
        <v>1356</v>
      </c>
      <c r="B451" s="1" t="s">
        <v>723</v>
      </c>
      <c r="C451">
        <v>53</v>
      </c>
      <c r="D451" s="1" t="s">
        <v>25</v>
      </c>
      <c r="E451" s="1" t="s">
        <v>219</v>
      </c>
      <c r="F451" s="1" t="s">
        <v>135</v>
      </c>
      <c r="G451" s="2">
        <v>45529</v>
      </c>
      <c r="H451" s="2">
        <v>45531</v>
      </c>
      <c r="I451" s="1" t="s">
        <v>29</v>
      </c>
      <c r="J451" s="1" t="s">
        <v>87</v>
      </c>
      <c r="K451" s="1" t="s">
        <v>91</v>
      </c>
      <c r="L451" s="1" t="s">
        <v>32</v>
      </c>
      <c r="M451" s="1" t="s">
        <v>2090</v>
      </c>
      <c r="N451">
        <v>401448.83</v>
      </c>
      <c r="O451">
        <v>2321.08</v>
      </c>
      <c r="P451">
        <v>34034.82</v>
      </c>
      <c r="Q451">
        <v>2</v>
      </c>
      <c r="R451">
        <v>83</v>
      </c>
      <c r="S451">
        <v>1.9</v>
      </c>
      <c r="T451" s="1" t="s">
        <v>34</v>
      </c>
      <c r="U451" s="1" t="s">
        <v>149</v>
      </c>
      <c r="V451" s="1" t="s">
        <v>130</v>
      </c>
      <c r="W451" s="1" t="s">
        <v>59</v>
      </c>
      <c r="X451">
        <v>437804.73000000004</v>
      </c>
      <c r="Y451" s="1" t="s">
        <v>2079</v>
      </c>
      <c r="Z451" s="1" t="s">
        <v>2080</v>
      </c>
      <c r="AO451" t="str">
        <v>P00533</v>
      </c>
    </row>
    <row r="452" spans="1:41" x14ac:dyDescent="0.35">
      <c r="A452" s="1" t="s">
        <v>1357</v>
      </c>
      <c r="B452" s="1" t="s">
        <v>226</v>
      </c>
      <c r="C452">
        <v>27</v>
      </c>
      <c r="D452" s="1" t="s">
        <v>25</v>
      </c>
      <c r="E452" s="1" t="s">
        <v>86</v>
      </c>
      <c r="F452" s="1" t="s">
        <v>135</v>
      </c>
      <c r="G452" s="2">
        <v>45995</v>
      </c>
      <c r="H452" s="2">
        <v>45999</v>
      </c>
      <c r="I452" s="1" t="s">
        <v>221</v>
      </c>
      <c r="J452" s="1" t="s">
        <v>115</v>
      </c>
      <c r="K452" s="1" t="s">
        <v>31</v>
      </c>
      <c r="L452" s="1" t="s">
        <v>44</v>
      </c>
      <c r="M452" s="1" t="s">
        <v>2086</v>
      </c>
      <c r="N452">
        <v>192645.35</v>
      </c>
      <c r="O452">
        <v>18701.27</v>
      </c>
      <c r="P452">
        <v>21319.84</v>
      </c>
      <c r="Q452">
        <v>4</v>
      </c>
      <c r="R452">
        <v>94</v>
      </c>
      <c r="S452">
        <v>3.4</v>
      </c>
      <c r="T452" s="1" t="s">
        <v>34</v>
      </c>
      <c r="U452" s="1" t="s">
        <v>35</v>
      </c>
      <c r="V452" s="1" t="s">
        <v>102</v>
      </c>
      <c r="W452" s="1" t="s">
        <v>36</v>
      </c>
      <c r="X452">
        <v>232666.46</v>
      </c>
      <c r="Y452" s="1" t="s">
        <v>2082</v>
      </c>
      <c r="Z452" s="1" t="s">
        <v>2080</v>
      </c>
      <c r="AO452" t="str">
        <v>P00534</v>
      </c>
    </row>
    <row r="453" spans="1:41" x14ac:dyDescent="0.35">
      <c r="A453" s="1" t="s">
        <v>1359</v>
      </c>
      <c r="B453" s="1" t="s">
        <v>1040</v>
      </c>
      <c r="C453">
        <v>26</v>
      </c>
      <c r="D453" s="1" t="s">
        <v>119</v>
      </c>
      <c r="E453" s="1" t="s">
        <v>177</v>
      </c>
      <c r="F453" s="1" t="s">
        <v>108</v>
      </c>
      <c r="G453" s="2">
        <v>46249</v>
      </c>
      <c r="H453" s="2">
        <v>46251</v>
      </c>
      <c r="I453" s="1" t="s">
        <v>221</v>
      </c>
      <c r="J453" s="1" t="s">
        <v>2081</v>
      </c>
      <c r="K453" s="1" t="s">
        <v>163</v>
      </c>
      <c r="L453" s="1" t="s">
        <v>44</v>
      </c>
      <c r="M453" s="1" t="s">
        <v>2086</v>
      </c>
      <c r="N453">
        <v>264733.45</v>
      </c>
      <c r="O453">
        <v>71340.429999999993</v>
      </c>
      <c r="P453">
        <v>49196.62</v>
      </c>
      <c r="Q453">
        <v>2</v>
      </c>
      <c r="R453">
        <v>169</v>
      </c>
      <c r="S453">
        <v>1.9</v>
      </c>
      <c r="T453" s="1" t="s">
        <v>34</v>
      </c>
      <c r="U453" s="1" t="s">
        <v>95</v>
      </c>
      <c r="V453" s="1" t="s">
        <v>75</v>
      </c>
      <c r="W453" s="1" t="s">
        <v>36</v>
      </c>
      <c r="X453">
        <v>385270.5</v>
      </c>
      <c r="Y453" s="1" t="s">
        <v>2082</v>
      </c>
      <c r="Z453" s="1" t="s">
        <v>2080</v>
      </c>
      <c r="AO453" t="str">
        <v>P00535</v>
      </c>
    </row>
    <row r="454" spans="1:41" x14ac:dyDescent="0.35">
      <c r="A454" s="1" t="s">
        <v>1361</v>
      </c>
      <c r="B454" s="1" t="s">
        <v>833</v>
      </c>
      <c r="C454">
        <v>18</v>
      </c>
      <c r="D454" s="1" t="s">
        <v>119</v>
      </c>
      <c r="E454" s="1" t="s">
        <v>107</v>
      </c>
      <c r="F454" s="1" t="s">
        <v>227</v>
      </c>
      <c r="G454" s="2">
        <v>45746</v>
      </c>
      <c r="H454" s="2">
        <v>45749</v>
      </c>
      <c r="I454" s="1" t="s">
        <v>221</v>
      </c>
      <c r="J454" s="1" t="s">
        <v>147</v>
      </c>
      <c r="K454" s="1" t="s">
        <v>31</v>
      </c>
      <c r="L454" s="1" t="s">
        <v>44</v>
      </c>
      <c r="M454" s="1" t="s">
        <v>2089</v>
      </c>
      <c r="N454">
        <v>13230.51</v>
      </c>
      <c r="O454">
        <v>11515.71</v>
      </c>
      <c r="P454">
        <v>80756.98</v>
      </c>
      <c r="Q454">
        <v>3</v>
      </c>
      <c r="R454">
        <v>166</v>
      </c>
      <c r="S454">
        <v>4</v>
      </c>
      <c r="T454" s="1" t="s">
        <v>34</v>
      </c>
      <c r="U454" s="1" t="s">
        <v>95</v>
      </c>
      <c r="V454" s="1" t="s">
        <v>75</v>
      </c>
      <c r="W454" s="1" t="s">
        <v>36</v>
      </c>
      <c r="X454">
        <v>105503.2</v>
      </c>
      <c r="Y454" s="1" t="s">
        <v>2082</v>
      </c>
      <c r="Z454" s="1" t="s">
        <v>2080</v>
      </c>
      <c r="AO454" t="str">
        <v>P00536</v>
      </c>
    </row>
    <row r="455" spans="1:41" x14ac:dyDescent="0.35">
      <c r="A455" s="1" t="s">
        <v>1362</v>
      </c>
      <c r="B455" s="1" t="s">
        <v>318</v>
      </c>
      <c r="C455">
        <v>38</v>
      </c>
      <c r="D455" s="1" t="s">
        <v>25</v>
      </c>
      <c r="E455" s="1" t="s">
        <v>26</v>
      </c>
      <c r="F455" s="1" t="s">
        <v>108</v>
      </c>
      <c r="G455" s="2">
        <v>46226</v>
      </c>
      <c r="H455" s="2">
        <v>46227</v>
      </c>
      <c r="I455" s="1" t="s">
        <v>273</v>
      </c>
      <c r="J455" s="1" t="s">
        <v>115</v>
      </c>
      <c r="K455" s="1" t="s">
        <v>163</v>
      </c>
      <c r="L455" s="1" t="s">
        <v>66</v>
      </c>
      <c r="M455" s="1" t="s">
        <v>2086</v>
      </c>
      <c r="N455">
        <v>262238</v>
      </c>
      <c r="O455">
        <v>34388.410000000003</v>
      </c>
      <c r="P455">
        <v>0</v>
      </c>
      <c r="Q455">
        <v>1</v>
      </c>
      <c r="R455">
        <v>28</v>
      </c>
      <c r="S455">
        <v>3.6</v>
      </c>
      <c r="T455" s="1" t="s">
        <v>46</v>
      </c>
      <c r="U455" s="1" t="s">
        <v>101</v>
      </c>
      <c r="V455" s="1" t="s">
        <v>75</v>
      </c>
      <c r="W455" s="1" t="s">
        <v>131</v>
      </c>
      <c r="X455">
        <v>296626.41000000003</v>
      </c>
      <c r="Y455" s="1" t="s">
        <v>2079</v>
      </c>
      <c r="Z455" s="1" t="s">
        <v>2083</v>
      </c>
      <c r="AO455" t="str">
        <v>P00540</v>
      </c>
    </row>
    <row r="456" spans="1:41" x14ac:dyDescent="0.35">
      <c r="A456" s="1" t="s">
        <v>1367</v>
      </c>
      <c r="B456" s="1" t="s">
        <v>829</v>
      </c>
      <c r="C456">
        <v>1</v>
      </c>
      <c r="D456" s="1" t="s">
        <v>25</v>
      </c>
      <c r="E456" s="1" t="s">
        <v>263</v>
      </c>
      <c r="F456" s="1" t="s">
        <v>120</v>
      </c>
      <c r="G456" s="2">
        <v>45969</v>
      </c>
      <c r="H456" s="2">
        <v>45970</v>
      </c>
      <c r="I456" s="1" t="s">
        <v>221</v>
      </c>
      <c r="J456" s="1" t="s">
        <v>2081</v>
      </c>
      <c r="K456" s="1" t="s">
        <v>148</v>
      </c>
      <c r="L456" s="1" t="s">
        <v>32</v>
      </c>
      <c r="M456" s="1" t="s">
        <v>2078</v>
      </c>
      <c r="N456">
        <v>164972.60999999999</v>
      </c>
      <c r="O456">
        <v>55040.800000000003</v>
      </c>
      <c r="P456">
        <v>86803.64</v>
      </c>
      <c r="Q456">
        <v>1</v>
      </c>
      <c r="R456">
        <v>148</v>
      </c>
      <c r="S456">
        <v>4.3</v>
      </c>
      <c r="T456" s="1" t="s">
        <v>46</v>
      </c>
      <c r="U456" s="1" t="s">
        <v>149</v>
      </c>
      <c r="V456" s="1" t="s">
        <v>102</v>
      </c>
      <c r="W456" s="1" t="s">
        <v>83</v>
      </c>
      <c r="X456">
        <v>306817.05</v>
      </c>
      <c r="Y456" s="1" t="s">
        <v>2093</v>
      </c>
      <c r="Z456" s="1" t="s">
        <v>2080</v>
      </c>
      <c r="AO456" t="str">
        <v>P00541</v>
      </c>
    </row>
    <row r="457" spans="1:41" x14ac:dyDescent="0.35">
      <c r="A457" s="1" t="s">
        <v>1368</v>
      </c>
      <c r="B457" s="1" t="s">
        <v>1066</v>
      </c>
      <c r="C457">
        <v>30</v>
      </c>
      <c r="D457" s="1" t="s">
        <v>119</v>
      </c>
      <c r="E457" s="1" t="s">
        <v>177</v>
      </c>
      <c r="F457" s="1" t="s">
        <v>120</v>
      </c>
      <c r="G457" s="2">
        <v>45729</v>
      </c>
      <c r="H457" s="2">
        <v>45733</v>
      </c>
      <c r="I457" s="1" t="s">
        <v>235</v>
      </c>
      <c r="J457" s="1" t="s">
        <v>147</v>
      </c>
      <c r="K457" s="1" t="s">
        <v>163</v>
      </c>
      <c r="L457" s="1" t="s">
        <v>32</v>
      </c>
      <c r="M457" s="1" t="s">
        <v>2086</v>
      </c>
      <c r="N457">
        <v>201791.56</v>
      </c>
      <c r="O457">
        <v>71726.740000000005</v>
      </c>
      <c r="P457">
        <v>16723.259999999998</v>
      </c>
      <c r="Q457">
        <v>4</v>
      </c>
      <c r="R457">
        <v>216</v>
      </c>
      <c r="S457">
        <v>3.3</v>
      </c>
      <c r="T457" s="1" t="s">
        <v>46</v>
      </c>
      <c r="U457" s="1" t="s">
        <v>35</v>
      </c>
      <c r="V457" s="1" t="s">
        <v>102</v>
      </c>
      <c r="W457" s="1" t="s">
        <v>131</v>
      </c>
      <c r="X457">
        <v>290241.56</v>
      </c>
      <c r="Y457" s="1" t="s">
        <v>2082</v>
      </c>
      <c r="Z457" s="1" t="s">
        <v>2080</v>
      </c>
      <c r="AO457" t="str">
        <v>P00542</v>
      </c>
    </row>
    <row r="458" spans="1:41" x14ac:dyDescent="0.35">
      <c r="A458" s="1" t="s">
        <v>1369</v>
      </c>
      <c r="B458" s="1" t="s">
        <v>483</v>
      </c>
      <c r="C458">
        <v>12</v>
      </c>
      <c r="D458" s="1" t="s">
        <v>25</v>
      </c>
      <c r="E458" s="1" t="s">
        <v>26</v>
      </c>
      <c r="F458" s="1" t="s">
        <v>145</v>
      </c>
      <c r="G458" s="2">
        <v>45543</v>
      </c>
      <c r="H458" s="2">
        <v>45550</v>
      </c>
      <c r="I458" s="1" t="s">
        <v>235</v>
      </c>
      <c r="J458" s="1" t="s">
        <v>54</v>
      </c>
      <c r="K458" s="1" t="s">
        <v>174</v>
      </c>
      <c r="L458" s="1" t="s">
        <v>44</v>
      </c>
      <c r="M458" s="1" t="s">
        <v>2089</v>
      </c>
      <c r="N458">
        <v>302026.59000000003</v>
      </c>
      <c r="O458">
        <v>11580.75</v>
      </c>
      <c r="P458">
        <v>2541.98</v>
      </c>
      <c r="Q458">
        <v>7</v>
      </c>
      <c r="R458">
        <v>111</v>
      </c>
      <c r="S458">
        <v>5</v>
      </c>
      <c r="T458" s="1" t="s">
        <v>46</v>
      </c>
      <c r="U458" s="1" t="s">
        <v>101</v>
      </c>
      <c r="V458" s="1" t="s">
        <v>102</v>
      </c>
      <c r="W458" s="1" t="s">
        <v>131</v>
      </c>
      <c r="X458">
        <v>316149.32</v>
      </c>
      <c r="Y458" s="1" t="s">
        <v>2093</v>
      </c>
      <c r="Z458" s="1" t="s">
        <v>2080</v>
      </c>
      <c r="AO458" t="str">
        <v>P00543</v>
      </c>
    </row>
    <row r="459" spans="1:41" x14ac:dyDescent="0.35">
      <c r="A459" s="1" t="s">
        <v>1371</v>
      </c>
      <c r="B459" s="1" t="s">
        <v>309</v>
      </c>
      <c r="C459">
        <v>10</v>
      </c>
      <c r="D459" s="1" t="s">
        <v>25</v>
      </c>
      <c r="E459" s="1" t="s">
        <v>26</v>
      </c>
      <c r="F459" s="1" t="s">
        <v>108</v>
      </c>
      <c r="G459" s="2">
        <v>45532</v>
      </c>
      <c r="H459" s="2">
        <v>45533</v>
      </c>
      <c r="I459" s="1" t="s">
        <v>273</v>
      </c>
      <c r="J459" s="1" t="s">
        <v>152</v>
      </c>
      <c r="K459" s="1" t="s">
        <v>174</v>
      </c>
      <c r="L459" s="1" t="s">
        <v>44</v>
      </c>
      <c r="M459" s="1" t="s">
        <v>2078</v>
      </c>
      <c r="N459">
        <v>207141.73</v>
      </c>
      <c r="O459">
        <v>27814.12</v>
      </c>
      <c r="P459">
        <v>61449.59</v>
      </c>
      <c r="Q459">
        <v>1</v>
      </c>
      <c r="R459">
        <v>166</v>
      </c>
      <c r="S459">
        <v>3.6</v>
      </c>
      <c r="T459" s="1" t="s">
        <v>46</v>
      </c>
      <c r="U459" s="1" t="s">
        <v>95</v>
      </c>
      <c r="V459" s="1" t="s">
        <v>102</v>
      </c>
      <c r="W459" s="1" t="s">
        <v>83</v>
      </c>
      <c r="X459">
        <v>296405.44</v>
      </c>
      <c r="Y459" s="1" t="s">
        <v>2093</v>
      </c>
      <c r="Z459" s="1" t="s">
        <v>2080</v>
      </c>
      <c r="AO459" t="str">
        <v>P00544</v>
      </c>
    </row>
    <row r="460" spans="1:41" x14ac:dyDescent="0.35">
      <c r="A460" s="1" t="s">
        <v>1373</v>
      </c>
      <c r="B460" s="1" t="s">
        <v>688</v>
      </c>
      <c r="C460">
        <v>17</v>
      </c>
      <c r="D460" s="1" t="s">
        <v>25</v>
      </c>
      <c r="E460" s="1" t="s">
        <v>177</v>
      </c>
      <c r="F460" s="1" t="s">
        <v>120</v>
      </c>
      <c r="G460" s="2">
        <v>45442</v>
      </c>
      <c r="H460" s="2">
        <v>45446</v>
      </c>
      <c r="I460" s="1" t="s">
        <v>257</v>
      </c>
      <c r="J460" s="1" t="s">
        <v>87</v>
      </c>
      <c r="K460" s="1" t="s">
        <v>148</v>
      </c>
      <c r="L460" s="1" t="s">
        <v>32</v>
      </c>
      <c r="M460" s="1" t="s">
        <v>2086</v>
      </c>
      <c r="N460">
        <v>244115.61</v>
      </c>
      <c r="O460">
        <v>46788.28</v>
      </c>
      <c r="P460">
        <v>90840.94</v>
      </c>
      <c r="Q460">
        <v>4</v>
      </c>
      <c r="R460">
        <v>161</v>
      </c>
      <c r="S460">
        <v>4.7</v>
      </c>
      <c r="T460" s="1" t="s">
        <v>34</v>
      </c>
      <c r="U460" s="1" t="s">
        <v>149</v>
      </c>
      <c r="V460" s="1" t="s">
        <v>102</v>
      </c>
      <c r="W460" s="1" t="s">
        <v>83</v>
      </c>
      <c r="X460">
        <v>381744.83</v>
      </c>
      <c r="Y460" s="1" t="s">
        <v>2093</v>
      </c>
      <c r="Z460" s="1" t="s">
        <v>2080</v>
      </c>
      <c r="AO460" t="str">
        <v>P00545</v>
      </c>
    </row>
    <row r="461" spans="1:41" x14ac:dyDescent="0.35">
      <c r="A461" s="1" t="s">
        <v>1375</v>
      </c>
      <c r="B461" s="1" t="s">
        <v>262</v>
      </c>
      <c r="C461">
        <v>51</v>
      </c>
      <c r="D461" s="1" t="s">
        <v>119</v>
      </c>
      <c r="E461" s="1" t="s">
        <v>107</v>
      </c>
      <c r="F461" s="1" t="s">
        <v>120</v>
      </c>
      <c r="G461" s="2">
        <v>45952</v>
      </c>
      <c r="H461" s="2">
        <v>45955</v>
      </c>
      <c r="I461" s="1" t="s">
        <v>277</v>
      </c>
      <c r="J461" s="1" t="s">
        <v>141</v>
      </c>
      <c r="K461" s="1" t="s">
        <v>148</v>
      </c>
      <c r="L461" s="1" t="s">
        <v>44</v>
      </c>
      <c r="M461" s="1" t="s">
        <v>2086</v>
      </c>
      <c r="N461">
        <v>394930.69</v>
      </c>
      <c r="O461">
        <v>0</v>
      </c>
      <c r="P461">
        <v>34516.82</v>
      </c>
      <c r="Q461">
        <v>3</v>
      </c>
      <c r="R461">
        <v>37</v>
      </c>
      <c r="S461">
        <v>4.2</v>
      </c>
      <c r="T461" s="1" t="s">
        <v>46</v>
      </c>
      <c r="U461" s="1" t="s">
        <v>149</v>
      </c>
      <c r="V461" s="1" t="s">
        <v>102</v>
      </c>
      <c r="W461" s="1" t="s">
        <v>36</v>
      </c>
      <c r="X461">
        <v>429447.51</v>
      </c>
      <c r="Y461" s="1" t="s">
        <v>2079</v>
      </c>
      <c r="Z461" s="1" t="s">
        <v>2091</v>
      </c>
      <c r="AO461" t="str">
        <v>P00546</v>
      </c>
    </row>
    <row r="462" spans="1:41" x14ac:dyDescent="0.35">
      <c r="A462" s="1" t="s">
        <v>1376</v>
      </c>
      <c r="B462" s="1" t="s">
        <v>701</v>
      </c>
      <c r="C462">
        <v>29</v>
      </c>
      <c r="D462" s="1" t="s">
        <v>119</v>
      </c>
      <c r="E462" s="1" t="s">
        <v>40</v>
      </c>
      <c r="F462" s="1" t="s">
        <v>87</v>
      </c>
      <c r="G462" s="2">
        <v>45877</v>
      </c>
      <c r="H462" s="2">
        <v>45884</v>
      </c>
      <c r="I462" s="1" t="s">
        <v>100</v>
      </c>
      <c r="J462" s="1" t="s">
        <v>2081</v>
      </c>
      <c r="K462" s="1" t="s">
        <v>55</v>
      </c>
      <c r="L462" s="1" t="s">
        <v>32</v>
      </c>
      <c r="M462" s="1" t="s">
        <v>2086</v>
      </c>
      <c r="N462">
        <v>0</v>
      </c>
      <c r="O462">
        <v>19694.48</v>
      </c>
      <c r="P462">
        <v>72404.210000000006</v>
      </c>
      <c r="Q462">
        <v>7</v>
      </c>
      <c r="R462">
        <v>135</v>
      </c>
      <c r="S462">
        <v>4.3</v>
      </c>
      <c r="T462" s="1" t="s">
        <v>46</v>
      </c>
      <c r="U462" s="1" t="s">
        <v>101</v>
      </c>
      <c r="V462" s="1" t="s">
        <v>102</v>
      </c>
      <c r="W462" s="1" t="s">
        <v>36</v>
      </c>
      <c r="X462">
        <v>92098.69</v>
      </c>
      <c r="Y462" s="1" t="s">
        <v>2082</v>
      </c>
      <c r="Z462" s="1" t="s">
        <v>2080</v>
      </c>
      <c r="AO462" t="str">
        <v>P00547</v>
      </c>
    </row>
    <row r="463" spans="1:41" x14ac:dyDescent="0.35">
      <c r="A463" s="1" t="s">
        <v>1377</v>
      </c>
      <c r="B463" s="1" t="s">
        <v>815</v>
      </c>
      <c r="C463">
        <v>14</v>
      </c>
      <c r="D463" s="1" t="s">
        <v>119</v>
      </c>
      <c r="E463" s="1" t="s">
        <v>40</v>
      </c>
      <c r="F463" s="1" t="s">
        <v>227</v>
      </c>
      <c r="G463" s="2">
        <v>46001</v>
      </c>
      <c r="H463" s="2">
        <v>46003</v>
      </c>
      <c r="I463" s="1" t="s">
        <v>273</v>
      </c>
      <c r="J463" s="1" t="s">
        <v>2081</v>
      </c>
      <c r="K463" s="1" t="s">
        <v>128</v>
      </c>
      <c r="L463" s="1" t="s">
        <v>32</v>
      </c>
      <c r="M463" s="1" t="s">
        <v>2089</v>
      </c>
      <c r="N463">
        <v>292141.21000000002</v>
      </c>
      <c r="O463">
        <v>9142.9500000000007</v>
      </c>
      <c r="P463">
        <v>110522.9</v>
      </c>
      <c r="Q463">
        <v>2</v>
      </c>
      <c r="R463">
        <v>137</v>
      </c>
      <c r="S463">
        <v>5</v>
      </c>
      <c r="T463" s="1" t="s">
        <v>34</v>
      </c>
      <c r="U463" s="1" t="s">
        <v>35</v>
      </c>
      <c r="V463" s="1" t="s">
        <v>102</v>
      </c>
      <c r="W463" s="1" t="s">
        <v>59</v>
      </c>
      <c r="X463">
        <v>411807.06000000006</v>
      </c>
      <c r="Y463" s="1" t="s">
        <v>2093</v>
      </c>
      <c r="Z463" s="1" t="s">
        <v>2080</v>
      </c>
      <c r="AO463" t="str">
        <v>P00548</v>
      </c>
    </row>
    <row r="464" spans="1:41" x14ac:dyDescent="0.35">
      <c r="A464" s="1" t="s">
        <v>1379</v>
      </c>
      <c r="B464" s="1" t="s">
        <v>61</v>
      </c>
      <c r="C464">
        <v>40</v>
      </c>
      <c r="D464" s="1" t="s">
        <v>119</v>
      </c>
      <c r="E464" s="1" t="s">
        <v>157</v>
      </c>
      <c r="F464" s="1" t="s">
        <v>120</v>
      </c>
      <c r="G464" s="2">
        <v>45580</v>
      </c>
      <c r="H464" s="2">
        <v>45582</v>
      </c>
      <c r="I464" s="1" t="s">
        <v>159</v>
      </c>
      <c r="J464" s="1" t="s">
        <v>90</v>
      </c>
      <c r="K464" s="1" t="s">
        <v>148</v>
      </c>
      <c r="L464" s="1" t="s">
        <v>32</v>
      </c>
      <c r="M464" s="1" t="s">
        <v>2087</v>
      </c>
      <c r="N464">
        <v>186469.73</v>
      </c>
      <c r="O464">
        <v>57920.84</v>
      </c>
      <c r="P464">
        <v>50592.49</v>
      </c>
      <c r="Q464">
        <v>2</v>
      </c>
      <c r="R464">
        <v>40</v>
      </c>
      <c r="S464">
        <v>5</v>
      </c>
      <c r="T464" s="1" t="s">
        <v>34</v>
      </c>
      <c r="U464" s="1" t="s">
        <v>101</v>
      </c>
      <c r="V464" s="1" t="s">
        <v>130</v>
      </c>
      <c r="W464" s="1" t="s">
        <v>59</v>
      </c>
      <c r="X464">
        <v>294983.06</v>
      </c>
      <c r="Y464" s="1" t="s">
        <v>2079</v>
      </c>
      <c r="Z464" s="1" t="s">
        <v>2091</v>
      </c>
      <c r="AO464" t="str">
        <v>P00549</v>
      </c>
    </row>
    <row r="465" spans="1:41" x14ac:dyDescent="0.35">
      <c r="A465" s="1" t="s">
        <v>1383</v>
      </c>
      <c r="B465" s="1" t="s">
        <v>341</v>
      </c>
      <c r="C465">
        <v>34</v>
      </c>
      <c r="D465" s="1" t="s">
        <v>119</v>
      </c>
      <c r="E465" s="1" t="s">
        <v>26</v>
      </c>
      <c r="F465" s="1" t="s">
        <v>41</v>
      </c>
      <c r="G465" s="2">
        <v>45445</v>
      </c>
      <c r="H465" s="2">
        <v>45452</v>
      </c>
      <c r="I465" s="1" t="s">
        <v>53</v>
      </c>
      <c r="J465" s="1" t="s">
        <v>2081</v>
      </c>
      <c r="K465" s="1" t="s">
        <v>163</v>
      </c>
      <c r="L465" s="1" t="s">
        <v>32</v>
      </c>
      <c r="M465" s="1" t="s">
        <v>2086</v>
      </c>
      <c r="N465">
        <v>65682.240000000005</v>
      </c>
      <c r="O465">
        <v>38689.040000000001</v>
      </c>
      <c r="P465">
        <v>47600.93</v>
      </c>
      <c r="Q465">
        <v>7</v>
      </c>
      <c r="R465">
        <v>121</v>
      </c>
      <c r="S465">
        <v>3.9</v>
      </c>
      <c r="T465" s="1" t="s">
        <v>46</v>
      </c>
      <c r="U465" s="1" t="s">
        <v>35</v>
      </c>
      <c r="V465" s="1" t="s">
        <v>75</v>
      </c>
      <c r="W465" s="1" t="s">
        <v>59</v>
      </c>
      <c r="X465">
        <v>151972.21</v>
      </c>
      <c r="Y465" s="1" t="s">
        <v>2082</v>
      </c>
      <c r="Z465" s="1" t="s">
        <v>2080</v>
      </c>
      <c r="AO465" t="str">
        <v>P00551</v>
      </c>
    </row>
    <row r="466" spans="1:41" x14ac:dyDescent="0.35">
      <c r="A466" s="1" t="s">
        <v>1384</v>
      </c>
      <c r="B466" s="1" t="s">
        <v>505</v>
      </c>
      <c r="C466">
        <v>74</v>
      </c>
      <c r="D466" s="1" t="s">
        <v>25</v>
      </c>
      <c r="E466" s="1" t="s">
        <v>86</v>
      </c>
      <c r="F466" s="1" t="s">
        <v>120</v>
      </c>
      <c r="G466" s="2">
        <v>45915</v>
      </c>
      <c r="H466" s="2">
        <v>45919</v>
      </c>
      <c r="I466" s="1" t="s">
        <v>277</v>
      </c>
      <c r="J466" s="1" t="s">
        <v>152</v>
      </c>
      <c r="K466" s="1" t="s">
        <v>153</v>
      </c>
      <c r="L466" s="1" t="s">
        <v>66</v>
      </c>
      <c r="M466" s="1" t="s">
        <v>2086</v>
      </c>
      <c r="N466">
        <v>299534.45</v>
      </c>
      <c r="O466">
        <v>3758.61</v>
      </c>
      <c r="P466">
        <v>85876.89</v>
      </c>
      <c r="Q466">
        <v>4</v>
      </c>
      <c r="R466">
        <v>218</v>
      </c>
      <c r="S466">
        <v>5</v>
      </c>
      <c r="T466" s="1" t="s">
        <v>46</v>
      </c>
      <c r="U466" s="1" t="s">
        <v>35</v>
      </c>
      <c r="V466" s="1" t="s">
        <v>130</v>
      </c>
      <c r="W466" s="1" t="s">
        <v>131</v>
      </c>
      <c r="X466">
        <v>389169.95</v>
      </c>
      <c r="Y466" s="1" t="s">
        <v>2088</v>
      </c>
      <c r="Z466" s="1" t="s">
        <v>2080</v>
      </c>
      <c r="AO466" t="str">
        <v>P00552</v>
      </c>
    </row>
    <row r="467" spans="1:41" x14ac:dyDescent="0.35">
      <c r="A467" s="1" t="s">
        <v>1385</v>
      </c>
      <c r="B467" s="1" t="s">
        <v>1386</v>
      </c>
      <c r="C467">
        <v>48</v>
      </c>
      <c r="D467" s="1" t="s">
        <v>119</v>
      </c>
      <c r="E467" s="1" t="s">
        <v>177</v>
      </c>
      <c r="F467" s="1" t="s">
        <v>120</v>
      </c>
      <c r="G467" s="2">
        <v>45391</v>
      </c>
      <c r="H467" s="2">
        <v>45392</v>
      </c>
      <c r="I467" s="1" t="s">
        <v>114</v>
      </c>
      <c r="J467" s="1" t="s">
        <v>54</v>
      </c>
      <c r="K467" s="1" t="s">
        <v>91</v>
      </c>
      <c r="L467" s="1" t="s">
        <v>66</v>
      </c>
      <c r="M467" s="1" t="s">
        <v>57</v>
      </c>
      <c r="N467">
        <v>0</v>
      </c>
      <c r="O467">
        <v>43828.73</v>
      </c>
      <c r="P467">
        <v>28553.99</v>
      </c>
      <c r="Q467">
        <v>1</v>
      </c>
      <c r="R467">
        <v>239</v>
      </c>
      <c r="S467">
        <v>2.7</v>
      </c>
      <c r="T467" s="1" t="s">
        <v>46</v>
      </c>
      <c r="U467" s="1" t="s">
        <v>35</v>
      </c>
      <c r="V467" s="1" t="s">
        <v>130</v>
      </c>
      <c r="W467" s="1" t="s">
        <v>83</v>
      </c>
      <c r="X467">
        <v>72382.720000000001</v>
      </c>
      <c r="Y467" s="1" t="s">
        <v>2079</v>
      </c>
      <c r="Z467" s="1" t="s">
        <v>2080</v>
      </c>
      <c r="AO467" t="str">
        <v>P00553</v>
      </c>
    </row>
    <row r="468" spans="1:41" x14ac:dyDescent="0.35">
      <c r="A468" s="1" t="s">
        <v>1387</v>
      </c>
      <c r="B468" s="1" t="s">
        <v>543</v>
      </c>
      <c r="C468">
        <v>32</v>
      </c>
      <c r="D468" s="1" t="s">
        <v>25</v>
      </c>
      <c r="E468" s="1" t="s">
        <v>263</v>
      </c>
      <c r="F468" s="1" t="s">
        <v>41</v>
      </c>
      <c r="G468" s="2">
        <v>46019</v>
      </c>
      <c r="H468" s="2">
        <v>46020</v>
      </c>
      <c r="I468" s="1" t="s">
        <v>29</v>
      </c>
      <c r="J468" s="1" t="s">
        <v>2081</v>
      </c>
      <c r="K468" s="1" t="s">
        <v>91</v>
      </c>
      <c r="L468" s="1" t="s">
        <v>66</v>
      </c>
      <c r="M468" s="1" t="s">
        <v>2078</v>
      </c>
      <c r="N468">
        <v>0</v>
      </c>
      <c r="O468">
        <v>48777.49</v>
      </c>
      <c r="P468">
        <v>0</v>
      </c>
      <c r="Q468">
        <v>1</v>
      </c>
      <c r="R468">
        <v>97</v>
      </c>
      <c r="S468">
        <v>1</v>
      </c>
      <c r="T468" s="1" t="s">
        <v>34</v>
      </c>
      <c r="U468" s="1" t="s">
        <v>35</v>
      </c>
      <c r="V468" s="1" t="s">
        <v>130</v>
      </c>
      <c r="W468" s="1" t="s">
        <v>83</v>
      </c>
      <c r="X468">
        <v>48777.49</v>
      </c>
      <c r="Y468" s="1" t="s">
        <v>2082</v>
      </c>
      <c r="Z468" s="1" t="s">
        <v>2080</v>
      </c>
      <c r="AO468" t="str">
        <v>P00554</v>
      </c>
    </row>
    <row r="469" spans="1:41" x14ac:dyDescent="0.35">
      <c r="A469" s="1" t="s">
        <v>1389</v>
      </c>
      <c r="B469" s="1" t="s">
        <v>810</v>
      </c>
      <c r="C469">
        <v>79</v>
      </c>
      <c r="D469" s="1" t="s">
        <v>25</v>
      </c>
      <c r="E469" s="1" t="s">
        <v>219</v>
      </c>
      <c r="F469" s="1" t="s">
        <v>120</v>
      </c>
      <c r="G469" s="2">
        <v>46157</v>
      </c>
      <c r="H469" s="2">
        <v>46159</v>
      </c>
      <c r="I469" s="1" t="s">
        <v>273</v>
      </c>
      <c r="J469" s="1" t="s">
        <v>54</v>
      </c>
      <c r="K469" s="1" t="s">
        <v>91</v>
      </c>
      <c r="L469" s="1" t="s">
        <v>66</v>
      </c>
      <c r="M469" s="1" t="s">
        <v>2090</v>
      </c>
      <c r="N469">
        <v>270490.7</v>
      </c>
      <c r="O469">
        <v>8412.66</v>
      </c>
      <c r="P469">
        <v>44063.9</v>
      </c>
      <c r="Q469">
        <v>2</v>
      </c>
      <c r="R469">
        <v>96</v>
      </c>
      <c r="S469">
        <v>4.3</v>
      </c>
      <c r="T469" s="1" t="s">
        <v>34</v>
      </c>
      <c r="U469" s="1" t="s">
        <v>95</v>
      </c>
      <c r="V469" s="1" t="s">
        <v>130</v>
      </c>
      <c r="W469" s="1" t="s">
        <v>83</v>
      </c>
      <c r="X469">
        <v>322967.26</v>
      </c>
      <c r="Y469" s="1" t="s">
        <v>2088</v>
      </c>
      <c r="Z469" s="1" t="s">
        <v>2080</v>
      </c>
      <c r="AO469" t="str">
        <v>P00555</v>
      </c>
    </row>
    <row r="470" spans="1:41" x14ac:dyDescent="0.35">
      <c r="A470" s="1" t="s">
        <v>1393</v>
      </c>
      <c r="B470" s="1" t="s">
        <v>218</v>
      </c>
      <c r="C470">
        <v>21</v>
      </c>
      <c r="D470" s="1" t="s">
        <v>25</v>
      </c>
      <c r="E470" s="1" t="s">
        <v>2084</v>
      </c>
      <c r="F470" s="1" t="s">
        <v>193</v>
      </c>
      <c r="G470" s="2">
        <v>45358</v>
      </c>
      <c r="H470" s="2">
        <v>45359</v>
      </c>
      <c r="I470" s="1" t="s">
        <v>221</v>
      </c>
      <c r="J470" s="1" t="s">
        <v>30</v>
      </c>
      <c r="K470" s="1" t="s">
        <v>55</v>
      </c>
      <c r="L470" s="1" t="s">
        <v>44</v>
      </c>
      <c r="M470" s="1" t="s">
        <v>2090</v>
      </c>
      <c r="N470">
        <v>247815.2</v>
      </c>
      <c r="O470">
        <v>28023.32</v>
      </c>
      <c r="P470">
        <v>27626.28</v>
      </c>
      <c r="Q470">
        <v>1</v>
      </c>
      <c r="R470">
        <v>58</v>
      </c>
      <c r="S470">
        <v>4.5999999999999996</v>
      </c>
      <c r="T470" s="1" t="s">
        <v>46</v>
      </c>
      <c r="U470" s="1" t="s">
        <v>95</v>
      </c>
      <c r="V470" s="1" t="s">
        <v>75</v>
      </c>
      <c r="W470" s="1" t="s">
        <v>36</v>
      </c>
      <c r="X470">
        <v>303464.80000000005</v>
      </c>
      <c r="Y470" s="1" t="s">
        <v>2082</v>
      </c>
      <c r="Z470" s="1" t="s">
        <v>2091</v>
      </c>
      <c r="AO470" t="str">
        <v>P00557</v>
      </c>
    </row>
    <row r="471" spans="1:41" x14ac:dyDescent="0.35">
      <c r="A471" s="1" t="s">
        <v>1394</v>
      </c>
      <c r="B471" s="1" t="s">
        <v>776</v>
      </c>
      <c r="C471">
        <v>41</v>
      </c>
      <c r="D471" s="1" t="s">
        <v>25</v>
      </c>
      <c r="E471" s="1" t="s">
        <v>51</v>
      </c>
      <c r="F471" s="1" t="s">
        <v>120</v>
      </c>
      <c r="G471" s="2">
        <v>46084</v>
      </c>
      <c r="H471" s="2">
        <v>46086</v>
      </c>
      <c r="I471" s="1" t="s">
        <v>173</v>
      </c>
      <c r="J471" s="1" t="s">
        <v>2081</v>
      </c>
      <c r="K471" s="1" t="s">
        <v>128</v>
      </c>
      <c r="L471" s="1" t="s">
        <v>44</v>
      </c>
      <c r="M471" s="1" t="s">
        <v>2092</v>
      </c>
      <c r="N471">
        <v>523791.12</v>
      </c>
      <c r="O471">
        <v>0</v>
      </c>
      <c r="P471">
        <v>0</v>
      </c>
      <c r="Q471">
        <v>2</v>
      </c>
      <c r="R471">
        <v>153</v>
      </c>
      <c r="S471">
        <v>2.8</v>
      </c>
      <c r="T471" s="1" t="s">
        <v>34</v>
      </c>
      <c r="U471" s="1" t="s">
        <v>101</v>
      </c>
      <c r="V471" s="1" t="s">
        <v>130</v>
      </c>
      <c r="W471" s="1" t="s">
        <v>131</v>
      </c>
      <c r="X471">
        <v>523791.12</v>
      </c>
      <c r="Y471" s="1" t="s">
        <v>2079</v>
      </c>
      <c r="Z471" s="1" t="s">
        <v>2080</v>
      </c>
      <c r="AO471" t="str">
        <v>P00558</v>
      </c>
    </row>
    <row r="472" spans="1:41" x14ac:dyDescent="0.35">
      <c r="A472" s="1" t="s">
        <v>1396</v>
      </c>
      <c r="B472" s="1" t="s">
        <v>1219</v>
      </c>
      <c r="C472">
        <v>25</v>
      </c>
      <c r="D472" s="1" t="s">
        <v>25</v>
      </c>
      <c r="E472" s="1" t="s">
        <v>26</v>
      </c>
      <c r="F472" s="1" t="s">
        <v>145</v>
      </c>
      <c r="G472" s="2">
        <v>46186</v>
      </c>
      <c r="H472" s="2">
        <v>46188</v>
      </c>
      <c r="I472" s="1" t="s">
        <v>159</v>
      </c>
      <c r="J472" s="1" t="s">
        <v>141</v>
      </c>
      <c r="K472" s="1" t="s">
        <v>153</v>
      </c>
      <c r="L472" s="1" t="s">
        <v>32</v>
      </c>
      <c r="M472" s="1" t="s">
        <v>2089</v>
      </c>
      <c r="N472">
        <v>183627.98</v>
      </c>
      <c r="O472">
        <v>69963.45</v>
      </c>
      <c r="P472">
        <v>69063.850000000006</v>
      </c>
      <c r="Q472">
        <v>2</v>
      </c>
      <c r="R472">
        <v>159</v>
      </c>
      <c r="S472">
        <v>1.9</v>
      </c>
      <c r="T472" s="1" t="s">
        <v>46</v>
      </c>
      <c r="U472" s="1" t="s">
        <v>101</v>
      </c>
      <c r="V472" s="1" t="s">
        <v>102</v>
      </c>
      <c r="W472" s="1" t="s">
        <v>12</v>
      </c>
      <c r="X472">
        <v>322655.28000000003</v>
      </c>
      <c r="Y472" s="1" t="s">
        <v>2082</v>
      </c>
      <c r="Z472" s="1" t="s">
        <v>2080</v>
      </c>
      <c r="AO472" t="str">
        <v>P00559</v>
      </c>
    </row>
    <row r="473" spans="1:41" x14ac:dyDescent="0.35">
      <c r="A473" s="1" t="s">
        <v>1397</v>
      </c>
      <c r="B473" s="1" t="s">
        <v>1190</v>
      </c>
      <c r="C473">
        <v>0</v>
      </c>
      <c r="D473" s="1" t="s">
        <v>25</v>
      </c>
      <c r="E473" s="1" t="s">
        <v>219</v>
      </c>
      <c r="F473" s="1" t="s">
        <v>227</v>
      </c>
      <c r="G473" s="2">
        <v>46005</v>
      </c>
      <c r="H473" s="2">
        <v>46006</v>
      </c>
      <c r="I473" s="1" t="s">
        <v>273</v>
      </c>
      <c r="J473" s="1" t="s">
        <v>141</v>
      </c>
      <c r="K473" s="1" t="s">
        <v>148</v>
      </c>
      <c r="L473" s="1" t="s">
        <v>32</v>
      </c>
      <c r="M473" s="1" t="s">
        <v>2086</v>
      </c>
      <c r="N473">
        <v>106686.69</v>
      </c>
      <c r="O473">
        <v>53917.58</v>
      </c>
      <c r="P473">
        <v>60508.4</v>
      </c>
      <c r="Q473">
        <v>1</v>
      </c>
      <c r="R473">
        <v>78</v>
      </c>
      <c r="S473">
        <v>3.7</v>
      </c>
      <c r="T473" s="1" t="s">
        <v>46</v>
      </c>
      <c r="U473" s="1" t="s">
        <v>35</v>
      </c>
      <c r="V473" s="1" t="s">
        <v>102</v>
      </c>
      <c r="W473" s="1" t="s">
        <v>83</v>
      </c>
      <c r="X473">
        <v>221112.67</v>
      </c>
      <c r="Y473" s="1" t="s">
        <v>2093</v>
      </c>
      <c r="Z473" s="1" t="s">
        <v>2080</v>
      </c>
      <c r="AO473" t="str">
        <v>P00560</v>
      </c>
    </row>
    <row r="474" spans="1:41" x14ac:dyDescent="0.35">
      <c r="A474" s="1" t="s">
        <v>1398</v>
      </c>
      <c r="B474" s="1" t="s">
        <v>294</v>
      </c>
      <c r="C474">
        <v>47</v>
      </c>
      <c r="D474" s="1" t="s">
        <v>25</v>
      </c>
      <c r="E474" s="1" t="s">
        <v>263</v>
      </c>
      <c r="F474" s="1" t="s">
        <v>145</v>
      </c>
      <c r="G474" s="2">
        <v>45408</v>
      </c>
      <c r="H474" s="2">
        <v>45409</v>
      </c>
      <c r="I474" s="1" t="s">
        <v>273</v>
      </c>
      <c r="J474" s="1" t="s">
        <v>137</v>
      </c>
      <c r="K474" s="1" t="s">
        <v>153</v>
      </c>
      <c r="L474" s="1" t="s">
        <v>32</v>
      </c>
      <c r="M474" s="1" t="s">
        <v>2078</v>
      </c>
      <c r="N474">
        <v>327222.96000000002</v>
      </c>
      <c r="O474">
        <v>0</v>
      </c>
      <c r="P474">
        <v>53989.43</v>
      </c>
      <c r="Q474">
        <v>1</v>
      </c>
      <c r="R474">
        <v>164</v>
      </c>
      <c r="S474">
        <v>3.2</v>
      </c>
      <c r="T474" s="1" t="s">
        <v>46</v>
      </c>
      <c r="U474" s="1" t="s">
        <v>35</v>
      </c>
      <c r="V474" s="1" t="s">
        <v>75</v>
      </c>
      <c r="W474" s="1" t="s">
        <v>36</v>
      </c>
      <c r="X474">
        <v>381212.39</v>
      </c>
      <c r="Y474" s="1" t="s">
        <v>2079</v>
      </c>
      <c r="Z474" s="1" t="s">
        <v>2080</v>
      </c>
      <c r="AO474" t="str">
        <v>P00562</v>
      </c>
    </row>
    <row r="475" spans="1:41" x14ac:dyDescent="0.35">
      <c r="A475" s="1" t="s">
        <v>1399</v>
      </c>
      <c r="B475" s="1" t="s">
        <v>470</v>
      </c>
      <c r="C475">
        <v>92</v>
      </c>
      <c r="D475" s="1" t="s">
        <v>25</v>
      </c>
      <c r="E475" s="1" t="s">
        <v>26</v>
      </c>
      <c r="F475" s="1" t="s">
        <v>227</v>
      </c>
      <c r="G475" s="2">
        <v>45506</v>
      </c>
      <c r="H475" s="2">
        <v>45511</v>
      </c>
      <c r="I475" s="1" t="s">
        <v>173</v>
      </c>
      <c r="J475" s="1" t="s">
        <v>141</v>
      </c>
      <c r="K475" s="1" t="s">
        <v>153</v>
      </c>
      <c r="L475" s="1" t="s">
        <v>66</v>
      </c>
      <c r="M475" s="1" t="s">
        <v>2089</v>
      </c>
      <c r="N475">
        <v>205392.01</v>
      </c>
      <c r="O475">
        <v>39832.68</v>
      </c>
      <c r="P475">
        <v>22858.29</v>
      </c>
      <c r="Q475">
        <v>5</v>
      </c>
      <c r="R475">
        <v>108</v>
      </c>
      <c r="S475">
        <v>4.3</v>
      </c>
      <c r="T475" s="1" t="s">
        <v>46</v>
      </c>
      <c r="U475" s="1" t="s">
        <v>35</v>
      </c>
      <c r="V475" s="1" t="s">
        <v>75</v>
      </c>
      <c r="W475" s="1" t="s">
        <v>36</v>
      </c>
      <c r="X475">
        <v>268082.98</v>
      </c>
      <c r="Y475" s="1" t="s">
        <v>2088</v>
      </c>
      <c r="Z475" s="1" t="s">
        <v>2080</v>
      </c>
      <c r="AO475" t="str">
        <v>P00563</v>
      </c>
    </row>
    <row r="476" spans="1:41" x14ac:dyDescent="0.35">
      <c r="A476" s="1" t="s">
        <v>1401</v>
      </c>
      <c r="B476" s="1" t="s">
        <v>262</v>
      </c>
      <c r="C476">
        <v>20</v>
      </c>
      <c r="D476" s="1" t="s">
        <v>119</v>
      </c>
      <c r="E476" s="1" t="s">
        <v>86</v>
      </c>
      <c r="F476" s="1" t="s">
        <v>87</v>
      </c>
      <c r="G476" s="2">
        <v>45408</v>
      </c>
      <c r="H476" s="2">
        <v>45411</v>
      </c>
      <c r="I476" s="1" t="s">
        <v>173</v>
      </c>
      <c r="J476" s="1" t="s">
        <v>147</v>
      </c>
      <c r="K476" s="1" t="s">
        <v>174</v>
      </c>
      <c r="L476" s="1" t="s">
        <v>32</v>
      </c>
      <c r="M476" s="1" t="s">
        <v>2078</v>
      </c>
      <c r="N476">
        <v>248890.65</v>
      </c>
      <c r="O476">
        <v>66554.899999999994</v>
      </c>
      <c r="P476">
        <v>58459.07</v>
      </c>
      <c r="Q476">
        <v>3</v>
      </c>
      <c r="R476">
        <v>167</v>
      </c>
      <c r="S476">
        <v>3.4</v>
      </c>
      <c r="T476" s="1" t="s">
        <v>46</v>
      </c>
      <c r="U476" s="1" t="s">
        <v>35</v>
      </c>
      <c r="V476" s="1" t="s">
        <v>75</v>
      </c>
      <c r="W476" s="1" t="s">
        <v>12</v>
      </c>
      <c r="X476">
        <v>373904.62</v>
      </c>
      <c r="Y476" s="1" t="s">
        <v>2082</v>
      </c>
      <c r="Z476" s="1" t="s">
        <v>2080</v>
      </c>
      <c r="AO476" t="str">
        <v>P00564</v>
      </c>
    </row>
    <row r="477" spans="1:41" x14ac:dyDescent="0.35">
      <c r="A477" s="1" t="s">
        <v>1406</v>
      </c>
      <c r="B477" s="1" t="s">
        <v>1407</v>
      </c>
      <c r="C477">
        <v>79</v>
      </c>
      <c r="D477" s="1" t="s">
        <v>119</v>
      </c>
      <c r="E477" s="1" t="s">
        <v>26</v>
      </c>
      <c r="F477" s="1" t="s">
        <v>135</v>
      </c>
      <c r="G477" s="2">
        <v>46140</v>
      </c>
      <c r="H477" s="2">
        <v>46141</v>
      </c>
      <c r="I477" s="1" t="s">
        <v>273</v>
      </c>
      <c r="J477" s="1" t="s">
        <v>87</v>
      </c>
      <c r="K477" s="1" t="s">
        <v>163</v>
      </c>
      <c r="L477" s="1" t="s">
        <v>44</v>
      </c>
      <c r="M477" s="1" t="s">
        <v>2085</v>
      </c>
      <c r="N477">
        <v>0</v>
      </c>
      <c r="O477">
        <v>62779.19</v>
      </c>
      <c r="P477">
        <v>38270.43</v>
      </c>
      <c r="Q477">
        <v>1</v>
      </c>
      <c r="R477">
        <v>159</v>
      </c>
      <c r="S477">
        <v>3.8</v>
      </c>
      <c r="T477" s="1" t="s">
        <v>34</v>
      </c>
      <c r="U477" s="1" t="s">
        <v>149</v>
      </c>
      <c r="V477" s="1" t="s">
        <v>102</v>
      </c>
      <c r="W477" s="1" t="s">
        <v>59</v>
      </c>
      <c r="X477">
        <v>101049.62</v>
      </c>
      <c r="Y477" s="1" t="s">
        <v>2088</v>
      </c>
      <c r="Z477" s="1" t="s">
        <v>2080</v>
      </c>
      <c r="AO477" t="str">
        <v>P00565</v>
      </c>
    </row>
    <row r="478" spans="1:41" x14ac:dyDescent="0.35">
      <c r="A478" s="1" t="s">
        <v>1410</v>
      </c>
      <c r="B478" s="1" t="s">
        <v>133</v>
      </c>
      <c r="C478">
        <v>56</v>
      </c>
      <c r="D478" s="1" t="s">
        <v>25</v>
      </c>
      <c r="E478" s="1" t="s">
        <v>192</v>
      </c>
      <c r="F478" s="1" t="s">
        <v>108</v>
      </c>
      <c r="G478" s="2">
        <v>46088</v>
      </c>
      <c r="H478" s="2">
        <v>46089</v>
      </c>
      <c r="I478" s="1" t="s">
        <v>257</v>
      </c>
      <c r="J478" s="1" t="s">
        <v>2081</v>
      </c>
      <c r="K478" s="1" t="s">
        <v>31</v>
      </c>
      <c r="L478" s="1" t="s">
        <v>32</v>
      </c>
      <c r="M478" s="1" t="s">
        <v>2092</v>
      </c>
      <c r="N478">
        <v>137414.73000000001</v>
      </c>
      <c r="O478">
        <v>26695.77</v>
      </c>
      <c r="P478">
        <v>47168.37</v>
      </c>
      <c r="Q478">
        <v>1</v>
      </c>
      <c r="R478">
        <v>0</v>
      </c>
      <c r="S478">
        <v>2.7</v>
      </c>
      <c r="T478" s="1" t="s">
        <v>34</v>
      </c>
      <c r="U478" s="1" t="s">
        <v>149</v>
      </c>
      <c r="V478" s="1" t="s">
        <v>75</v>
      </c>
      <c r="W478" s="1" t="s">
        <v>36</v>
      </c>
      <c r="X478">
        <v>211278.87</v>
      </c>
      <c r="Y478" s="1" t="s">
        <v>2079</v>
      </c>
      <c r="Z478" s="1" t="s">
        <v>2083</v>
      </c>
      <c r="AO478" t="str">
        <v>P00566</v>
      </c>
    </row>
    <row r="479" spans="1:41" x14ac:dyDescent="0.35">
      <c r="A479" s="1" t="s">
        <v>1412</v>
      </c>
      <c r="B479" s="1" t="s">
        <v>1413</v>
      </c>
      <c r="C479">
        <v>62</v>
      </c>
      <c r="D479" s="1" t="s">
        <v>25</v>
      </c>
      <c r="E479" s="1" t="s">
        <v>157</v>
      </c>
      <c r="F479" s="1" t="s">
        <v>120</v>
      </c>
      <c r="G479" s="2">
        <v>45405</v>
      </c>
      <c r="H479" s="2">
        <v>45413</v>
      </c>
      <c r="I479" s="1" t="s">
        <v>277</v>
      </c>
      <c r="J479" s="1" t="s">
        <v>2081</v>
      </c>
      <c r="K479" s="1" t="s">
        <v>153</v>
      </c>
      <c r="L479" s="1" t="s">
        <v>32</v>
      </c>
      <c r="M479" s="1" t="s">
        <v>57</v>
      </c>
      <c r="N479">
        <v>211230.46</v>
      </c>
      <c r="O479">
        <v>36078.089999999997</v>
      </c>
      <c r="P479">
        <v>36172.720000000001</v>
      </c>
      <c r="Q479">
        <v>8</v>
      </c>
      <c r="R479">
        <v>196</v>
      </c>
      <c r="S479">
        <v>3.4</v>
      </c>
      <c r="T479" s="1" t="s">
        <v>46</v>
      </c>
      <c r="U479" s="1" t="s">
        <v>149</v>
      </c>
      <c r="V479" s="1" t="s">
        <v>102</v>
      </c>
      <c r="W479" s="1" t="s">
        <v>59</v>
      </c>
      <c r="X479">
        <v>283481.27</v>
      </c>
      <c r="Y479" s="1" t="s">
        <v>2088</v>
      </c>
      <c r="Z479" s="1" t="s">
        <v>2080</v>
      </c>
      <c r="AO479" t="str">
        <v>P00568</v>
      </c>
    </row>
    <row r="480" spans="1:41" x14ac:dyDescent="0.35">
      <c r="A480" s="1" t="s">
        <v>1415</v>
      </c>
      <c r="B480" s="1" t="s">
        <v>616</v>
      </c>
      <c r="C480">
        <v>68</v>
      </c>
      <c r="D480" s="1" t="s">
        <v>25</v>
      </c>
      <c r="E480" s="1" t="s">
        <v>26</v>
      </c>
      <c r="F480" s="1" t="s">
        <v>227</v>
      </c>
      <c r="G480" s="2">
        <v>45507</v>
      </c>
      <c r="H480" s="2">
        <v>45510</v>
      </c>
      <c r="I480" s="1" t="s">
        <v>53</v>
      </c>
      <c r="J480" s="1" t="s">
        <v>2081</v>
      </c>
      <c r="K480" s="1" t="s">
        <v>163</v>
      </c>
      <c r="L480" s="1" t="s">
        <v>32</v>
      </c>
      <c r="M480" s="1" t="s">
        <v>2087</v>
      </c>
      <c r="N480">
        <v>111167.99</v>
      </c>
      <c r="O480">
        <v>68969.73</v>
      </c>
      <c r="P480">
        <v>0</v>
      </c>
      <c r="Q480">
        <v>3</v>
      </c>
      <c r="R480">
        <v>217</v>
      </c>
      <c r="S480">
        <v>3.2</v>
      </c>
      <c r="T480" s="1" t="s">
        <v>34</v>
      </c>
      <c r="U480" s="1" t="s">
        <v>149</v>
      </c>
      <c r="V480" s="1" t="s">
        <v>130</v>
      </c>
      <c r="W480" s="1" t="s">
        <v>131</v>
      </c>
      <c r="X480">
        <v>180137.72</v>
      </c>
      <c r="Y480" s="1" t="s">
        <v>2088</v>
      </c>
      <c r="Z480" s="1" t="s">
        <v>2080</v>
      </c>
      <c r="AO480" t="str">
        <v>P00569</v>
      </c>
    </row>
    <row r="481" spans="1:41" x14ac:dyDescent="0.35">
      <c r="A481" s="1" t="s">
        <v>1416</v>
      </c>
      <c r="B481" s="1" t="s">
        <v>1323</v>
      </c>
      <c r="C481">
        <v>1</v>
      </c>
      <c r="D481" s="1" t="s">
        <v>25</v>
      </c>
      <c r="E481" s="1" t="s">
        <v>112</v>
      </c>
      <c r="F481" s="1" t="s">
        <v>193</v>
      </c>
      <c r="G481" s="2">
        <v>45552</v>
      </c>
      <c r="H481" s="2">
        <v>45554</v>
      </c>
      <c r="I481" s="1" t="s">
        <v>273</v>
      </c>
      <c r="J481" s="1" t="s">
        <v>54</v>
      </c>
      <c r="K481" s="1" t="s">
        <v>148</v>
      </c>
      <c r="L481" s="1" t="s">
        <v>32</v>
      </c>
      <c r="M481" s="1" t="s">
        <v>2089</v>
      </c>
      <c r="N481">
        <v>156328.74</v>
      </c>
      <c r="O481">
        <v>4004.84</v>
      </c>
      <c r="P481">
        <v>26770.61</v>
      </c>
      <c r="Q481">
        <v>2</v>
      </c>
      <c r="R481">
        <v>84</v>
      </c>
      <c r="S481">
        <v>4.9000000000000004</v>
      </c>
      <c r="T481" s="1" t="s">
        <v>34</v>
      </c>
      <c r="U481" s="1" t="s">
        <v>149</v>
      </c>
      <c r="V481" s="1" t="s">
        <v>130</v>
      </c>
      <c r="W481" s="1" t="s">
        <v>83</v>
      </c>
      <c r="X481">
        <v>187104.19</v>
      </c>
      <c r="Y481" s="1" t="s">
        <v>2093</v>
      </c>
      <c r="Z481" s="1" t="s">
        <v>2080</v>
      </c>
      <c r="AO481" t="str">
        <v>P00570</v>
      </c>
    </row>
    <row r="482" spans="1:41" x14ac:dyDescent="0.35">
      <c r="A482" s="1" t="s">
        <v>1418</v>
      </c>
      <c r="B482" s="1" t="s">
        <v>403</v>
      </c>
      <c r="C482">
        <v>49</v>
      </c>
      <c r="D482" s="1" t="s">
        <v>119</v>
      </c>
      <c r="E482" s="1" t="s">
        <v>112</v>
      </c>
      <c r="F482" s="1" t="s">
        <v>108</v>
      </c>
      <c r="G482" s="2">
        <v>45566</v>
      </c>
      <c r="H482" s="2">
        <v>45569</v>
      </c>
      <c r="I482" s="1" t="s">
        <v>221</v>
      </c>
      <c r="J482" s="1" t="s">
        <v>152</v>
      </c>
      <c r="K482" s="1" t="s">
        <v>55</v>
      </c>
      <c r="L482" s="1" t="s">
        <v>32</v>
      </c>
      <c r="M482" s="1" t="s">
        <v>2087</v>
      </c>
      <c r="N482">
        <v>66627.289999999994</v>
      </c>
      <c r="O482">
        <v>7981.15</v>
      </c>
      <c r="P482">
        <v>98961.75</v>
      </c>
      <c r="Q482">
        <v>3</v>
      </c>
      <c r="R482">
        <v>39</v>
      </c>
      <c r="S482">
        <v>5</v>
      </c>
      <c r="T482" s="1" t="s">
        <v>34</v>
      </c>
      <c r="U482" s="1" t="s">
        <v>149</v>
      </c>
      <c r="V482" s="1" t="s">
        <v>130</v>
      </c>
      <c r="W482" s="1" t="s">
        <v>131</v>
      </c>
      <c r="X482">
        <v>173570.19</v>
      </c>
      <c r="Y482" s="1" t="s">
        <v>2079</v>
      </c>
      <c r="Z482" s="1" t="s">
        <v>2091</v>
      </c>
      <c r="AO482" t="str">
        <v>P00571</v>
      </c>
    </row>
    <row r="483" spans="1:41" x14ac:dyDescent="0.35">
      <c r="A483" s="1" t="s">
        <v>1419</v>
      </c>
      <c r="B483" s="1" t="s">
        <v>181</v>
      </c>
      <c r="C483">
        <v>43</v>
      </c>
      <c r="D483" s="1" t="s">
        <v>25</v>
      </c>
      <c r="E483" s="1" t="s">
        <v>157</v>
      </c>
      <c r="F483" s="1" t="s">
        <v>193</v>
      </c>
      <c r="G483" s="2">
        <v>45579</v>
      </c>
      <c r="H483" s="2">
        <v>45581</v>
      </c>
      <c r="I483" s="1" t="s">
        <v>114</v>
      </c>
      <c r="J483" s="1" t="s">
        <v>147</v>
      </c>
      <c r="K483" s="1" t="s">
        <v>148</v>
      </c>
      <c r="L483" s="1" t="s">
        <v>32</v>
      </c>
      <c r="M483" s="1" t="s">
        <v>2087</v>
      </c>
      <c r="N483">
        <v>369851.12</v>
      </c>
      <c r="O483">
        <v>61797.31</v>
      </c>
      <c r="P483">
        <v>41675.620000000003</v>
      </c>
      <c r="Q483">
        <v>2</v>
      </c>
      <c r="R483">
        <v>65</v>
      </c>
      <c r="S483">
        <v>3.6</v>
      </c>
      <c r="T483" s="1" t="s">
        <v>34</v>
      </c>
      <c r="U483" s="1" t="s">
        <v>149</v>
      </c>
      <c r="V483" s="1" t="s">
        <v>130</v>
      </c>
      <c r="W483" s="1" t="s">
        <v>131</v>
      </c>
      <c r="X483">
        <v>473324.05</v>
      </c>
      <c r="Y483" s="1" t="s">
        <v>2079</v>
      </c>
      <c r="Z483" s="1" t="s">
        <v>2080</v>
      </c>
      <c r="AO483" t="str">
        <v>P00572</v>
      </c>
    </row>
    <row r="484" spans="1:41" x14ac:dyDescent="0.35">
      <c r="A484" s="1" t="s">
        <v>1420</v>
      </c>
      <c r="B484" s="1" t="s">
        <v>683</v>
      </c>
      <c r="C484">
        <v>62</v>
      </c>
      <c r="D484" s="1" t="s">
        <v>25</v>
      </c>
      <c r="E484" s="1" t="s">
        <v>86</v>
      </c>
      <c r="F484" s="1" t="s">
        <v>41</v>
      </c>
      <c r="G484" s="2">
        <v>45653</v>
      </c>
      <c r="H484" s="2">
        <v>45657</v>
      </c>
      <c r="I484" s="1" t="s">
        <v>100</v>
      </c>
      <c r="J484" s="1" t="s">
        <v>147</v>
      </c>
      <c r="K484" s="1" t="s">
        <v>148</v>
      </c>
      <c r="L484" s="1" t="s">
        <v>32</v>
      </c>
      <c r="M484" s="1" t="s">
        <v>2087</v>
      </c>
      <c r="N484">
        <v>220592.18</v>
      </c>
      <c r="O484">
        <v>45472.160000000003</v>
      </c>
      <c r="P484">
        <v>94150.79</v>
      </c>
      <c r="Q484">
        <v>4</v>
      </c>
      <c r="R484">
        <v>123</v>
      </c>
      <c r="S484">
        <v>4.0999999999999996</v>
      </c>
      <c r="T484" s="1" t="s">
        <v>34</v>
      </c>
      <c r="U484" s="1" t="s">
        <v>149</v>
      </c>
      <c r="V484" s="1" t="s">
        <v>75</v>
      </c>
      <c r="W484" s="1" t="s">
        <v>131</v>
      </c>
      <c r="X484">
        <v>360215.12999999995</v>
      </c>
      <c r="Y484" s="1" t="s">
        <v>2088</v>
      </c>
      <c r="Z484" s="1" t="s">
        <v>2080</v>
      </c>
      <c r="AO484" t="str">
        <v>P00574</v>
      </c>
    </row>
    <row r="485" spans="1:41" x14ac:dyDescent="0.35">
      <c r="A485" s="1" t="s">
        <v>1422</v>
      </c>
      <c r="B485" s="1" t="s">
        <v>70</v>
      </c>
      <c r="C485">
        <v>44</v>
      </c>
      <c r="D485" s="1" t="s">
        <v>119</v>
      </c>
      <c r="E485" s="1" t="s">
        <v>112</v>
      </c>
      <c r="F485" s="1" t="s">
        <v>145</v>
      </c>
      <c r="G485" s="2">
        <v>45686</v>
      </c>
      <c r="H485" s="2">
        <v>45692</v>
      </c>
      <c r="I485" s="1" t="s">
        <v>159</v>
      </c>
      <c r="J485" s="1" t="s">
        <v>87</v>
      </c>
      <c r="K485" s="1" t="s">
        <v>174</v>
      </c>
      <c r="L485" s="1" t="s">
        <v>66</v>
      </c>
      <c r="M485" s="1" t="s">
        <v>2086</v>
      </c>
      <c r="N485">
        <v>115430.74</v>
      </c>
      <c r="O485">
        <v>54754.16</v>
      </c>
      <c r="P485">
        <v>38486.07</v>
      </c>
      <c r="Q485">
        <v>6</v>
      </c>
      <c r="R485">
        <v>134</v>
      </c>
      <c r="S485">
        <v>3.1</v>
      </c>
      <c r="T485" s="1" t="s">
        <v>34</v>
      </c>
      <c r="U485" s="1" t="s">
        <v>35</v>
      </c>
      <c r="V485" s="1" t="s">
        <v>102</v>
      </c>
      <c r="W485" s="1" t="s">
        <v>131</v>
      </c>
      <c r="X485">
        <v>208670.97000000003</v>
      </c>
      <c r="Y485" s="1" t="s">
        <v>2079</v>
      </c>
      <c r="Z485" s="1" t="s">
        <v>2080</v>
      </c>
      <c r="AO485" t="str">
        <v>P00575</v>
      </c>
    </row>
    <row r="486" spans="1:41" x14ac:dyDescent="0.35">
      <c r="A486" s="1" t="s">
        <v>1424</v>
      </c>
      <c r="B486" s="1" t="s">
        <v>1425</v>
      </c>
      <c r="C486">
        <v>44</v>
      </c>
      <c r="D486" s="1" t="s">
        <v>25</v>
      </c>
      <c r="E486" s="1" t="s">
        <v>157</v>
      </c>
      <c r="F486" s="1" t="s">
        <v>41</v>
      </c>
      <c r="G486" s="2">
        <v>45723</v>
      </c>
      <c r="H486" s="2">
        <v>45725</v>
      </c>
      <c r="I486" s="1" t="s">
        <v>100</v>
      </c>
      <c r="J486" s="1" t="s">
        <v>90</v>
      </c>
      <c r="K486" s="1" t="s">
        <v>122</v>
      </c>
      <c r="L486" s="1" t="s">
        <v>32</v>
      </c>
      <c r="M486" s="1" t="s">
        <v>2086</v>
      </c>
      <c r="N486">
        <v>221796.01</v>
      </c>
      <c r="O486">
        <v>41995.68</v>
      </c>
      <c r="P486">
        <v>36940.629999999997</v>
      </c>
      <c r="Q486">
        <v>2</v>
      </c>
      <c r="R486">
        <v>0</v>
      </c>
      <c r="S486">
        <v>3.1</v>
      </c>
      <c r="T486" s="1" t="s">
        <v>34</v>
      </c>
      <c r="U486" s="1" t="s">
        <v>95</v>
      </c>
      <c r="V486" s="1" t="s">
        <v>75</v>
      </c>
      <c r="W486" s="1" t="s">
        <v>36</v>
      </c>
      <c r="X486">
        <v>300732.32</v>
      </c>
      <c r="Y486" s="1" t="s">
        <v>2079</v>
      </c>
      <c r="Z486" s="1" t="s">
        <v>2083</v>
      </c>
      <c r="AO486" t="str">
        <v>P00576</v>
      </c>
    </row>
    <row r="487" spans="1:41" x14ac:dyDescent="0.35">
      <c r="A487" s="1" t="s">
        <v>1429</v>
      </c>
      <c r="B487" s="1" t="s">
        <v>297</v>
      </c>
      <c r="C487">
        <v>49</v>
      </c>
      <c r="D487" s="1" t="s">
        <v>25</v>
      </c>
      <c r="E487" s="1" t="s">
        <v>26</v>
      </c>
      <c r="F487" s="1" t="s">
        <v>227</v>
      </c>
      <c r="G487" s="2">
        <v>46033</v>
      </c>
      <c r="H487" s="2">
        <v>46035</v>
      </c>
      <c r="I487" s="1" t="s">
        <v>53</v>
      </c>
      <c r="J487" s="1" t="s">
        <v>2081</v>
      </c>
      <c r="K487" s="1" t="s">
        <v>81</v>
      </c>
      <c r="L487" s="1" t="s">
        <v>44</v>
      </c>
      <c r="M487" s="1" t="s">
        <v>57</v>
      </c>
      <c r="N487">
        <v>148710.13</v>
      </c>
      <c r="O487">
        <v>8841.01</v>
      </c>
      <c r="P487">
        <v>27452.77</v>
      </c>
      <c r="Q487">
        <v>2</v>
      </c>
      <c r="R487">
        <v>59</v>
      </c>
      <c r="S487">
        <v>4.2</v>
      </c>
      <c r="T487" s="1" t="s">
        <v>34</v>
      </c>
      <c r="U487" s="1" t="s">
        <v>95</v>
      </c>
      <c r="V487" s="1" t="s">
        <v>75</v>
      </c>
      <c r="W487" s="1" t="s">
        <v>12</v>
      </c>
      <c r="X487">
        <v>185003.91</v>
      </c>
      <c r="Y487" s="1" t="s">
        <v>2079</v>
      </c>
      <c r="Z487" s="1" t="s">
        <v>2091</v>
      </c>
      <c r="AO487" t="str">
        <v>P00577</v>
      </c>
    </row>
    <row r="488" spans="1:41" x14ac:dyDescent="0.35">
      <c r="A488" s="1" t="s">
        <v>1430</v>
      </c>
      <c r="B488" s="1" t="s">
        <v>279</v>
      </c>
      <c r="C488">
        <v>27</v>
      </c>
      <c r="D488" s="1" t="s">
        <v>25</v>
      </c>
      <c r="E488" s="1" t="s">
        <v>177</v>
      </c>
      <c r="F488" s="1" t="s">
        <v>227</v>
      </c>
      <c r="G488" s="2">
        <v>45763</v>
      </c>
      <c r="H488" s="2">
        <v>45779</v>
      </c>
      <c r="I488" s="1" t="s">
        <v>277</v>
      </c>
      <c r="J488" s="1" t="s">
        <v>2081</v>
      </c>
      <c r="K488" s="1" t="s">
        <v>81</v>
      </c>
      <c r="L488" s="1" t="s">
        <v>44</v>
      </c>
      <c r="M488" s="1" t="s">
        <v>2086</v>
      </c>
      <c r="N488">
        <v>161672.46</v>
      </c>
      <c r="O488">
        <v>28421.919999999998</v>
      </c>
      <c r="P488">
        <v>56873.97</v>
      </c>
      <c r="Q488">
        <v>16</v>
      </c>
      <c r="R488">
        <v>114</v>
      </c>
      <c r="S488">
        <v>5</v>
      </c>
      <c r="T488" s="1" t="s">
        <v>34</v>
      </c>
      <c r="U488" s="1" t="s">
        <v>95</v>
      </c>
      <c r="V488" s="1" t="s">
        <v>75</v>
      </c>
      <c r="W488" s="1" t="s">
        <v>12</v>
      </c>
      <c r="X488">
        <v>246968.35</v>
      </c>
      <c r="Y488" s="1" t="s">
        <v>2082</v>
      </c>
      <c r="Z488" s="1" t="s">
        <v>2080</v>
      </c>
      <c r="AO488" t="str">
        <v>P00578</v>
      </c>
    </row>
    <row r="489" spans="1:41" x14ac:dyDescent="0.35">
      <c r="A489" s="1" t="s">
        <v>1432</v>
      </c>
      <c r="B489" s="1" t="s">
        <v>871</v>
      </c>
      <c r="C489">
        <v>0</v>
      </c>
      <c r="D489" s="1" t="s">
        <v>25</v>
      </c>
      <c r="E489" s="1" t="s">
        <v>86</v>
      </c>
      <c r="F489" s="1" t="s">
        <v>63</v>
      </c>
      <c r="G489" s="2">
        <v>45786</v>
      </c>
      <c r="H489" s="2">
        <v>45787</v>
      </c>
      <c r="I489" s="1" t="s">
        <v>114</v>
      </c>
      <c r="J489" s="1" t="s">
        <v>87</v>
      </c>
      <c r="K489" s="1" t="s">
        <v>55</v>
      </c>
      <c r="L489" s="1" t="s">
        <v>66</v>
      </c>
      <c r="M489" s="1" t="s">
        <v>2089</v>
      </c>
      <c r="N489">
        <v>150577.06</v>
      </c>
      <c r="O489">
        <v>57432.5</v>
      </c>
      <c r="P489">
        <v>0</v>
      </c>
      <c r="Q489">
        <v>1</v>
      </c>
      <c r="R489">
        <v>0</v>
      </c>
      <c r="S489">
        <v>4.4000000000000004</v>
      </c>
      <c r="T489" s="1" t="s">
        <v>34</v>
      </c>
      <c r="U489" s="1" t="s">
        <v>101</v>
      </c>
      <c r="V489" s="1" t="s">
        <v>130</v>
      </c>
      <c r="W489" s="1" t="s">
        <v>131</v>
      </c>
      <c r="X489">
        <v>208009.56</v>
      </c>
      <c r="Y489" s="1" t="s">
        <v>2093</v>
      </c>
      <c r="Z489" s="1" t="s">
        <v>2083</v>
      </c>
      <c r="AO489" t="str">
        <v>P00579</v>
      </c>
    </row>
    <row r="490" spans="1:41" x14ac:dyDescent="0.35">
      <c r="A490" s="1" t="s">
        <v>1433</v>
      </c>
      <c r="B490" s="1" t="s">
        <v>350</v>
      </c>
      <c r="C490">
        <v>19</v>
      </c>
      <c r="D490" s="1" t="s">
        <v>25</v>
      </c>
      <c r="E490" s="1" t="s">
        <v>2084</v>
      </c>
      <c r="F490" s="1" t="s">
        <v>108</v>
      </c>
      <c r="G490" s="2">
        <v>45791</v>
      </c>
      <c r="H490" s="2">
        <v>45794</v>
      </c>
      <c r="I490" s="1" t="s">
        <v>114</v>
      </c>
      <c r="J490" s="1" t="s">
        <v>54</v>
      </c>
      <c r="K490" s="1" t="s">
        <v>163</v>
      </c>
      <c r="L490" s="1" t="s">
        <v>66</v>
      </c>
      <c r="M490" s="1" t="s">
        <v>2087</v>
      </c>
      <c r="N490">
        <v>82024.460000000006</v>
      </c>
      <c r="O490">
        <v>5756.41</v>
      </c>
      <c r="P490">
        <v>48316.06</v>
      </c>
      <c r="Q490">
        <v>3</v>
      </c>
      <c r="R490">
        <v>48</v>
      </c>
      <c r="S490">
        <v>4.3</v>
      </c>
      <c r="T490" s="1" t="s">
        <v>34</v>
      </c>
      <c r="U490" s="1" t="s">
        <v>101</v>
      </c>
      <c r="V490" s="1" t="s">
        <v>102</v>
      </c>
      <c r="W490" s="1" t="s">
        <v>131</v>
      </c>
      <c r="X490">
        <v>136096.93</v>
      </c>
      <c r="Y490" s="1" t="s">
        <v>2082</v>
      </c>
      <c r="Z490" s="1" t="s">
        <v>2091</v>
      </c>
      <c r="AO490" t="str">
        <v>P00580</v>
      </c>
    </row>
    <row r="491" spans="1:41" x14ac:dyDescent="0.35">
      <c r="A491" s="1" t="s">
        <v>1437</v>
      </c>
      <c r="B491" s="1" t="s">
        <v>483</v>
      </c>
      <c r="C491">
        <v>55</v>
      </c>
      <c r="D491" s="1" t="s">
        <v>119</v>
      </c>
      <c r="E491" s="1" t="s">
        <v>219</v>
      </c>
      <c r="F491" s="1" t="s">
        <v>63</v>
      </c>
      <c r="G491" s="2">
        <v>45835</v>
      </c>
      <c r="H491" s="2">
        <v>45838</v>
      </c>
      <c r="I491" s="1" t="s">
        <v>127</v>
      </c>
      <c r="J491" s="1" t="s">
        <v>115</v>
      </c>
      <c r="K491" s="1" t="s">
        <v>174</v>
      </c>
      <c r="L491" s="1" t="s">
        <v>44</v>
      </c>
      <c r="M491" s="1" t="s">
        <v>2085</v>
      </c>
      <c r="N491">
        <v>479930.64</v>
      </c>
      <c r="O491">
        <v>17955.849999999999</v>
      </c>
      <c r="P491">
        <v>54733.760000000002</v>
      </c>
      <c r="Q491">
        <v>3</v>
      </c>
      <c r="R491">
        <v>0</v>
      </c>
      <c r="S491">
        <v>4.2</v>
      </c>
      <c r="T491" s="1" t="s">
        <v>34</v>
      </c>
      <c r="U491" s="1" t="s">
        <v>101</v>
      </c>
      <c r="V491" s="1" t="s">
        <v>102</v>
      </c>
      <c r="W491" s="1" t="s">
        <v>131</v>
      </c>
      <c r="X491">
        <v>552620.25</v>
      </c>
      <c r="Y491" s="1" t="s">
        <v>2079</v>
      </c>
      <c r="Z491" s="1" t="s">
        <v>2083</v>
      </c>
      <c r="AO491" t="str">
        <v>P00584</v>
      </c>
    </row>
    <row r="492" spans="1:41" x14ac:dyDescent="0.35">
      <c r="A492" s="1" t="s">
        <v>1439</v>
      </c>
      <c r="B492" s="1" t="s">
        <v>1350</v>
      </c>
      <c r="C492">
        <v>42</v>
      </c>
      <c r="D492" s="1" t="s">
        <v>119</v>
      </c>
      <c r="E492" s="1" t="s">
        <v>112</v>
      </c>
      <c r="F492" s="1" t="s">
        <v>63</v>
      </c>
      <c r="G492" s="2">
        <v>45683</v>
      </c>
      <c r="H492" s="2">
        <v>45688</v>
      </c>
      <c r="I492" s="1" t="s">
        <v>159</v>
      </c>
      <c r="J492" s="1" t="s">
        <v>115</v>
      </c>
      <c r="K492" s="1" t="s">
        <v>163</v>
      </c>
      <c r="L492" s="1" t="s">
        <v>32</v>
      </c>
      <c r="M492" s="1" t="s">
        <v>2087</v>
      </c>
      <c r="N492">
        <v>384991.78</v>
      </c>
      <c r="O492">
        <v>0</v>
      </c>
      <c r="P492">
        <v>60597.06</v>
      </c>
      <c r="Q492">
        <v>5</v>
      </c>
      <c r="R492">
        <v>235</v>
      </c>
      <c r="S492">
        <v>4.2</v>
      </c>
      <c r="T492" s="1" t="s">
        <v>34</v>
      </c>
      <c r="U492" s="1" t="s">
        <v>101</v>
      </c>
      <c r="V492" s="1" t="s">
        <v>102</v>
      </c>
      <c r="W492" s="1" t="s">
        <v>131</v>
      </c>
      <c r="X492">
        <v>445588.84</v>
      </c>
      <c r="Y492" s="1" t="s">
        <v>2079</v>
      </c>
      <c r="Z492" s="1" t="s">
        <v>2080</v>
      </c>
      <c r="AO492" t="str">
        <v>P00586</v>
      </c>
    </row>
    <row r="493" spans="1:41" x14ac:dyDescent="0.35">
      <c r="A493" s="1" t="s">
        <v>1441</v>
      </c>
      <c r="B493" s="1" t="s">
        <v>491</v>
      </c>
      <c r="C493">
        <v>43</v>
      </c>
      <c r="D493" s="1" t="s">
        <v>119</v>
      </c>
      <c r="E493" s="1" t="s">
        <v>40</v>
      </c>
      <c r="F493" s="1" t="s">
        <v>120</v>
      </c>
      <c r="G493" s="2">
        <v>45881</v>
      </c>
      <c r="H493" s="2">
        <v>45884</v>
      </c>
      <c r="I493" s="1" t="s">
        <v>127</v>
      </c>
      <c r="J493" s="1" t="s">
        <v>2081</v>
      </c>
      <c r="K493" s="1" t="s">
        <v>31</v>
      </c>
      <c r="L493" s="1" t="s">
        <v>32</v>
      </c>
      <c r="M493" s="1" t="s">
        <v>2078</v>
      </c>
      <c r="N493">
        <v>76.599999999999994</v>
      </c>
      <c r="O493">
        <v>63889.32</v>
      </c>
      <c r="P493">
        <v>26674.27</v>
      </c>
      <c r="Q493">
        <v>3</v>
      </c>
      <c r="R493">
        <v>132</v>
      </c>
      <c r="S493">
        <v>1.7</v>
      </c>
      <c r="T493" s="1" t="s">
        <v>34</v>
      </c>
      <c r="U493" s="1" t="s">
        <v>101</v>
      </c>
      <c r="V493" s="1" t="s">
        <v>102</v>
      </c>
      <c r="W493" s="1" t="s">
        <v>131</v>
      </c>
      <c r="X493">
        <v>90640.19</v>
      </c>
      <c r="Y493" s="1" t="s">
        <v>2079</v>
      </c>
      <c r="Z493" s="1" t="s">
        <v>2080</v>
      </c>
      <c r="AO493" t="str">
        <v>P00587</v>
      </c>
    </row>
    <row r="494" spans="1:41" x14ac:dyDescent="0.35">
      <c r="A494" s="1" t="s">
        <v>1443</v>
      </c>
      <c r="B494" s="1" t="s">
        <v>285</v>
      </c>
      <c r="C494">
        <v>74</v>
      </c>
      <c r="D494" s="1" t="s">
        <v>25</v>
      </c>
      <c r="E494" s="1" t="s">
        <v>107</v>
      </c>
      <c r="F494" s="1" t="s">
        <v>227</v>
      </c>
      <c r="G494" s="2">
        <v>45500</v>
      </c>
      <c r="H494" s="2">
        <v>45501</v>
      </c>
      <c r="I494" s="1" t="s">
        <v>114</v>
      </c>
      <c r="J494" s="1" t="s">
        <v>87</v>
      </c>
      <c r="K494" s="1" t="s">
        <v>148</v>
      </c>
      <c r="L494" s="1" t="s">
        <v>44</v>
      </c>
      <c r="M494" s="1" t="s">
        <v>2078</v>
      </c>
      <c r="N494">
        <v>171377.68</v>
      </c>
      <c r="O494">
        <v>66331.89</v>
      </c>
      <c r="P494">
        <v>42653.08</v>
      </c>
      <c r="Q494">
        <v>1</v>
      </c>
      <c r="R494">
        <v>0</v>
      </c>
      <c r="S494">
        <v>4.9000000000000004</v>
      </c>
      <c r="T494" s="1" t="s">
        <v>46</v>
      </c>
      <c r="U494" s="1" t="s">
        <v>101</v>
      </c>
      <c r="V494" s="1" t="s">
        <v>75</v>
      </c>
      <c r="W494" s="1" t="s">
        <v>59</v>
      </c>
      <c r="X494">
        <v>280362.65000000002</v>
      </c>
      <c r="Y494" s="1" t="s">
        <v>2088</v>
      </c>
      <c r="Z494" s="1" t="s">
        <v>2083</v>
      </c>
      <c r="AO494" t="str">
        <v>P00588</v>
      </c>
    </row>
    <row r="495" spans="1:41" x14ac:dyDescent="0.35">
      <c r="A495" s="1" t="s">
        <v>1445</v>
      </c>
      <c r="B495" s="1" t="s">
        <v>1224</v>
      </c>
      <c r="C495">
        <v>58</v>
      </c>
      <c r="D495" s="1" t="s">
        <v>119</v>
      </c>
      <c r="E495" s="1" t="s">
        <v>26</v>
      </c>
      <c r="F495" s="1" t="s">
        <v>227</v>
      </c>
      <c r="G495" s="2">
        <v>45305</v>
      </c>
      <c r="H495" s="2">
        <v>45307</v>
      </c>
      <c r="I495" s="1" t="s">
        <v>273</v>
      </c>
      <c r="J495" s="1" t="s">
        <v>147</v>
      </c>
      <c r="K495" s="1" t="s">
        <v>153</v>
      </c>
      <c r="L495" s="1" t="s">
        <v>44</v>
      </c>
      <c r="M495" s="1" t="s">
        <v>2078</v>
      </c>
      <c r="N495">
        <v>223529.52</v>
      </c>
      <c r="O495">
        <v>0</v>
      </c>
      <c r="P495">
        <v>49928.84</v>
      </c>
      <c r="Q495">
        <v>2</v>
      </c>
      <c r="R495">
        <v>259</v>
      </c>
      <c r="S495">
        <v>4.7</v>
      </c>
      <c r="T495" s="1" t="s">
        <v>46</v>
      </c>
      <c r="U495" s="1" t="s">
        <v>95</v>
      </c>
      <c r="V495" s="1" t="s">
        <v>102</v>
      </c>
      <c r="W495" s="1" t="s">
        <v>59</v>
      </c>
      <c r="X495">
        <v>273458.36</v>
      </c>
      <c r="Y495" s="1" t="s">
        <v>2079</v>
      </c>
      <c r="Z495" s="1" t="s">
        <v>2080</v>
      </c>
      <c r="AO495" t="str">
        <v>P00589</v>
      </c>
    </row>
    <row r="496" spans="1:41" x14ac:dyDescent="0.35">
      <c r="A496" s="1" t="s">
        <v>1446</v>
      </c>
      <c r="B496" s="1" t="s">
        <v>321</v>
      </c>
      <c r="C496">
        <v>66</v>
      </c>
      <c r="D496" s="1" t="s">
        <v>119</v>
      </c>
      <c r="E496" s="1" t="s">
        <v>40</v>
      </c>
      <c r="F496" s="1" t="s">
        <v>145</v>
      </c>
      <c r="G496" s="2">
        <v>45988</v>
      </c>
      <c r="H496" s="2">
        <v>45991</v>
      </c>
      <c r="I496" s="1" t="s">
        <v>273</v>
      </c>
      <c r="J496" s="1" t="s">
        <v>147</v>
      </c>
      <c r="K496" s="1" t="s">
        <v>153</v>
      </c>
      <c r="L496" s="1" t="s">
        <v>32</v>
      </c>
      <c r="M496" s="1" t="s">
        <v>57</v>
      </c>
      <c r="N496">
        <v>249493.59</v>
      </c>
      <c r="O496">
        <v>35238.36</v>
      </c>
      <c r="P496">
        <v>12251.24</v>
      </c>
      <c r="Q496">
        <v>3</v>
      </c>
      <c r="R496">
        <v>112</v>
      </c>
      <c r="S496">
        <v>4.7</v>
      </c>
      <c r="T496" s="1" t="s">
        <v>46</v>
      </c>
      <c r="U496" s="1" t="s">
        <v>95</v>
      </c>
      <c r="V496" s="1" t="s">
        <v>102</v>
      </c>
      <c r="W496" s="1" t="s">
        <v>59</v>
      </c>
      <c r="X496">
        <v>296983.19</v>
      </c>
      <c r="Y496" s="1" t="s">
        <v>2088</v>
      </c>
      <c r="Z496" s="1" t="s">
        <v>2080</v>
      </c>
      <c r="AO496" t="str">
        <v>P00590</v>
      </c>
    </row>
    <row r="497" spans="1:41" x14ac:dyDescent="0.35">
      <c r="A497" s="1" t="s">
        <v>1447</v>
      </c>
      <c r="B497" s="1" t="s">
        <v>1037</v>
      </c>
      <c r="C497">
        <v>74</v>
      </c>
      <c r="D497" s="1" t="s">
        <v>119</v>
      </c>
      <c r="E497" s="1" t="s">
        <v>2084</v>
      </c>
      <c r="F497" s="1" t="s">
        <v>145</v>
      </c>
      <c r="G497" s="2">
        <v>45653</v>
      </c>
      <c r="H497" s="2">
        <v>45654</v>
      </c>
      <c r="I497" s="1" t="s">
        <v>273</v>
      </c>
      <c r="J497" s="1" t="s">
        <v>87</v>
      </c>
      <c r="K497" s="1" t="s">
        <v>153</v>
      </c>
      <c r="L497" s="1" t="s">
        <v>32</v>
      </c>
      <c r="M497" s="1" t="s">
        <v>2089</v>
      </c>
      <c r="N497">
        <v>207161.16</v>
      </c>
      <c r="O497">
        <v>7805.76</v>
      </c>
      <c r="P497">
        <v>74928.960000000006</v>
      </c>
      <c r="Q497">
        <v>1</v>
      </c>
      <c r="R497">
        <v>73</v>
      </c>
      <c r="S497">
        <v>4.7</v>
      </c>
      <c r="T497" s="1" t="s">
        <v>46</v>
      </c>
      <c r="U497" s="1" t="s">
        <v>95</v>
      </c>
      <c r="V497" s="1" t="s">
        <v>102</v>
      </c>
      <c r="W497" s="1" t="s">
        <v>131</v>
      </c>
      <c r="X497">
        <v>289895.88</v>
      </c>
      <c r="Y497" s="1" t="s">
        <v>2088</v>
      </c>
      <c r="Z497" s="1" t="s">
        <v>2080</v>
      </c>
      <c r="AO497" t="str">
        <v>P00591</v>
      </c>
    </row>
    <row r="498" spans="1:41" x14ac:dyDescent="0.35">
      <c r="A498" s="1" t="s">
        <v>1448</v>
      </c>
      <c r="B498" s="1" t="s">
        <v>1449</v>
      </c>
      <c r="C498">
        <v>41</v>
      </c>
      <c r="D498" s="1" t="s">
        <v>25</v>
      </c>
      <c r="E498" s="1" t="s">
        <v>86</v>
      </c>
      <c r="F498" s="1" t="s">
        <v>108</v>
      </c>
      <c r="G498" s="2">
        <v>45660</v>
      </c>
      <c r="H498" s="2">
        <v>45662</v>
      </c>
      <c r="I498" s="1" t="s">
        <v>273</v>
      </c>
      <c r="J498" s="1" t="s">
        <v>141</v>
      </c>
      <c r="K498" s="1" t="s">
        <v>55</v>
      </c>
      <c r="L498" s="1" t="s">
        <v>66</v>
      </c>
      <c r="M498" s="1" t="s">
        <v>2086</v>
      </c>
      <c r="N498">
        <v>289098.43</v>
      </c>
      <c r="O498">
        <v>37272.43</v>
      </c>
      <c r="P498">
        <v>0</v>
      </c>
      <c r="Q498">
        <v>2</v>
      </c>
      <c r="R498">
        <v>10</v>
      </c>
      <c r="S498">
        <v>4.9000000000000004</v>
      </c>
      <c r="T498" s="1" t="s">
        <v>46</v>
      </c>
      <c r="U498" s="1" t="s">
        <v>95</v>
      </c>
      <c r="V498" s="1" t="s">
        <v>102</v>
      </c>
      <c r="W498" s="1" t="s">
        <v>12</v>
      </c>
      <c r="X498">
        <v>326370.86</v>
      </c>
      <c r="Y498" s="1" t="s">
        <v>2079</v>
      </c>
      <c r="Z498" s="1" t="s">
        <v>2083</v>
      </c>
      <c r="AO498" t="str">
        <v>P00592</v>
      </c>
    </row>
    <row r="499" spans="1:41" x14ac:dyDescent="0.35">
      <c r="A499" s="1" t="s">
        <v>1450</v>
      </c>
      <c r="B499" s="1" t="s">
        <v>1224</v>
      </c>
      <c r="C499">
        <v>31</v>
      </c>
      <c r="D499" s="1" t="s">
        <v>119</v>
      </c>
      <c r="E499" s="1" t="s">
        <v>86</v>
      </c>
      <c r="F499" s="1" t="s">
        <v>227</v>
      </c>
      <c r="G499" s="2">
        <v>45487</v>
      </c>
      <c r="H499" s="2">
        <v>45489</v>
      </c>
      <c r="I499" s="1" t="s">
        <v>235</v>
      </c>
      <c r="J499" s="1" t="s">
        <v>141</v>
      </c>
      <c r="K499" s="1" t="s">
        <v>81</v>
      </c>
      <c r="L499" s="1" t="s">
        <v>44</v>
      </c>
      <c r="M499" s="1" t="s">
        <v>2086</v>
      </c>
      <c r="N499">
        <v>29799.64</v>
      </c>
      <c r="O499">
        <v>3006.59</v>
      </c>
      <c r="P499">
        <v>0</v>
      </c>
      <c r="Q499">
        <v>2</v>
      </c>
      <c r="R499">
        <v>87</v>
      </c>
      <c r="S499">
        <v>2.9</v>
      </c>
      <c r="T499" s="1" t="s">
        <v>34</v>
      </c>
      <c r="U499" s="1" t="s">
        <v>95</v>
      </c>
      <c r="V499" s="1" t="s">
        <v>102</v>
      </c>
      <c r="W499" s="1" t="s">
        <v>12</v>
      </c>
      <c r="X499">
        <v>32806.229999999996</v>
      </c>
      <c r="Y499" s="1" t="s">
        <v>2082</v>
      </c>
      <c r="Z499" s="1" t="s">
        <v>2080</v>
      </c>
      <c r="AO499" t="str">
        <v>P00594</v>
      </c>
    </row>
    <row r="500" spans="1:41" x14ac:dyDescent="0.35">
      <c r="A500" s="1" t="s">
        <v>1452</v>
      </c>
      <c r="B500" s="1" t="s">
        <v>1276</v>
      </c>
      <c r="C500">
        <v>41</v>
      </c>
      <c r="D500" s="1" t="s">
        <v>119</v>
      </c>
      <c r="E500" s="1" t="s">
        <v>107</v>
      </c>
      <c r="F500" s="1" t="s">
        <v>41</v>
      </c>
      <c r="G500" s="2">
        <v>45588</v>
      </c>
      <c r="H500" s="2">
        <v>45589</v>
      </c>
      <c r="I500" s="1" t="s">
        <v>114</v>
      </c>
      <c r="J500" s="1" t="s">
        <v>87</v>
      </c>
      <c r="K500" s="1" t="s">
        <v>55</v>
      </c>
      <c r="L500" s="1" t="s">
        <v>66</v>
      </c>
      <c r="M500" s="1" t="s">
        <v>2089</v>
      </c>
      <c r="N500">
        <v>270955.89</v>
      </c>
      <c r="O500">
        <v>82329.95</v>
      </c>
      <c r="P500">
        <v>0</v>
      </c>
      <c r="Q500">
        <v>1</v>
      </c>
      <c r="R500">
        <v>181</v>
      </c>
      <c r="S500">
        <v>5</v>
      </c>
      <c r="T500" s="1" t="s">
        <v>34</v>
      </c>
      <c r="U500" s="1" t="s">
        <v>95</v>
      </c>
      <c r="V500" s="1" t="s">
        <v>130</v>
      </c>
      <c r="W500" s="1" t="s">
        <v>12</v>
      </c>
      <c r="X500">
        <v>353285.84</v>
      </c>
      <c r="Y500" s="1" t="s">
        <v>2079</v>
      </c>
      <c r="Z500" s="1" t="s">
        <v>2080</v>
      </c>
      <c r="AO500" t="str">
        <v>P00595</v>
      </c>
    </row>
    <row r="501" spans="1:41" x14ac:dyDescent="0.35">
      <c r="A501" s="1" t="s">
        <v>1454</v>
      </c>
      <c r="B501" s="1" t="s">
        <v>294</v>
      </c>
      <c r="C501">
        <v>47</v>
      </c>
      <c r="D501" s="1" t="s">
        <v>119</v>
      </c>
      <c r="E501" s="1" t="s">
        <v>177</v>
      </c>
      <c r="F501" s="1" t="s">
        <v>227</v>
      </c>
      <c r="G501" s="2">
        <v>45343</v>
      </c>
      <c r="H501" s="2">
        <v>45344</v>
      </c>
      <c r="I501" s="1" t="s">
        <v>114</v>
      </c>
      <c r="J501" s="1" t="s">
        <v>2081</v>
      </c>
      <c r="K501" s="1" t="s">
        <v>55</v>
      </c>
      <c r="L501" s="1" t="s">
        <v>32</v>
      </c>
      <c r="M501" s="1" t="s">
        <v>2087</v>
      </c>
      <c r="N501">
        <v>155931.35</v>
      </c>
      <c r="O501">
        <v>34642.21</v>
      </c>
      <c r="P501">
        <v>90273.93</v>
      </c>
      <c r="Q501">
        <v>1</v>
      </c>
      <c r="R501">
        <v>140</v>
      </c>
      <c r="S501">
        <v>4.4000000000000004</v>
      </c>
      <c r="T501" s="1" t="s">
        <v>46</v>
      </c>
      <c r="U501" s="1" t="s">
        <v>149</v>
      </c>
      <c r="V501" s="1" t="s">
        <v>75</v>
      </c>
      <c r="W501" s="1" t="s">
        <v>12</v>
      </c>
      <c r="X501">
        <v>280847.49</v>
      </c>
      <c r="Y501" s="1" t="s">
        <v>2079</v>
      </c>
      <c r="Z501" s="1" t="s">
        <v>2080</v>
      </c>
      <c r="AO501" t="str">
        <v>P00598</v>
      </c>
    </row>
    <row r="502" spans="1:41" x14ac:dyDescent="0.35">
      <c r="A502" s="1" t="s">
        <v>1456</v>
      </c>
      <c r="B502" s="1" t="s">
        <v>488</v>
      </c>
      <c r="C502">
        <v>10</v>
      </c>
      <c r="D502" s="1" t="s">
        <v>25</v>
      </c>
      <c r="E502" s="1" t="s">
        <v>26</v>
      </c>
      <c r="F502" s="1" t="s">
        <v>87</v>
      </c>
      <c r="G502" s="2">
        <v>45655</v>
      </c>
      <c r="H502" s="2">
        <v>45657</v>
      </c>
      <c r="I502" s="1" t="s">
        <v>273</v>
      </c>
      <c r="J502" s="1" t="s">
        <v>2081</v>
      </c>
      <c r="K502" s="1" t="s">
        <v>55</v>
      </c>
      <c r="L502" s="1" t="s">
        <v>66</v>
      </c>
      <c r="M502" s="1" t="s">
        <v>2087</v>
      </c>
      <c r="N502">
        <v>190814.45</v>
      </c>
      <c r="O502">
        <v>60165.2</v>
      </c>
      <c r="P502">
        <v>0</v>
      </c>
      <c r="Q502">
        <v>2</v>
      </c>
      <c r="R502">
        <v>15</v>
      </c>
      <c r="S502">
        <v>3.9</v>
      </c>
      <c r="T502" s="1" t="s">
        <v>46</v>
      </c>
      <c r="U502" s="1" t="s">
        <v>95</v>
      </c>
      <c r="V502" s="1" t="s">
        <v>102</v>
      </c>
      <c r="W502" s="1" t="s">
        <v>131</v>
      </c>
      <c r="X502">
        <v>250979.65000000002</v>
      </c>
      <c r="Y502" s="1" t="s">
        <v>2093</v>
      </c>
      <c r="Z502" s="1" t="s">
        <v>2083</v>
      </c>
      <c r="AO502" t="str">
        <v>P00599</v>
      </c>
    </row>
    <row r="503" spans="1:41" x14ac:dyDescent="0.35">
      <c r="A503" s="1" t="s">
        <v>1457</v>
      </c>
      <c r="B503" s="1" t="s">
        <v>1407</v>
      </c>
      <c r="C503">
        <v>25</v>
      </c>
      <c r="D503" s="1" t="s">
        <v>25</v>
      </c>
      <c r="E503" s="1" t="s">
        <v>107</v>
      </c>
      <c r="F503" s="1" t="s">
        <v>63</v>
      </c>
      <c r="G503" s="2">
        <v>45859</v>
      </c>
      <c r="H503" s="2">
        <v>45860</v>
      </c>
      <c r="I503" s="1" t="s">
        <v>221</v>
      </c>
      <c r="J503" s="1" t="s">
        <v>2081</v>
      </c>
      <c r="K503" s="1" t="s">
        <v>81</v>
      </c>
      <c r="L503" s="1" t="s">
        <v>66</v>
      </c>
      <c r="M503" s="1" t="s">
        <v>2090</v>
      </c>
      <c r="N503">
        <v>160696.20000000001</v>
      </c>
      <c r="O503">
        <v>0</v>
      </c>
      <c r="P503">
        <v>15776.34</v>
      </c>
      <c r="Q503">
        <v>1</v>
      </c>
      <c r="R503">
        <v>147</v>
      </c>
      <c r="S503">
        <v>2</v>
      </c>
      <c r="T503" s="1" t="s">
        <v>34</v>
      </c>
      <c r="U503" s="1" t="s">
        <v>149</v>
      </c>
      <c r="V503" s="1" t="s">
        <v>102</v>
      </c>
      <c r="W503" s="1" t="s">
        <v>131</v>
      </c>
      <c r="X503">
        <v>176472.54</v>
      </c>
      <c r="Y503" s="1" t="s">
        <v>2082</v>
      </c>
      <c r="Z503" s="1" t="s">
        <v>2080</v>
      </c>
      <c r="AO503" t="str">
        <v>P00600</v>
      </c>
    </row>
    <row r="504" spans="1:41" x14ac:dyDescent="0.35">
      <c r="A504" s="1" t="s">
        <v>1458</v>
      </c>
      <c r="B504" s="1" t="s">
        <v>371</v>
      </c>
      <c r="C504">
        <v>29</v>
      </c>
      <c r="D504" s="1" t="s">
        <v>25</v>
      </c>
      <c r="E504" s="1" t="s">
        <v>26</v>
      </c>
      <c r="F504" s="1" t="s">
        <v>41</v>
      </c>
      <c r="G504" s="2">
        <v>45771</v>
      </c>
      <c r="H504" s="2">
        <v>45772</v>
      </c>
      <c r="I504" s="1" t="s">
        <v>273</v>
      </c>
      <c r="J504" s="1" t="s">
        <v>115</v>
      </c>
      <c r="K504" s="1" t="s">
        <v>91</v>
      </c>
      <c r="L504" s="1" t="s">
        <v>44</v>
      </c>
      <c r="M504" s="1" t="s">
        <v>2089</v>
      </c>
      <c r="N504">
        <v>322473.77</v>
      </c>
      <c r="O504">
        <v>25076.95</v>
      </c>
      <c r="P504">
        <v>31062.57</v>
      </c>
      <c r="Q504">
        <v>1</v>
      </c>
      <c r="R504">
        <v>98</v>
      </c>
      <c r="S504">
        <v>1.4</v>
      </c>
      <c r="T504" s="1" t="s">
        <v>34</v>
      </c>
      <c r="U504" s="1" t="s">
        <v>149</v>
      </c>
      <c r="V504" s="1" t="s">
        <v>75</v>
      </c>
      <c r="W504" s="1" t="s">
        <v>83</v>
      </c>
      <c r="X504">
        <v>378613.29000000004</v>
      </c>
      <c r="Y504" s="1" t="s">
        <v>2082</v>
      </c>
      <c r="Z504" s="1" t="s">
        <v>2080</v>
      </c>
      <c r="AO504" t="str">
        <v>P00601</v>
      </c>
    </row>
    <row r="505" spans="1:41" x14ac:dyDescent="0.35">
      <c r="A505" s="1" t="s">
        <v>1460</v>
      </c>
      <c r="B505" s="1" t="s">
        <v>181</v>
      </c>
      <c r="C505">
        <v>51</v>
      </c>
      <c r="D505" s="1" t="s">
        <v>119</v>
      </c>
      <c r="E505" s="1" t="s">
        <v>51</v>
      </c>
      <c r="F505" s="1" t="s">
        <v>120</v>
      </c>
      <c r="G505" s="2">
        <v>45871</v>
      </c>
      <c r="H505" s="2">
        <v>45875</v>
      </c>
      <c r="I505" s="1" t="s">
        <v>273</v>
      </c>
      <c r="J505" s="1" t="s">
        <v>147</v>
      </c>
      <c r="K505" s="1" t="s">
        <v>128</v>
      </c>
      <c r="L505" s="1" t="s">
        <v>44</v>
      </c>
      <c r="M505" s="1" t="s">
        <v>2089</v>
      </c>
      <c r="N505">
        <v>162696.81</v>
      </c>
      <c r="O505">
        <v>55148.11</v>
      </c>
      <c r="P505">
        <v>11175.12</v>
      </c>
      <c r="Q505">
        <v>4</v>
      </c>
      <c r="R505">
        <v>179</v>
      </c>
      <c r="S505">
        <v>3.9</v>
      </c>
      <c r="T505" s="1" t="s">
        <v>34</v>
      </c>
      <c r="U505" s="1" t="s">
        <v>149</v>
      </c>
      <c r="V505" s="1" t="s">
        <v>130</v>
      </c>
      <c r="W505" s="1" t="s">
        <v>131</v>
      </c>
      <c r="X505">
        <v>229020.03999999998</v>
      </c>
      <c r="Y505" s="1" t="s">
        <v>2079</v>
      </c>
      <c r="Z505" s="1" t="s">
        <v>2080</v>
      </c>
      <c r="AO505" t="str">
        <v>P00603</v>
      </c>
    </row>
    <row r="506" spans="1:41" x14ac:dyDescent="0.35">
      <c r="A506" s="1" t="s">
        <v>1462</v>
      </c>
      <c r="B506" s="1" t="s">
        <v>1018</v>
      </c>
      <c r="C506">
        <v>42</v>
      </c>
      <c r="D506" s="1" t="s">
        <v>119</v>
      </c>
      <c r="E506" s="1" t="s">
        <v>2084</v>
      </c>
      <c r="F506" s="1" t="s">
        <v>120</v>
      </c>
      <c r="G506" s="2">
        <v>45871</v>
      </c>
      <c r="H506" s="2">
        <v>45873</v>
      </c>
      <c r="I506" s="1" t="s">
        <v>53</v>
      </c>
      <c r="J506" s="1" t="s">
        <v>87</v>
      </c>
      <c r="K506" s="1" t="s">
        <v>55</v>
      </c>
      <c r="L506" s="1" t="s">
        <v>32</v>
      </c>
      <c r="M506" s="1" t="s">
        <v>2078</v>
      </c>
      <c r="N506">
        <v>204982.93</v>
      </c>
      <c r="O506">
        <v>60507.07</v>
      </c>
      <c r="P506">
        <v>12699.63</v>
      </c>
      <c r="Q506">
        <v>2</v>
      </c>
      <c r="R506">
        <v>37</v>
      </c>
      <c r="S506">
        <v>5</v>
      </c>
      <c r="T506" s="1" t="s">
        <v>46</v>
      </c>
      <c r="U506" s="1" t="s">
        <v>95</v>
      </c>
      <c r="V506" s="1" t="s">
        <v>130</v>
      </c>
      <c r="W506" s="1" t="s">
        <v>131</v>
      </c>
      <c r="X506">
        <v>278189.63</v>
      </c>
      <c r="Y506" s="1" t="s">
        <v>2079</v>
      </c>
      <c r="Z506" s="1" t="s">
        <v>2091</v>
      </c>
      <c r="AO506" t="str">
        <v>P00604</v>
      </c>
    </row>
    <row r="507" spans="1:41" x14ac:dyDescent="0.35">
      <c r="A507" s="1" t="s">
        <v>1463</v>
      </c>
      <c r="B507" s="1" t="s">
        <v>899</v>
      </c>
      <c r="C507">
        <v>62</v>
      </c>
      <c r="D507" s="1" t="s">
        <v>119</v>
      </c>
      <c r="E507" s="1" t="s">
        <v>107</v>
      </c>
      <c r="F507" s="1" t="s">
        <v>227</v>
      </c>
      <c r="G507" s="2">
        <v>45450</v>
      </c>
      <c r="H507" s="2">
        <v>45452</v>
      </c>
      <c r="I507" s="1" t="s">
        <v>273</v>
      </c>
      <c r="J507" s="1" t="s">
        <v>2081</v>
      </c>
      <c r="K507" s="1" t="s">
        <v>91</v>
      </c>
      <c r="L507" s="1" t="s">
        <v>32</v>
      </c>
      <c r="M507" s="1" t="s">
        <v>2078</v>
      </c>
      <c r="N507">
        <v>457921.04</v>
      </c>
      <c r="O507">
        <v>19955.12</v>
      </c>
      <c r="P507">
        <v>65440.87</v>
      </c>
      <c r="Q507">
        <v>2</v>
      </c>
      <c r="R507">
        <v>8</v>
      </c>
      <c r="S507">
        <v>4.7</v>
      </c>
      <c r="T507" s="1" t="s">
        <v>46</v>
      </c>
      <c r="U507" s="1" t="s">
        <v>35</v>
      </c>
      <c r="V507" s="1" t="s">
        <v>75</v>
      </c>
      <c r="W507" s="1" t="s">
        <v>36</v>
      </c>
      <c r="X507">
        <v>543317.03</v>
      </c>
      <c r="Y507" s="1" t="s">
        <v>2088</v>
      </c>
      <c r="Z507" s="1" t="s">
        <v>2083</v>
      </c>
      <c r="AO507" t="str">
        <v>P00605</v>
      </c>
    </row>
    <row r="508" spans="1:41" x14ac:dyDescent="0.35">
      <c r="A508" s="1" t="s">
        <v>1466</v>
      </c>
      <c r="B508" s="1" t="s">
        <v>653</v>
      </c>
      <c r="C508">
        <v>47</v>
      </c>
      <c r="D508" s="1" t="s">
        <v>25</v>
      </c>
      <c r="E508" s="1" t="s">
        <v>192</v>
      </c>
      <c r="F508" s="1" t="s">
        <v>145</v>
      </c>
      <c r="G508" s="2">
        <v>45965</v>
      </c>
      <c r="H508" s="2">
        <v>45971</v>
      </c>
      <c r="I508" s="1" t="s">
        <v>159</v>
      </c>
      <c r="J508" s="1" t="s">
        <v>137</v>
      </c>
      <c r="K508" s="1" t="s">
        <v>91</v>
      </c>
      <c r="L508" s="1" t="s">
        <v>66</v>
      </c>
      <c r="M508" s="1" t="s">
        <v>2087</v>
      </c>
      <c r="N508">
        <v>492767.97</v>
      </c>
      <c r="O508">
        <v>55627.73</v>
      </c>
      <c r="P508">
        <v>25383.05</v>
      </c>
      <c r="Q508">
        <v>6</v>
      </c>
      <c r="R508">
        <v>97</v>
      </c>
      <c r="S508">
        <v>3.6</v>
      </c>
      <c r="T508" s="1" t="s">
        <v>46</v>
      </c>
      <c r="U508" s="1" t="s">
        <v>35</v>
      </c>
      <c r="V508" s="1" t="s">
        <v>75</v>
      </c>
      <c r="W508" s="1" t="s">
        <v>83</v>
      </c>
      <c r="X508">
        <v>573778.75</v>
      </c>
      <c r="Y508" s="1" t="s">
        <v>2079</v>
      </c>
      <c r="Z508" s="1" t="s">
        <v>2080</v>
      </c>
      <c r="AO508" t="str">
        <v>P00606</v>
      </c>
    </row>
    <row r="509" spans="1:41" x14ac:dyDescent="0.35">
      <c r="A509" s="1" t="s">
        <v>1468</v>
      </c>
      <c r="B509" s="1" t="s">
        <v>218</v>
      </c>
      <c r="C509">
        <v>22</v>
      </c>
      <c r="D509" s="1" t="s">
        <v>119</v>
      </c>
      <c r="E509" s="1" t="s">
        <v>107</v>
      </c>
      <c r="F509" s="1" t="s">
        <v>41</v>
      </c>
      <c r="G509" s="2">
        <v>45443</v>
      </c>
      <c r="H509" s="2">
        <v>45444</v>
      </c>
      <c r="I509" s="1" t="s">
        <v>127</v>
      </c>
      <c r="J509" s="1" t="s">
        <v>90</v>
      </c>
      <c r="K509" s="1" t="s">
        <v>128</v>
      </c>
      <c r="L509" s="1" t="s">
        <v>44</v>
      </c>
      <c r="M509" s="1" t="s">
        <v>2086</v>
      </c>
      <c r="N509">
        <v>141493.47</v>
      </c>
      <c r="O509">
        <v>0</v>
      </c>
      <c r="P509">
        <v>46424.800000000003</v>
      </c>
      <c r="Q509">
        <v>1</v>
      </c>
      <c r="R509">
        <v>76</v>
      </c>
      <c r="S509">
        <v>1.5</v>
      </c>
      <c r="T509" s="1" t="s">
        <v>34</v>
      </c>
      <c r="U509" s="1" t="s">
        <v>95</v>
      </c>
      <c r="V509" s="1" t="s">
        <v>75</v>
      </c>
      <c r="W509" s="1" t="s">
        <v>36</v>
      </c>
      <c r="X509">
        <v>187918.27000000002</v>
      </c>
      <c r="Y509" s="1" t="s">
        <v>2082</v>
      </c>
      <c r="Z509" s="1" t="s">
        <v>2080</v>
      </c>
      <c r="AO509" t="str">
        <v>P00607</v>
      </c>
    </row>
    <row r="510" spans="1:41" x14ac:dyDescent="0.35">
      <c r="A510" s="1" t="s">
        <v>1469</v>
      </c>
      <c r="B510" s="1" t="s">
        <v>1100</v>
      </c>
      <c r="C510">
        <v>58</v>
      </c>
      <c r="D510" s="1" t="s">
        <v>25</v>
      </c>
      <c r="E510" s="1" t="s">
        <v>219</v>
      </c>
      <c r="F510" s="1" t="s">
        <v>227</v>
      </c>
      <c r="G510" s="2">
        <v>45804</v>
      </c>
      <c r="H510" s="2">
        <v>45808</v>
      </c>
      <c r="I510" s="1" t="s">
        <v>127</v>
      </c>
      <c r="J510" s="1" t="s">
        <v>115</v>
      </c>
      <c r="K510" s="1" t="s">
        <v>174</v>
      </c>
      <c r="L510" s="1" t="s">
        <v>44</v>
      </c>
      <c r="M510" s="1" t="s">
        <v>2078</v>
      </c>
      <c r="N510">
        <v>251784.83</v>
      </c>
      <c r="O510">
        <v>21898.3</v>
      </c>
      <c r="P510">
        <v>62743.26</v>
      </c>
      <c r="Q510">
        <v>4</v>
      </c>
      <c r="R510">
        <v>146</v>
      </c>
      <c r="S510">
        <v>4.0999999999999996</v>
      </c>
      <c r="T510" s="1" t="s">
        <v>46</v>
      </c>
      <c r="U510" s="1" t="s">
        <v>149</v>
      </c>
      <c r="V510" s="1" t="s">
        <v>102</v>
      </c>
      <c r="W510" s="1" t="s">
        <v>83</v>
      </c>
      <c r="X510">
        <v>336426.39</v>
      </c>
      <c r="Y510" s="1" t="s">
        <v>2079</v>
      </c>
      <c r="Z510" s="1" t="s">
        <v>2080</v>
      </c>
      <c r="AO510" t="str">
        <v>P00608</v>
      </c>
    </row>
    <row r="511" spans="1:41" x14ac:dyDescent="0.35">
      <c r="A511" s="1" t="s">
        <v>1470</v>
      </c>
      <c r="B511" s="1" t="s">
        <v>237</v>
      </c>
      <c r="C511">
        <v>49</v>
      </c>
      <c r="D511" s="1" t="s">
        <v>119</v>
      </c>
      <c r="E511" s="1" t="s">
        <v>26</v>
      </c>
      <c r="F511" s="1" t="s">
        <v>41</v>
      </c>
      <c r="G511" s="2">
        <v>46151</v>
      </c>
      <c r="H511" s="2">
        <v>46152</v>
      </c>
      <c r="I511" s="1" t="s">
        <v>100</v>
      </c>
      <c r="J511" s="1" t="s">
        <v>90</v>
      </c>
      <c r="K511" s="1" t="s">
        <v>55</v>
      </c>
      <c r="L511" s="1" t="s">
        <v>32</v>
      </c>
      <c r="M511" s="1" t="s">
        <v>2085</v>
      </c>
      <c r="N511">
        <v>387367.29</v>
      </c>
      <c r="O511">
        <v>15084.27</v>
      </c>
      <c r="P511">
        <v>107938.18</v>
      </c>
      <c r="Q511">
        <v>1</v>
      </c>
      <c r="R511">
        <v>55</v>
      </c>
      <c r="S511">
        <v>5</v>
      </c>
      <c r="T511" s="1" t="s">
        <v>46</v>
      </c>
      <c r="U511" s="1" t="s">
        <v>95</v>
      </c>
      <c r="V511" s="1" t="s">
        <v>102</v>
      </c>
      <c r="W511" s="1" t="s">
        <v>83</v>
      </c>
      <c r="X511">
        <v>510389.74</v>
      </c>
      <c r="Y511" s="1" t="s">
        <v>2079</v>
      </c>
      <c r="Z511" s="1" t="s">
        <v>2091</v>
      </c>
      <c r="AO511" t="str">
        <v>P00609</v>
      </c>
    </row>
    <row r="512" spans="1:41" x14ac:dyDescent="0.35">
      <c r="A512" s="1" t="s">
        <v>1472</v>
      </c>
      <c r="B512" s="1" t="s">
        <v>480</v>
      </c>
      <c r="C512">
        <v>47</v>
      </c>
      <c r="D512" s="1" t="s">
        <v>119</v>
      </c>
      <c r="E512" s="1" t="s">
        <v>40</v>
      </c>
      <c r="F512" s="1" t="s">
        <v>120</v>
      </c>
      <c r="G512" s="2">
        <v>46042</v>
      </c>
      <c r="H512" s="2">
        <v>46043</v>
      </c>
      <c r="I512" s="1" t="s">
        <v>127</v>
      </c>
      <c r="J512" s="1" t="s">
        <v>137</v>
      </c>
      <c r="K512" s="1" t="s">
        <v>148</v>
      </c>
      <c r="L512" s="1" t="s">
        <v>44</v>
      </c>
      <c r="M512" s="1" t="s">
        <v>2085</v>
      </c>
      <c r="N512">
        <v>0</v>
      </c>
      <c r="O512">
        <v>16348.96</v>
      </c>
      <c r="P512">
        <v>12236.36</v>
      </c>
      <c r="Q512">
        <v>1</v>
      </c>
      <c r="R512">
        <v>105</v>
      </c>
      <c r="S512">
        <v>5</v>
      </c>
      <c r="T512" s="1" t="s">
        <v>46</v>
      </c>
      <c r="U512" s="1" t="s">
        <v>101</v>
      </c>
      <c r="V512" s="1" t="s">
        <v>130</v>
      </c>
      <c r="W512" s="1" t="s">
        <v>131</v>
      </c>
      <c r="X512">
        <v>28585.32</v>
      </c>
      <c r="Y512" s="1" t="s">
        <v>2079</v>
      </c>
      <c r="Z512" s="1" t="s">
        <v>2080</v>
      </c>
      <c r="AO512" t="str">
        <v>P00610</v>
      </c>
    </row>
    <row r="513" spans="1:41" x14ac:dyDescent="0.35">
      <c r="A513" s="1" t="s">
        <v>1474</v>
      </c>
      <c r="B513" s="1" t="s">
        <v>105</v>
      </c>
      <c r="C513">
        <v>0</v>
      </c>
      <c r="D513" s="1" t="s">
        <v>25</v>
      </c>
      <c r="E513" s="1" t="s">
        <v>86</v>
      </c>
      <c r="F513" s="1" t="s">
        <v>120</v>
      </c>
      <c r="G513" s="2">
        <v>45330</v>
      </c>
      <c r="H513" s="2">
        <v>45334</v>
      </c>
      <c r="I513" s="1" t="s">
        <v>173</v>
      </c>
      <c r="J513" s="1" t="s">
        <v>90</v>
      </c>
      <c r="K513" s="1" t="s">
        <v>148</v>
      </c>
      <c r="L513" s="1" t="s">
        <v>44</v>
      </c>
      <c r="M513" s="1" t="s">
        <v>2089</v>
      </c>
      <c r="N513">
        <v>505889.75</v>
      </c>
      <c r="O513">
        <v>37382</v>
      </c>
      <c r="P513">
        <v>21705.03</v>
      </c>
      <c r="Q513">
        <v>4</v>
      </c>
      <c r="R513">
        <v>106</v>
      </c>
      <c r="S513">
        <v>3.9</v>
      </c>
      <c r="T513" s="1" t="s">
        <v>46</v>
      </c>
      <c r="U513" s="1" t="s">
        <v>35</v>
      </c>
      <c r="V513" s="1" t="s">
        <v>75</v>
      </c>
      <c r="W513" s="1" t="s">
        <v>131</v>
      </c>
      <c r="X513">
        <v>564976.78</v>
      </c>
      <c r="Y513" s="1" t="s">
        <v>2093</v>
      </c>
      <c r="Z513" s="1" t="s">
        <v>2080</v>
      </c>
      <c r="AO513" t="str">
        <v>P00611</v>
      </c>
    </row>
    <row r="514" spans="1:41" x14ac:dyDescent="0.35">
      <c r="A514" s="1" t="s">
        <v>1478</v>
      </c>
      <c r="B514" s="1" t="s">
        <v>353</v>
      </c>
      <c r="C514">
        <v>54</v>
      </c>
      <c r="D514" s="1" t="s">
        <v>119</v>
      </c>
      <c r="E514" s="1" t="s">
        <v>112</v>
      </c>
      <c r="F514" s="1" t="s">
        <v>41</v>
      </c>
      <c r="G514" s="2">
        <v>45640</v>
      </c>
      <c r="H514" s="2">
        <v>45644</v>
      </c>
      <c r="I514" s="1" t="s">
        <v>159</v>
      </c>
      <c r="J514" s="1" t="s">
        <v>115</v>
      </c>
      <c r="K514" s="1" t="s">
        <v>31</v>
      </c>
      <c r="L514" s="1" t="s">
        <v>32</v>
      </c>
      <c r="M514" s="1" t="s">
        <v>2090</v>
      </c>
      <c r="N514">
        <v>334789.53999999998</v>
      </c>
      <c r="O514">
        <v>38108.51</v>
      </c>
      <c r="P514">
        <v>29018.240000000002</v>
      </c>
      <c r="Q514">
        <v>4</v>
      </c>
      <c r="R514">
        <v>157</v>
      </c>
      <c r="S514">
        <v>1.9</v>
      </c>
      <c r="T514" s="1" t="s">
        <v>46</v>
      </c>
      <c r="U514" s="1" t="s">
        <v>35</v>
      </c>
      <c r="V514" s="1" t="s">
        <v>102</v>
      </c>
      <c r="W514" s="1" t="s">
        <v>59</v>
      </c>
      <c r="X514">
        <v>401916.29</v>
      </c>
      <c r="Y514" s="1" t="s">
        <v>2079</v>
      </c>
      <c r="Z514" s="1" t="s">
        <v>2080</v>
      </c>
      <c r="AO514" t="str">
        <v>P00612</v>
      </c>
    </row>
    <row r="515" spans="1:41" x14ac:dyDescent="0.35">
      <c r="A515" s="1" t="s">
        <v>1480</v>
      </c>
      <c r="B515" s="1" t="s">
        <v>125</v>
      </c>
      <c r="C515">
        <v>21</v>
      </c>
      <c r="D515" s="1" t="s">
        <v>119</v>
      </c>
      <c r="E515" s="1" t="s">
        <v>157</v>
      </c>
      <c r="F515" s="1" t="s">
        <v>120</v>
      </c>
      <c r="G515" s="2">
        <v>46093</v>
      </c>
      <c r="H515" s="2">
        <v>46094</v>
      </c>
      <c r="I515" s="1" t="s">
        <v>159</v>
      </c>
      <c r="J515" s="1" t="s">
        <v>30</v>
      </c>
      <c r="K515" s="1" t="s">
        <v>148</v>
      </c>
      <c r="L515" s="1" t="s">
        <v>32</v>
      </c>
      <c r="M515" s="1" t="s">
        <v>2089</v>
      </c>
      <c r="N515">
        <v>371207.85</v>
      </c>
      <c r="O515">
        <v>53569.71</v>
      </c>
      <c r="P515">
        <v>59619.16</v>
      </c>
      <c r="Q515">
        <v>1</v>
      </c>
      <c r="R515">
        <v>175</v>
      </c>
      <c r="S515">
        <v>2.6</v>
      </c>
      <c r="T515" s="1" t="s">
        <v>34</v>
      </c>
      <c r="U515" s="1" t="s">
        <v>95</v>
      </c>
      <c r="V515" s="1" t="s">
        <v>130</v>
      </c>
      <c r="W515" s="1" t="s">
        <v>12</v>
      </c>
      <c r="X515">
        <v>484396.72</v>
      </c>
      <c r="Y515" s="1" t="s">
        <v>2082</v>
      </c>
      <c r="Z515" s="1" t="s">
        <v>2080</v>
      </c>
      <c r="AO515" t="str">
        <v>P00613</v>
      </c>
    </row>
    <row r="516" spans="1:41" x14ac:dyDescent="0.35">
      <c r="A516" s="1" t="s">
        <v>1481</v>
      </c>
      <c r="B516" s="1" t="s">
        <v>608</v>
      </c>
      <c r="C516">
        <v>40</v>
      </c>
      <c r="D516" s="1" t="s">
        <v>25</v>
      </c>
      <c r="E516" s="1" t="s">
        <v>157</v>
      </c>
      <c r="F516" s="1" t="s">
        <v>193</v>
      </c>
      <c r="G516" s="2">
        <v>45839</v>
      </c>
      <c r="H516" s="2">
        <v>45843</v>
      </c>
      <c r="I516" s="1" t="s">
        <v>159</v>
      </c>
      <c r="J516" s="1" t="s">
        <v>2081</v>
      </c>
      <c r="K516" s="1" t="s">
        <v>128</v>
      </c>
      <c r="L516" s="1" t="s">
        <v>32</v>
      </c>
      <c r="M516" s="1" t="s">
        <v>2089</v>
      </c>
      <c r="N516">
        <v>338563.49</v>
      </c>
      <c r="O516">
        <v>27119.39</v>
      </c>
      <c r="P516">
        <v>33451.71</v>
      </c>
      <c r="Q516">
        <v>4</v>
      </c>
      <c r="R516">
        <v>135</v>
      </c>
      <c r="S516">
        <v>4.8</v>
      </c>
      <c r="T516" s="1" t="s">
        <v>34</v>
      </c>
      <c r="U516" s="1" t="s">
        <v>35</v>
      </c>
      <c r="V516" s="1" t="s">
        <v>130</v>
      </c>
      <c r="W516" s="1" t="s">
        <v>12</v>
      </c>
      <c r="X516">
        <v>399134.59</v>
      </c>
      <c r="Y516" s="1" t="s">
        <v>2079</v>
      </c>
      <c r="Z516" s="1" t="s">
        <v>2080</v>
      </c>
      <c r="AO516" t="str">
        <v>P00614</v>
      </c>
    </row>
    <row r="517" spans="1:41" x14ac:dyDescent="0.35">
      <c r="A517" s="1" t="s">
        <v>1483</v>
      </c>
      <c r="B517" s="1" t="s">
        <v>415</v>
      </c>
      <c r="C517">
        <v>41</v>
      </c>
      <c r="D517" s="1" t="s">
        <v>25</v>
      </c>
      <c r="E517" s="1" t="s">
        <v>2084</v>
      </c>
      <c r="F517" s="1" t="s">
        <v>120</v>
      </c>
      <c r="G517" s="2">
        <v>45434</v>
      </c>
      <c r="H517" s="2">
        <v>45435</v>
      </c>
      <c r="I517" s="1" t="s">
        <v>53</v>
      </c>
      <c r="J517" s="1" t="s">
        <v>30</v>
      </c>
      <c r="K517" s="1" t="s">
        <v>91</v>
      </c>
      <c r="L517" s="1" t="s">
        <v>44</v>
      </c>
      <c r="M517" s="1" t="s">
        <v>2086</v>
      </c>
      <c r="N517">
        <v>71818.31</v>
      </c>
      <c r="O517">
        <v>0</v>
      </c>
      <c r="P517">
        <v>51013.79</v>
      </c>
      <c r="Q517">
        <v>1</v>
      </c>
      <c r="R517">
        <v>140</v>
      </c>
      <c r="S517">
        <v>4</v>
      </c>
      <c r="T517" s="1" t="s">
        <v>46</v>
      </c>
      <c r="U517" s="1" t="s">
        <v>95</v>
      </c>
      <c r="V517" s="1" t="s">
        <v>102</v>
      </c>
      <c r="W517" s="1" t="s">
        <v>131</v>
      </c>
      <c r="X517">
        <v>122832.1</v>
      </c>
      <c r="Y517" s="1" t="s">
        <v>2079</v>
      </c>
      <c r="Z517" s="1" t="s">
        <v>2080</v>
      </c>
      <c r="AO517" t="str">
        <v>P00615</v>
      </c>
    </row>
    <row r="518" spans="1:41" x14ac:dyDescent="0.35">
      <c r="A518" s="1" t="s">
        <v>1488</v>
      </c>
      <c r="B518" s="1" t="s">
        <v>49</v>
      </c>
      <c r="C518">
        <v>47</v>
      </c>
      <c r="D518" s="1" t="s">
        <v>119</v>
      </c>
      <c r="E518" s="1" t="s">
        <v>40</v>
      </c>
      <c r="F518" s="1" t="s">
        <v>108</v>
      </c>
      <c r="G518" s="2">
        <v>46232</v>
      </c>
      <c r="H518" s="2">
        <v>46233</v>
      </c>
      <c r="I518" s="1" t="s">
        <v>221</v>
      </c>
      <c r="J518" s="1" t="s">
        <v>90</v>
      </c>
      <c r="K518" s="1" t="s">
        <v>148</v>
      </c>
      <c r="L518" s="1" t="s">
        <v>32</v>
      </c>
      <c r="M518" s="1" t="s">
        <v>2086</v>
      </c>
      <c r="N518">
        <v>141381.92000000001</v>
      </c>
      <c r="O518">
        <v>16172.75</v>
      </c>
      <c r="P518">
        <v>65875.92</v>
      </c>
      <c r="Q518">
        <v>1</v>
      </c>
      <c r="R518">
        <v>183</v>
      </c>
      <c r="S518">
        <v>3.3</v>
      </c>
      <c r="T518" s="1" t="s">
        <v>34</v>
      </c>
      <c r="U518" s="1" t="s">
        <v>95</v>
      </c>
      <c r="V518" s="1" t="s">
        <v>130</v>
      </c>
      <c r="W518" s="1" t="s">
        <v>59</v>
      </c>
      <c r="X518">
        <v>223430.59000000003</v>
      </c>
      <c r="Y518" s="1" t="s">
        <v>2079</v>
      </c>
      <c r="Z518" s="1" t="s">
        <v>2080</v>
      </c>
      <c r="AO518" t="str">
        <v>P00616</v>
      </c>
    </row>
    <row r="519" spans="1:41" x14ac:dyDescent="0.35">
      <c r="A519" s="1" t="s">
        <v>1489</v>
      </c>
      <c r="B519" s="1" t="s">
        <v>1000</v>
      </c>
      <c r="C519">
        <v>54</v>
      </c>
      <c r="D519" s="1" t="s">
        <v>25</v>
      </c>
      <c r="E519" s="1" t="s">
        <v>107</v>
      </c>
      <c r="F519" s="1" t="s">
        <v>135</v>
      </c>
      <c r="G519" s="2">
        <v>45962</v>
      </c>
      <c r="H519" s="2">
        <v>45964</v>
      </c>
      <c r="I519" s="1" t="s">
        <v>273</v>
      </c>
      <c r="J519" s="1" t="s">
        <v>137</v>
      </c>
      <c r="K519" s="1" t="s">
        <v>148</v>
      </c>
      <c r="L519" s="1" t="s">
        <v>44</v>
      </c>
      <c r="M519" s="1" t="s">
        <v>2089</v>
      </c>
      <c r="N519">
        <v>30029.02</v>
      </c>
      <c r="O519">
        <v>35578.83</v>
      </c>
      <c r="P519">
        <v>61556.58</v>
      </c>
      <c r="Q519">
        <v>2</v>
      </c>
      <c r="R519">
        <v>146</v>
      </c>
      <c r="S519">
        <v>1.2</v>
      </c>
      <c r="T519" s="1" t="s">
        <v>46</v>
      </c>
      <c r="U519" s="1" t="s">
        <v>35</v>
      </c>
      <c r="V519" s="1" t="s">
        <v>75</v>
      </c>
      <c r="W519" s="1" t="s">
        <v>59</v>
      </c>
      <c r="X519">
        <v>127164.43000000001</v>
      </c>
      <c r="Y519" s="1" t="s">
        <v>2079</v>
      </c>
      <c r="Z519" s="1" t="s">
        <v>2080</v>
      </c>
      <c r="AO519" t="str">
        <v>P00617</v>
      </c>
    </row>
    <row r="520" spans="1:41" x14ac:dyDescent="0.35">
      <c r="A520" s="1" t="s">
        <v>1490</v>
      </c>
      <c r="B520" s="1" t="s">
        <v>567</v>
      </c>
      <c r="C520">
        <v>23</v>
      </c>
      <c r="D520" s="1" t="s">
        <v>119</v>
      </c>
      <c r="E520" s="1" t="s">
        <v>219</v>
      </c>
      <c r="F520" s="1" t="s">
        <v>120</v>
      </c>
      <c r="G520" s="2">
        <v>46022</v>
      </c>
      <c r="H520" s="2">
        <v>46023</v>
      </c>
      <c r="I520" s="1" t="s">
        <v>114</v>
      </c>
      <c r="J520" s="1" t="s">
        <v>137</v>
      </c>
      <c r="K520" s="1" t="s">
        <v>148</v>
      </c>
      <c r="L520" s="1" t="s">
        <v>32</v>
      </c>
      <c r="M520" s="1" t="s">
        <v>2089</v>
      </c>
      <c r="N520">
        <v>233984.17</v>
      </c>
      <c r="O520">
        <v>42018.61</v>
      </c>
      <c r="P520">
        <v>89901.31</v>
      </c>
      <c r="Q520">
        <v>1</v>
      </c>
      <c r="R520">
        <v>57</v>
      </c>
      <c r="S520">
        <v>3.1</v>
      </c>
      <c r="T520" s="1" t="s">
        <v>34</v>
      </c>
      <c r="U520" s="1" t="s">
        <v>35</v>
      </c>
      <c r="V520" s="1" t="s">
        <v>75</v>
      </c>
      <c r="W520" s="1" t="s">
        <v>36</v>
      </c>
      <c r="X520">
        <v>365904.09</v>
      </c>
      <c r="Y520" s="1" t="s">
        <v>2082</v>
      </c>
      <c r="Z520" s="1" t="s">
        <v>2091</v>
      </c>
      <c r="AO520" t="str">
        <v>P00618</v>
      </c>
    </row>
    <row r="521" spans="1:41" x14ac:dyDescent="0.35">
      <c r="A521" s="1" t="s">
        <v>1492</v>
      </c>
      <c r="B521" s="1" t="s">
        <v>1224</v>
      </c>
      <c r="C521">
        <v>49</v>
      </c>
      <c r="D521" s="1" t="s">
        <v>25</v>
      </c>
      <c r="E521" s="1" t="s">
        <v>107</v>
      </c>
      <c r="F521" s="1" t="s">
        <v>227</v>
      </c>
      <c r="G521" s="2">
        <v>46153</v>
      </c>
      <c r="H521" s="2">
        <v>46160</v>
      </c>
      <c r="I521" s="1" t="s">
        <v>159</v>
      </c>
      <c r="J521" s="1" t="s">
        <v>87</v>
      </c>
      <c r="K521" s="1" t="s">
        <v>122</v>
      </c>
      <c r="L521" s="1" t="s">
        <v>32</v>
      </c>
      <c r="M521" s="1" t="s">
        <v>2078</v>
      </c>
      <c r="N521">
        <v>397471.21</v>
      </c>
      <c r="O521">
        <v>37218.199999999997</v>
      </c>
      <c r="P521">
        <v>10286.5</v>
      </c>
      <c r="Q521">
        <v>7</v>
      </c>
      <c r="R521">
        <v>0</v>
      </c>
      <c r="S521">
        <v>1.7</v>
      </c>
      <c r="T521" s="1" t="s">
        <v>34</v>
      </c>
      <c r="U521" s="1" t="s">
        <v>101</v>
      </c>
      <c r="V521" s="1" t="s">
        <v>75</v>
      </c>
      <c r="W521" s="1" t="s">
        <v>36</v>
      </c>
      <c r="X521">
        <v>444975.91000000003</v>
      </c>
      <c r="Y521" s="1" t="s">
        <v>2079</v>
      </c>
      <c r="Z521" s="1" t="s">
        <v>2083</v>
      </c>
      <c r="AO521" t="str">
        <v>P00619</v>
      </c>
    </row>
    <row r="522" spans="1:41" x14ac:dyDescent="0.35">
      <c r="A522" s="1" t="s">
        <v>1494</v>
      </c>
      <c r="B522" s="1" t="s">
        <v>701</v>
      </c>
      <c r="C522">
        <v>69</v>
      </c>
      <c r="D522" s="1" t="s">
        <v>119</v>
      </c>
      <c r="E522" s="1" t="s">
        <v>263</v>
      </c>
      <c r="F522" s="1" t="s">
        <v>227</v>
      </c>
      <c r="G522" s="2">
        <v>45378</v>
      </c>
      <c r="H522" s="2">
        <v>45383</v>
      </c>
      <c r="I522" s="1" t="s">
        <v>273</v>
      </c>
      <c r="J522" s="1" t="s">
        <v>137</v>
      </c>
      <c r="K522" s="1" t="s">
        <v>148</v>
      </c>
      <c r="L522" s="1" t="s">
        <v>32</v>
      </c>
      <c r="M522" s="1" t="s">
        <v>2086</v>
      </c>
      <c r="N522">
        <v>478910.7</v>
      </c>
      <c r="O522">
        <v>51077.63</v>
      </c>
      <c r="P522">
        <v>79885.16</v>
      </c>
      <c r="Q522">
        <v>5</v>
      </c>
      <c r="R522">
        <v>51</v>
      </c>
      <c r="S522">
        <v>5</v>
      </c>
      <c r="T522" s="1" t="s">
        <v>46</v>
      </c>
      <c r="U522" s="1" t="s">
        <v>101</v>
      </c>
      <c r="V522" s="1" t="s">
        <v>130</v>
      </c>
      <c r="W522" s="1" t="s">
        <v>59</v>
      </c>
      <c r="X522">
        <v>609873.49</v>
      </c>
      <c r="Y522" s="1" t="s">
        <v>2088</v>
      </c>
      <c r="Z522" s="1" t="s">
        <v>2091</v>
      </c>
      <c r="AO522" t="str">
        <v>P00621</v>
      </c>
    </row>
    <row r="523" spans="1:41" x14ac:dyDescent="0.35">
      <c r="A523" s="1" t="s">
        <v>1496</v>
      </c>
      <c r="B523" s="1" t="s">
        <v>1497</v>
      </c>
      <c r="C523">
        <v>52</v>
      </c>
      <c r="D523" s="1" t="s">
        <v>25</v>
      </c>
      <c r="E523" s="1" t="s">
        <v>26</v>
      </c>
      <c r="F523" s="1" t="s">
        <v>193</v>
      </c>
      <c r="G523" s="2">
        <v>46073</v>
      </c>
      <c r="H523" s="2">
        <v>46078</v>
      </c>
      <c r="I523" s="1" t="s">
        <v>235</v>
      </c>
      <c r="J523" s="1" t="s">
        <v>137</v>
      </c>
      <c r="K523" s="1" t="s">
        <v>163</v>
      </c>
      <c r="L523" s="1" t="s">
        <v>66</v>
      </c>
      <c r="M523" s="1" t="s">
        <v>2086</v>
      </c>
      <c r="N523">
        <v>235042.21</v>
      </c>
      <c r="O523">
        <v>39684.29</v>
      </c>
      <c r="P523">
        <v>54695.56</v>
      </c>
      <c r="Q523">
        <v>5</v>
      </c>
      <c r="R523">
        <v>191</v>
      </c>
      <c r="S523">
        <v>5</v>
      </c>
      <c r="T523" s="1" t="s">
        <v>46</v>
      </c>
      <c r="U523" s="1" t="s">
        <v>95</v>
      </c>
      <c r="V523" s="1" t="s">
        <v>102</v>
      </c>
      <c r="W523" s="1" t="s">
        <v>131</v>
      </c>
      <c r="X523">
        <v>329422.06</v>
      </c>
      <c r="Y523" s="1" t="s">
        <v>2079</v>
      </c>
      <c r="Z523" s="1" t="s">
        <v>2080</v>
      </c>
      <c r="AO523" t="str">
        <v>P00622</v>
      </c>
    </row>
    <row r="524" spans="1:41" x14ac:dyDescent="0.35">
      <c r="A524" s="1" t="s">
        <v>1499</v>
      </c>
      <c r="B524" s="1" t="s">
        <v>598</v>
      </c>
      <c r="C524">
        <v>61</v>
      </c>
      <c r="D524" s="1" t="s">
        <v>119</v>
      </c>
      <c r="E524" s="1" t="s">
        <v>26</v>
      </c>
      <c r="F524" s="1" t="s">
        <v>193</v>
      </c>
      <c r="G524" s="2">
        <v>46171</v>
      </c>
      <c r="H524" s="2">
        <v>46175</v>
      </c>
      <c r="I524" s="1" t="s">
        <v>235</v>
      </c>
      <c r="J524" s="1" t="s">
        <v>2081</v>
      </c>
      <c r="K524" s="1" t="s">
        <v>163</v>
      </c>
      <c r="L524" s="1" t="s">
        <v>44</v>
      </c>
      <c r="M524" s="1" t="s">
        <v>2090</v>
      </c>
      <c r="N524">
        <v>291968.76</v>
      </c>
      <c r="O524">
        <v>18470.759999999998</v>
      </c>
      <c r="P524">
        <v>67696.94</v>
      </c>
      <c r="Q524">
        <v>4</v>
      </c>
      <c r="R524">
        <v>0</v>
      </c>
      <c r="S524">
        <v>5</v>
      </c>
      <c r="T524" s="1" t="s">
        <v>34</v>
      </c>
      <c r="U524" s="1" t="s">
        <v>101</v>
      </c>
      <c r="V524" s="1" t="s">
        <v>102</v>
      </c>
      <c r="W524" s="1" t="s">
        <v>36</v>
      </c>
      <c r="X524">
        <v>378136.46</v>
      </c>
      <c r="Y524" s="1" t="s">
        <v>2088</v>
      </c>
      <c r="Z524" s="1" t="s">
        <v>2083</v>
      </c>
      <c r="AO524" t="str">
        <v>P00623</v>
      </c>
    </row>
    <row r="525" spans="1:41" x14ac:dyDescent="0.35">
      <c r="A525" s="1" t="s">
        <v>1501</v>
      </c>
      <c r="B525" s="1" t="s">
        <v>561</v>
      </c>
      <c r="C525">
        <v>49</v>
      </c>
      <c r="D525" s="1" t="s">
        <v>119</v>
      </c>
      <c r="E525" s="1" t="s">
        <v>219</v>
      </c>
      <c r="F525" s="1" t="s">
        <v>63</v>
      </c>
      <c r="G525" s="2">
        <v>45331</v>
      </c>
      <c r="H525" s="2">
        <v>45332</v>
      </c>
      <c r="I525" s="1" t="s">
        <v>29</v>
      </c>
      <c r="J525" s="1" t="s">
        <v>2081</v>
      </c>
      <c r="K525" s="1" t="s">
        <v>148</v>
      </c>
      <c r="L525" s="1" t="s">
        <v>44</v>
      </c>
      <c r="M525" s="1" t="s">
        <v>2086</v>
      </c>
      <c r="N525">
        <v>101678.45</v>
      </c>
      <c r="O525">
        <v>43834.720000000001</v>
      </c>
      <c r="P525">
        <v>43982.239999999998</v>
      </c>
      <c r="Q525">
        <v>1</v>
      </c>
      <c r="R525">
        <v>0</v>
      </c>
      <c r="S525">
        <v>4.2</v>
      </c>
      <c r="T525" s="1" t="s">
        <v>34</v>
      </c>
      <c r="U525" s="1" t="s">
        <v>35</v>
      </c>
      <c r="V525" s="1" t="s">
        <v>75</v>
      </c>
      <c r="W525" s="1" t="s">
        <v>83</v>
      </c>
      <c r="X525">
        <v>189495.40999999997</v>
      </c>
      <c r="Y525" s="1" t="s">
        <v>2079</v>
      </c>
      <c r="Z525" s="1" t="s">
        <v>2083</v>
      </c>
      <c r="AO525" t="str">
        <v>P00624</v>
      </c>
    </row>
    <row r="526" spans="1:41" x14ac:dyDescent="0.35">
      <c r="A526" s="1" t="s">
        <v>1504</v>
      </c>
      <c r="B526" s="1" t="s">
        <v>1505</v>
      </c>
      <c r="C526">
        <v>79</v>
      </c>
      <c r="D526" s="1" t="s">
        <v>119</v>
      </c>
      <c r="E526" s="1" t="s">
        <v>40</v>
      </c>
      <c r="F526" s="1" t="s">
        <v>120</v>
      </c>
      <c r="G526" s="2">
        <v>45963</v>
      </c>
      <c r="H526" s="2">
        <v>45968</v>
      </c>
      <c r="I526" s="1" t="s">
        <v>53</v>
      </c>
      <c r="J526" s="1" t="s">
        <v>147</v>
      </c>
      <c r="K526" s="1" t="s">
        <v>148</v>
      </c>
      <c r="L526" s="1" t="s">
        <v>32</v>
      </c>
      <c r="M526" s="1" t="s">
        <v>2090</v>
      </c>
      <c r="N526">
        <v>107275.95</v>
      </c>
      <c r="O526">
        <v>56921.2</v>
      </c>
      <c r="P526">
        <v>0</v>
      </c>
      <c r="Q526">
        <v>5</v>
      </c>
      <c r="R526">
        <v>5</v>
      </c>
      <c r="S526">
        <v>4</v>
      </c>
      <c r="T526" s="1" t="s">
        <v>34</v>
      </c>
      <c r="U526" s="1" t="s">
        <v>35</v>
      </c>
      <c r="V526" s="1" t="s">
        <v>130</v>
      </c>
      <c r="W526" s="1" t="s">
        <v>12</v>
      </c>
      <c r="X526">
        <v>164197.15</v>
      </c>
      <c r="Y526" s="1" t="s">
        <v>2088</v>
      </c>
      <c r="Z526" s="1" t="s">
        <v>2083</v>
      </c>
      <c r="AO526" t="str">
        <v>P00625</v>
      </c>
    </row>
    <row r="527" spans="1:41" x14ac:dyDescent="0.35">
      <c r="A527" s="1" t="s">
        <v>1507</v>
      </c>
      <c r="B527" s="1" t="s">
        <v>1026</v>
      </c>
      <c r="C527">
        <v>8</v>
      </c>
      <c r="D527" s="1" t="s">
        <v>25</v>
      </c>
      <c r="E527" s="1" t="s">
        <v>51</v>
      </c>
      <c r="F527" s="1" t="s">
        <v>193</v>
      </c>
      <c r="G527" s="2">
        <v>46157</v>
      </c>
      <c r="H527" s="2">
        <v>46158</v>
      </c>
      <c r="I527" s="1" t="s">
        <v>257</v>
      </c>
      <c r="J527" s="1" t="s">
        <v>152</v>
      </c>
      <c r="K527" s="1" t="s">
        <v>55</v>
      </c>
      <c r="L527" s="1" t="s">
        <v>44</v>
      </c>
      <c r="M527" s="1" t="s">
        <v>2089</v>
      </c>
      <c r="N527">
        <v>277819.84999999998</v>
      </c>
      <c r="O527">
        <v>24648.31</v>
      </c>
      <c r="P527">
        <v>56382.16</v>
      </c>
      <c r="Q527">
        <v>1</v>
      </c>
      <c r="R527">
        <v>146</v>
      </c>
      <c r="S527">
        <v>4</v>
      </c>
      <c r="T527" s="1" t="s">
        <v>46</v>
      </c>
      <c r="U527" s="1" t="s">
        <v>35</v>
      </c>
      <c r="V527" s="1" t="s">
        <v>75</v>
      </c>
      <c r="W527" s="1" t="s">
        <v>59</v>
      </c>
      <c r="X527">
        <v>358850.31999999995</v>
      </c>
      <c r="Y527" s="1" t="s">
        <v>2093</v>
      </c>
      <c r="Z527" s="1" t="s">
        <v>2080</v>
      </c>
      <c r="AO527" t="str">
        <v>P00626</v>
      </c>
    </row>
    <row r="528" spans="1:41" x14ac:dyDescent="0.35">
      <c r="A528" s="1" t="s">
        <v>1510</v>
      </c>
      <c r="B528" s="1" t="s">
        <v>475</v>
      </c>
      <c r="C528">
        <v>33</v>
      </c>
      <c r="D528" s="1" t="s">
        <v>25</v>
      </c>
      <c r="E528" s="1" t="s">
        <v>2084</v>
      </c>
      <c r="F528" s="1" t="s">
        <v>145</v>
      </c>
      <c r="G528" s="2">
        <v>45400</v>
      </c>
      <c r="H528" s="2">
        <v>45401</v>
      </c>
      <c r="I528" s="1" t="s">
        <v>235</v>
      </c>
      <c r="J528" s="1" t="s">
        <v>2081</v>
      </c>
      <c r="K528" s="1" t="s">
        <v>81</v>
      </c>
      <c r="L528" s="1" t="s">
        <v>66</v>
      </c>
      <c r="M528" s="1" t="s">
        <v>2085</v>
      </c>
      <c r="N528">
        <v>268167.55</v>
      </c>
      <c r="O528">
        <v>38708.54</v>
      </c>
      <c r="P528">
        <v>18065.099999999999</v>
      </c>
      <c r="Q528">
        <v>1</v>
      </c>
      <c r="R528">
        <v>58</v>
      </c>
      <c r="S528">
        <v>5</v>
      </c>
      <c r="T528" s="1" t="s">
        <v>46</v>
      </c>
      <c r="U528" s="1" t="s">
        <v>35</v>
      </c>
      <c r="V528" s="1" t="s">
        <v>130</v>
      </c>
      <c r="W528" s="1" t="s">
        <v>83</v>
      </c>
      <c r="X528">
        <v>324941.18999999994</v>
      </c>
      <c r="Y528" s="1" t="s">
        <v>2082</v>
      </c>
      <c r="Z528" s="1" t="s">
        <v>2091</v>
      </c>
      <c r="AO528" t="str">
        <v>P00628</v>
      </c>
    </row>
    <row r="529" spans="1:41" x14ac:dyDescent="0.35">
      <c r="A529" s="1" t="s">
        <v>1512</v>
      </c>
      <c r="B529" s="1" t="s">
        <v>1155</v>
      </c>
      <c r="C529">
        <v>88</v>
      </c>
      <c r="D529" s="1" t="s">
        <v>25</v>
      </c>
      <c r="E529" s="1" t="s">
        <v>157</v>
      </c>
      <c r="F529" s="1" t="s">
        <v>145</v>
      </c>
      <c r="G529" s="2">
        <v>45937</v>
      </c>
      <c r="H529" s="2">
        <v>45941</v>
      </c>
      <c r="I529" s="1" t="s">
        <v>235</v>
      </c>
      <c r="J529" s="1" t="s">
        <v>2081</v>
      </c>
      <c r="K529" s="1" t="s">
        <v>148</v>
      </c>
      <c r="L529" s="1" t="s">
        <v>32</v>
      </c>
      <c r="M529" s="1" t="s">
        <v>2090</v>
      </c>
      <c r="N529">
        <v>385217.94</v>
      </c>
      <c r="O529">
        <v>58607.33</v>
      </c>
      <c r="P529">
        <v>3363.94</v>
      </c>
      <c r="Q529">
        <v>4</v>
      </c>
      <c r="R529">
        <v>152</v>
      </c>
      <c r="S529">
        <v>3.6</v>
      </c>
      <c r="T529" s="1" t="s">
        <v>46</v>
      </c>
      <c r="U529" s="1" t="s">
        <v>35</v>
      </c>
      <c r="V529" s="1" t="s">
        <v>102</v>
      </c>
      <c r="W529" s="1" t="s">
        <v>12</v>
      </c>
      <c r="X529">
        <v>447189.21</v>
      </c>
      <c r="Y529" s="1" t="s">
        <v>2088</v>
      </c>
      <c r="Z529" s="1" t="s">
        <v>2080</v>
      </c>
      <c r="AO529" t="str">
        <v>P00629</v>
      </c>
    </row>
    <row r="530" spans="1:41" x14ac:dyDescent="0.35">
      <c r="A530" s="1" t="s">
        <v>1513</v>
      </c>
      <c r="B530" s="1" t="s">
        <v>741</v>
      </c>
      <c r="C530">
        <v>46</v>
      </c>
      <c r="D530" s="1" t="s">
        <v>25</v>
      </c>
      <c r="E530" s="1" t="s">
        <v>2084</v>
      </c>
      <c r="F530" s="1" t="s">
        <v>227</v>
      </c>
      <c r="G530" s="2">
        <v>45528</v>
      </c>
      <c r="H530" s="2">
        <v>45530</v>
      </c>
      <c r="I530" s="1" t="s">
        <v>127</v>
      </c>
      <c r="J530" s="1" t="s">
        <v>87</v>
      </c>
      <c r="K530" s="1" t="s">
        <v>31</v>
      </c>
      <c r="L530" s="1" t="s">
        <v>44</v>
      </c>
      <c r="M530" s="1" t="s">
        <v>2086</v>
      </c>
      <c r="N530">
        <v>352329.61</v>
      </c>
      <c r="O530">
        <v>42520.79</v>
      </c>
      <c r="P530">
        <v>18645.79</v>
      </c>
      <c r="Q530">
        <v>2</v>
      </c>
      <c r="R530">
        <v>150</v>
      </c>
      <c r="S530">
        <v>2.9</v>
      </c>
      <c r="T530" s="1" t="s">
        <v>46</v>
      </c>
      <c r="U530" s="1" t="s">
        <v>35</v>
      </c>
      <c r="V530" s="1" t="s">
        <v>75</v>
      </c>
      <c r="W530" s="1" t="s">
        <v>83</v>
      </c>
      <c r="X530">
        <v>413496.18999999994</v>
      </c>
      <c r="Y530" s="1" t="s">
        <v>2079</v>
      </c>
      <c r="Z530" s="1" t="s">
        <v>2080</v>
      </c>
      <c r="AO530" t="str">
        <v>P00630</v>
      </c>
    </row>
    <row r="531" spans="1:41" x14ac:dyDescent="0.35">
      <c r="A531" s="1" t="s">
        <v>1515</v>
      </c>
      <c r="B531" s="1" t="s">
        <v>85</v>
      </c>
      <c r="C531">
        <v>36</v>
      </c>
      <c r="D531" s="1" t="s">
        <v>25</v>
      </c>
      <c r="E531" s="1" t="s">
        <v>177</v>
      </c>
      <c r="F531" s="1" t="s">
        <v>145</v>
      </c>
      <c r="G531" s="2">
        <v>45720</v>
      </c>
      <c r="H531" s="2">
        <v>45723</v>
      </c>
      <c r="I531" s="1" t="s">
        <v>257</v>
      </c>
      <c r="J531" s="1" t="s">
        <v>2081</v>
      </c>
      <c r="K531" s="1" t="s">
        <v>128</v>
      </c>
      <c r="L531" s="1" t="s">
        <v>44</v>
      </c>
      <c r="M531" s="1" t="s">
        <v>2086</v>
      </c>
      <c r="N531">
        <v>189358.72</v>
      </c>
      <c r="O531">
        <v>49156.07</v>
      </c>
      <c r="P531">
        <v>13794.19</v>
      </c>
      <c r="Q531">
        <v>3</v>
      </c>
      <c r="R531">
        <v>240</v>
      </c>
      <c r="S531">
        <v>1.3</v>
      </c>
      <c r="T531" s="1" t="s">
        <v>34</v>
      </c>
      <c r="U531" s="1" t="s">
        <v>149</v>
      </c>
      <c r="V531" s="1" t="s">
        <v>75</v>
      </c>
      <c r="W531" s="1" t="s">
        <v>12</v>
      </c>
      <c r="X531">
        <v>252308.98</v>
      </c>
      <c r="Y531" s="1" t="s">
        <v>2079</v>
      </c>
      <c r="Z531" s="1" t="s">
        <v>2080</v>
      </c>
      <c r="AO531" t="str">
        <v>P00631</v>
      </c>
    </row>
    <row r="532" spans="1:41" x14ac:dyDescent="0.35">
      <c r="A532" s="1" t="s">
        <v>1517</v>
      </c>
      <c r="B532" s="1" t="s">
        <v>1518</v>
      </c>
      <c r="C532">
        <v>51</v>
      </c>
      <c r="D532" s="1" t="s">
        <v>25</v>
      </c>
      <c r="E532" s="1" t="s">
        <v>192</v>
      </c>
      <c r="F532" s="1" t="s">
        <v>41</v>
      </c>
      <c r="G532" s="2">
        <v>45939</v>
      </c>
      <c r="H532" s="2">
        <v>45941</v>
      </c>
      <c r="I532" s="1" t="s">
        <v>273</v>
      </c>
      <c r="J532" s="1" t="s">
        <v>147</v>
      </c>
      <c r="K532" s="1" t="s">
        <v>55</v>
      </c>
      <c r="L532" s="1" t="s">
        <v>44</v>
      </c>
      <c r="M532" s="1" t="s">
        <v>2087</v>
      </c>
      <c r="N532">
        <v>301803.98</v>
      </c>
      <c r="O532">
        <v>27488.11</v>
      </c>
      <c r="P532">
        <v>43278.28</v>
      </c>
      <c r="Q532">
        <v>2</v>
      </c>
      <c r="R532">
        <v>125</v>
      </c>
      <c r="S532">
        <v>3.4</v>
      </c>
      <c r="T532" s="1" t="s">
        <v>34</v>
      </c>
      <c r="U532" s="1" t="s">
        <v>149</v>
      </c>
      <c r="V532" s="1" t="s">
        <v>75</v>
      </c>
      <c r="W532" s="1" t="s">
        <v>83</v>
      </c>
      <c r="X532">
        <v>372570.37</v>
      </c>
      <c r="Y532" s="1" t="s">
        <v>2079</v>
      </c>
      <c r="Z532" s="1" t="s">
        <v>2080</v>
      </c>
      <c r="AO532" t="str">
        <v>P00634</v>
      </c>
    </row>
    <row r="533" spans="1:41" x14ac:dyDescent="0.35">
      <c r="A533" s="1" t="s">
        <v>1519</v>
      </c>
      <c r="B533" s="1" t="s">
        <v>438</v>
      </c>
      <c r="C533">
        <v>61</v>
      </c>
      <c r="D533" s="1" t="s">
        <v>25</v>
      </c>
      <c r="E533" s="1" t="s">
        <v>26</v>
      </c>
      <c r="F533" s="1" t="s">
        <v>227</v>
      </c>
      <c r="G533" s="2">
        <v>46232</v>
      </c>
      <c r="H533" s="2">
        <v>46240</v>
      </c>
      <c r="I533" s="1" t="s">
        <v>277</v>
      </c>
      <c r="J533" s="1" t="s">
        <v>115</v>
      </c>
      <c r="K533" s="1" t="s">
        <v>55</v>
      </c>
      <c r="L533" s="1" t="s">
        <v>32</v>
      </c>
      <c r="M533" s="1" t="s">
        <v>2092</v>
      </c>
      <c r="N533">
        <v>342195.41</v>
      </c>
      <c r="O533">
        <v>5846.08</v>
      </c>
      <c r="P533">
        <v>42618.35</v>
      </c>
      <c r="Q533">
        <v>8</v>
      </c>
      <c r="R533">
        <v>72</v>
      </c>
      <c r="S533">
        <v>2.4</v>
      </c>
      <c r="T533" s="1" t="s">
        <v>34</v>
      </c>
      <c r="U533" s="1" t="s">
        <v>95</v>
      </c>
      <c r="V533" s="1" t="s">
        <v>75</v>
      </c>
      <c r="W533" s="1" t="s">
        <v>83</v>
      </c>
      <c r="X533">
        <v>390659.83999999997</v>
      </c>
      <c r="Y533" s="1" t="s">
        <v>2088</v>
      </c>
      <c r="Z533" s="1" t="s">
        <v>2080</v>
      </c>
      <c r="AO533" t="str">
        <v>P00635</v>
      </c>
    </row>
    <row r="534" spans="1:41" x14ac:dyDescent="0.35">
      <c r="A534" s="1" t="s">
        <v>1521</v>
      </c>
      <c r="B534" s="1" t="s">
        <v>446</v>
      </c>
      <c r="C534">
        <v>30</v>
      </c>
      <c r="D534" s="1" t="s">
        <v>25</v>
      </c>
      <c r="E534" s="1" t="s">
        <v>86</v>
      </c>
      <c r="F534" s="1" t="s">
        <v>87</v>
      </c>
      <c r="G534" s="2">
        <v>45899</v>
      </c>
      <c r="H534" s="2">
        <v>45904</v>
      </c>
      <c r="I534" s="1" t="s">
        <v>235</v>
      </c>
      <c r="J534" s="1" t="s">
        <v>137</v>
      </c>
      <c r="K534" s="1" t="s">
        <v>163</v>
      </c>
      <c r="L534" s="1" t="s">
        <v>32</v>
      </c>
      <c r="M534" s="1" t="s">
        <v>2078</v>
      </c>
      <c r="N534">
        <v>339345.61</v>
      </c>
      <c r="O534">
        <v>0</v>
      </c>
      <c r="P534">
        <v>88563.53</v>
      </c>
      <c r="Q534">
        <v>5</v>
      </c>
      <c r="R534">
        <v>96</v>
      </c>
      <c r="S534">
        <v>2.9</v>
      </c>
      <c r="T534" s="1" t="s">
        <v>34</v>
      </c>
      <c r="U534" s="1" t="s">
        <v>95</v>
      </c>
      <c r="V534" s="1" t="s">
        <v>75</v>
      </c>
      <c r="W534" s="1" t="s">
        <v>59</v>
      </c>
      <c r="X534">
        <v>427909.14</v>
      </c>
      <c r="Y534" s="1" t="s">
        <v>2082</v>
      </c>
      <c r="Z534" s="1" t="s">
        <v>2080</v>
      </c>
      <c r="AO534" t="str">
        <v>P00636</v>
      </c>
    </row>
    <row r="535" spans="1:41" x14ac:dyDescent="0.35">
      <c r="A535" s="1" t="s">
        <v>1523</v>
      </c>
      <c r="B535" s="1" t="s">
        <v>1287</v>
      </c>
      <c r="C535">
        <v>60</v>
      </c>
      <c r="D535" s="1" t="s">
        <v>25</v>
      </c>
      <c r="E535" s="1" t="s">
        <v>107</v>
      </c>
      <c r="F535" s="1" t="s">
        <v>227</v>
      </c>
      <c r="G535" s="2">
        <v>46242</v>
      </c>
      <c r="H535" s="2">
        <v>46244</v>
      </c>
      <c r="I535" s="1" t="s">
        <v>273</v>
      </c>
      <c r="J535" s="1" t="s">
        <v>152</v>
      </c>
      <c r="K535" s="1" t="s">
        <v>153</v>
      </c>
      <c r="L535" s="1" t="s">
        <v>32</v>
      </c>
      <c r="M535" s="1" t="s">
        <v>2078</v>
      </c>
      <c r="N535">
        <v>138176.26</v>
      </c>
      <c r="O535">
        <v>11266.06</v>
      </c>
      <c r="P535">
        <v>38353.9</v>
      </c>
      <c r="Q535">
        <v>2</v>
      </c>
      <c r="R535">
        <v>6</v>
      </c>
      <c r="S535">
        <v>5</v>
      </c>
      <c r="T535" s="1" t="s">
        <v>34</v>
      </c>
      <c r="U535" s="1" t="s">
        <v>101</v>
      </c>
      <c r="V535" s="1" t="s">
        <v>75</v>
      </c>
      <c r="W535" s="1" t="s">
        <v>59</v>
      </c>
      <c r="X535">
        <v>187796.22</v>
      </c>
      <c r="Y535" s="1" t="s">
        <v>2088</v>
      </c>
      <c r="Z535" s="1" t="s">
        <v>2083</v>
      </c>
      <c r="AO535" t="str">
        <v>P00637</v>
      </c>
    </row>
    <row r="536" spans="1:41" x14ac:dyDescent="0.35">
      <c r="A536" s="1" t="s">
        <v>1525</v>
      </c>
      <c r="B536" s="1" t="s">
        <v>736</v>
      </c>
      <c r="C536">
        <v>61</v>
      </c>
      <c r="D536" s="1" t="s">
        <v>25</v>
      </c>
      <c r="E536" s="1" t="s">
        <v>86</v>
      </c>
      <c r="F536" s="1" t="s">
        <v>108</v>
      </c>
      <c r="G536" s="2">
        <v>45572</v>
      </c>
      <c r="H536" s="2">
        <v>45574</v>
      </c>
      <c r="I536" s="1" t="s">
        <v>100</v>
      </c>
      <c r="J536" s="1" t="s">
        <v>2081</v>
      </c>
      <c r="K536" s="1" t="s">
        <v>153</v>
      </c>
      <c r="L536" s="1" t="s">
        <v>32</v>
      </c>
      <c r="M536" s="1" t="s">
        <v>57</v>
      </c>
      <c r="N536">
        <v>249325.81</v>
      </c>
      <c r="O536">
        <v>5386.65</v>
      </c>
      <c r="P536">
        <v>44821.36</v>
      </c>
      <c r="Q536">
        <v>2</v>
      </c>
      <c r="R536">
        <v>153</v>
      </c>
      <c r="S536">
        <v>4</v>
      </c>
      <c r="T536" s="1" t="s">
        <v>46</v>
      </c>
      <c r="U536" s="1" t="s">
        <v>95</v>
      </c>
      <c r="V536" s="1" t="s">
        <v>102</v>
      </c>
      <c r="W536" s="1" t="s">
        <v>131</v>
      </c>
      <c r="X536">
        <v>299533.82</v>
      </c>
      <c r="Y536" s="1" t="s">
        <v>2088</v>
      </c>
      <c r="Z536" s="1" t="s">
        <v>2080</v>
      </c>
      <c r="AO536" t="str">
        <v>P00638</v>
      </c>
    </row>
    <row r="537" spans="1:41" x14ac:dyDescent="0.35">
      <c r="A537" s="1" t="s">
        <v>1527</v>
      </c>
      <c r="B537" s="1" t="s">
        <v>800</v>
      </c>
      <c r="C537">
        <v>65</v>
      </c>
      <c r="D537" s="1" t="s">
        <v>25</v>
      </c>
      <c r="E537" s="1" t="s">
        <v>26</v>
      </c>
      <c r="F537" s="1" t="s">
        <v>41</v>
      </c>
      <c r="G537" s="2">
        <v>46204</v>
      </c>
      <c r="H537" s="2">
        <v>46211</v>
      </c>
      <c r="I537" s="1" t="s">
        <v>273</v>
      </c>
      <c r="J537" s="1" t="s">
        <v>152</v>
      </c>
      <c r="K537" s="1" t="s">
        <v>31</v>
      </c>
      <c r="L537" s="1" t="s">
        <v>66</v>
      </c>
      <c r="M537" s="1" t="s">
        <v>2086</v>
      </c>
      <c r="N537">
        <v>348648.08</v>
      </c>
      <c r="O537">
        <v>18508.580000000002</v>
      </c>
      <c r="P537">
        <v>12604.73</v>
      </c>
      <c r="Q537">
        <v>7</v>
      </c>
      <c r="R537">
        <v>48</v>
      </c>
      <c r="S537">
        <v>4</v>
      </c>
      <c r="T537" s="1" t="s">
        <v>34</v>
      </c>
      <c r="U537" s="1" t="s">
        <v>95</v>
      </c>
      <c r="V537" s="1" t="s">
        <v>102</v>
      </c>
      <c r="W537" s="1" t="s">
        <v>131</v>
      </c>
      <c r="X537">
        <v>379761.39</v>
      </c>
      <c r="Y537" s="1" t="s">
        <v>2088</v>
      </c>
      <c r="Z537" s="1" t="s">
        <v>2091</v>
      </c>
      <c r="AO537" t="str">
        <v>P00639</v>
      </c>
    </row>
    <row r="538" spans="1:41" x14ac:dyDescent="0.35">
      <c r="A538" s="1" t="s">
        <v>1529</v>
      </c>
      <c r="B538" s="1" t="s">
        <v>1530</v>
      </c>
      <c r="C538">
        <v>0</v>
      </c>
      <c r="D538" s="1" t="s">
        <v>25</v>
      </c>
      <c r="E538" s="1" t="s">
        <v>177</v>
      </c>
      <c r="F538" s="1" t="s">
        <v>63</v>
      </c>
      <c r="G538" s="2">
        <v>45561</v>
      </c>
      <c r="H538" s="2">
        <v>45565</v>
      </c>
      <c r="I538" s="1" t="s">
        <v>127</v>
      </c>
      <c r="J538" s="1" t="s">
        <v>152</v>
      </c>
      <c r="K538" s="1" t="s">
        <v>55</v>
      </c>
      <c r="L538" s="1" t="s">
        <v>44</v>
      </c>
      <c r="M538" s="1" t="s">
        <v>2089</v>
      </c>
      <c r="N538">
        <v>218864.15</v>
      </c>
      <c r="O538">
        <v>33952.230000000003</v>
      </c>
      <c r="P538">
        <v>36673.67</v>
      </c>
      <c r="Q538">
        <v>4</v>
      </c>
      <c r="R538">
        <v>191</v>
      </c>
      <c r="S538">
        <v>4.2</v>
      </c>
      <c r="T538" s="1" t="s">
        <v>46</v>
      </c>
      <c r="U538" s="1" t="s">
        <v>101</v>
      </c>
      <c r="V538" s="1" t="s">
        <v>75</v>
      </c>
      <c r="W538" s="1" t="s">
        <v>83</v>
      </c>
      <c r="X538">
        <v>289490.05</v>
      </c>
      <c r="Y538" s="1" t="s">
        <v>2093</v>
      </c>
      <c r="Z538" s="1" t="s">
        <v>2080</v>
      </c>
      <c r="AO538" t="str">
        <v>P00640</v>
      </c>
    </row>
    <row r="539" spans="1:41" x14ac:dyDescent="0.35">
      <c r="A539" s="1" t="s">
        <v>1532</v>
      </c>
      <c r="B539" s="1" t="s">
        <v>650</v>
      </c>
      <c r="C539">
        <v>38</v>
      </c>
      <c r="D539" s="1" t="s">
        <v>25</v>
      </c>
      <c r="E539" s="1" t="s">
        <v>51</v>
      </c>
      <c r="F539" s="1" t="s">
        <v>87</v>
      </c>
      <c r="G539" s="2">
        <v>46015</v>
      </c>
      <c r="H539" s="2">
        <v>46022</v>
      </c>
      <c r="I539" s="1" t="s">
        <v>127</v>
      </c>
      <c r="J539" s="1" t="s">
        <v>152</v>
      </c>
      <c r="K539" s="1" t="s">
        <v>55</v>
      </c>
      <c r="L539" s="1" t="s">
        <v>44</v>
      </c>
      <c r="M539" s="1" t="s">
        <v>2089</v>
      </c>
      <c r="N539">
        <v>351246.85</v>
      </c>
      <c r="O539">
        <v>70876.66</v>
      </c>
      <c r="P539">
        <v>84350.8</v>
      </c>
      <c r="Q539">
        <v>7</v>
      </c>
      <c r="R539">
        <v>13</v>
      </c>
      <c r="S539">
        <v>3.4</v>
      </c>
      <c r="T539" s="1" t="s">
        <v>46</v>
      </c>
      <c r="U539" s="1" t="s">
        <v>101</v>
      </c>
      <c r="V539" s="1" t="s">
        <v>130</v>
      </c>
      <c r="W539" s="1" t="s">
        <v>36</v>
      </c>
      <c r="X539">
        <v>506474.31</v>
      </c>
      <c r="Y539" s="1" t="s">
        <v>2079</v>
      </c>
      <c r="Z539" s="1" t="s">
        <v>2083</v>
      </c>
      <c r="AO539" t="str">
        <v>P00641</v>
      </c>
    </row>
    <row r="540" spans="1:41" x14ac:dyDescent="0.35">
      <c r="A540" s="1" t="s">
        <v>1533</v>
      </c>
      <c r="B540" s="1" t="s">
        <v>1534</v>
      </c>
      <c r="C540">
        <v>53</v>
      </c>
      <c r="D540" s="1" t="s">
        <v>119</v>
      </c>
      <c r="E540" s="1" t="s">
        <v>192</v>
      </c>
      <c r="F540" s="1" t="s">
        <v>227</v>
      </c>
      <c r="G540" s="2">
        <v>45447</v>
      </c>
      <c r="H540" s="2">
        <v>45449</v>
      </c>
      <c r="I540" s="1" t="s">
        <v>127</v>
      </c>
      <c r="J540" s="1" t="s">
        <v>2081</v>
      </c>
      <c r="K540" s="1" t="s">
        <v>163</v>
      </c>
      <c r="L540" s="1" t="s">
        <v>32</v>
      </c>
      <c r="M540" s="1" t="s">
        <v>2078</v>
      </c>
      <c r="N540">
        <v>316089.5</v>
      </c>
      <c r="O540">
        <v>9027.68</v>
      </c>
      <c r="P540">
        <v>47035.16</v>
      </c>
      <c r="Q540">
        <v>2</v>
      </c>
      <c r="R540">
        <v>0</v>
      </c>
      <c r="S540">
        <v>5</v>
      </c>
      <c r="T540" s="1" t="s">
        <v>34</v>
      </c>
      <c r="U540" s="1" t="s">
        <v>101</v>
      </c>
      <c r="V540" s="1" t="s">
        <v>130</v>
      </c>
      <c r="W540" s="1" t="s">
        <v>131</v>
      </c>
      <c r="X540">
        <v>372152.33999999997</v>
      </c>
      <c r="Y540" s="1" t="s">
        <v>2079</v>
      </c>
      <c r="Z540" s="1" t="s">
        <v>2083</v>
      </c>
      <c r="AO540" t="str">
        <v>P00643</v>
      </c>
    </row>
    <row r="541" spans="1:41" x14ac:dyDescent="0.35">
      <c r="A541" s="1" t="s">
        <v>1536</v>
      </c>
      <c r="B541" s="1" t="s">
        <v>125</v>
      </c>
      <c r="C541">
        <v>80</v>
      </c>
      <c r="D541" s="1" t="s">
        <v>119</v>
      </c>
      <c r="E541" s="1" t="s">
        <v>26</v>
      </c>
      <c r="F541" s="1" t="s">
        <v>41</v>
      </c>
      <c r="G541" s="2">
        <v>46194</v>
      </c>
      <c r="H541" s="2">
        <v>46196</v>
      </c>
      <c r="I541" s="1" t="s">
        <v>235</v>
      </c>
      <c r="J541" s="1" t="s">
        <v>30</v>
      </c>
      <c r="K541" s="1" t="s">
        <v>148</v>
      </c>
      <c r="L541" s="1" t="s">
        <v>44</v>
      </c>
      <c r="M541" s="1" t="s">
        <v>57</v>
      </c>
      <c r="N541">
        <v>95773.88</v>
      </c>
      <c r="O541">
        <v>49294.9</v>
      </c>
      <c r="P541">
        <v>55687.58</v>
      </c>
      <c r="Q541">
        <v>2</v>
      </c>
      <c r="R541">
        <v>189</v>
      </c>
      <c r="S541">
        <v>2.8</v>
      </c>
      <c r="T541" s="1" t="s">
        <v>34</v>
      </c>
      <c r="U541" s="1" t="s">
        <v>101</v>
      </c>
      <c r="V541" s="1" t="s">
        <v>102</v>
      </c>
      <c r="W541" s="1" t="s">
        <v>131</v>
      </c>
      <c r="X541">
        <v>200756.36</v>
      </c>
      <c r="Y541" s="1" t="s">
        <v>2088</v>
      </c>
      <c r="Z541" s="1" t="s">
        <v>2080</v>
      </c>
      <c r="AO541" t="str">
        <v>P00644</v>
      </c>
    </row>
    <row r="542" spans="1:41" x14ac:dyDescent="0.35">
      <c r="A542" s="1" t="s">
        <v>1542</v>
      </c>
      <c r="B542" s="1" t="s">
        <v>176</v>
      </c>
      <c r="C542">
        <v>38</v>
      </c>
      <c r="D542" s="1" t="s">
        <v>25</v>
      </c>
      <c r="E542" s="1" t="s">
        <v>2084</v>
      </c>
      <c r="F542" s="1" t="s">
        <v>227</v>
      </c>
      <c r="G542" s="2">
        <v>45680</v>
      </c>
      <c r="H542" s="2">
        <v>45683</v>
      </c>
      <c r="I542" s="1" t="s">
        <v>221</v>
      </c>
      <c r="J542" s="1" t="s">
        <v>141</v>
      </c>
      <c r="K542" s="1" t="s">
        <v>148</v>
      </c>
      <c r="L542" s="1" t="s">
        <v>32</v>
      </c>
      <c r="M542" s="1" t="s">
        <v>2092</v>
      </c>
      <c r="N542">
        <v>414463.41</v>
      </c>
      <c r="O542">
        <v>45933.120000000003</v>
      </c>
      <c r="P542">
        <v>93489</v>
      </c>
      <c r="Q542">
        <v>3</v>
      </c>
      <c r="R542">
        <v>0</v>
      </c>
      <c r="S542">
        <v>3.7</v>
      </c>
      <c r="T542" s="1" t="s">
        <v>46</v>
      </c>
      <c r="U542" s="1" t="s">
        <v>101</v>
      </c>
      <c r="V542" s="1" t="s">
        <v>102</v>
      </c>
      <c r="W542" s="1" t="s">
        <v>131</v>
      </c>
      <c r="X542">
        <v>553885.53</v>
      </c>
      <c r="Y542" s="1" t="s">
        <v>2079</v>
      </c>
      <c r="Z542" s="1" t="s">
        <v>2083</v>
      </c>
      <c r="AO542" t="str">
        <v>P00646</v>
      </c>
    </row>
    <row r="543" spans="1:41" x14ac:dyDescent="0.35">
      <c r="A543" s="1" t="s">
        <v>1544</v>
      </c>
      <c r="B543" s="1" t="s">
        <v>1545</v>
      </c>
      <c r="C543">
        <v>36</v>
      </c>
      <c r="D543" s="1" t="s">
        <v>119</v>
      </c>
      <c r="E543" s="1" t="s">
        <v>26</v>
      </c>
      <c r="F543" s="1" t="s">
        <v>135</v>
      </c>
      <c r="G543" s="2">
        <v>45418</v>
      </c>
      <c r="H543" s="2">
        <v>45432</v>
      </c>
      <c r="I543" s="1" t="s">
        <v>29</v>
      </c>
      <c r="J543" s="1" t="s">
        <v>2081</v>
      </c>
      <c r="K543" s="1" t="s">
        <v>55</v>
      </c>
      <c r="L543" s="1" t="s">
        <v>44</v>
      </c>
      <c r="M543" s="1" t="s">
        <v>57</v>
      </c>
      <c r="N543">
        <v>88256.82</v>
      </c>
      <c r="O543">
        <v>36152.089999999997</v>
      </c>
      <c r="P543">
        <v>20931.599999999999</v>
      </c>
      <c r="Q543">
        <v>14</v>
      </c>
      <c r="R543">
        <v>206</v>
      </c>
      <c r="S543">
        <v>3.3</v>
      </c>
      <c r="T543" s="1" t="s">
        <v>34</v>
      </c>
      <c r="U543" s="1" t="s">
        <v>101</v>
      </c>
      <c r="V543" s="1" t="s">
        <v>130</v>
      </c>
      <c r="W543" s="1" t="s">
        <v>36</v>
      </c>
      <c r="X543">
        <v>145340.51</v>
      </c>
      <c r="Y543" s="1" t="s">
        <v>2079</v>
      </c>
      <c r="Z543" s="1" t="s">
        <v>2080</v>
      </c>
      <c r="AO543" t="str">
        <v>P00647</v>
      </c>
    </row>
    <row r="544" spans="1:41" x14ac:dyDescent="0.35">
      <c r="A544" s="1" t="s">
        <v>1547</v>
      </c>
      <c r="B544" s="1" t="s">
        <v>1548</v>
      </c>
      <c r="C544">
        <v>32</v>
      </c>
      <c r="D544" s="1" t="s">
        <v>119</v>
      </c>
      <c r="E544" s="1" t="s">
        <v>2084</v>
      </c>
      <c r="F544" s="1" t="s">
        <v>87</v>
      </c>
      <c r="G544" s="2">
        <v>46143</v>
      </c>
      <c r="H544" s="2">
        <v>46145</v>
      </c>
      <c r="I544" s="1" t="s">
        <v>29</v>
      </c>
      <c r="J544" s="1" t="s">
        <v>87</v>
      </c>
      <c r="K544" s="1" t="s">
        <v>148</v>
      </c>
      <c r="L544" s="1" t="s">
        <v>66</v>
      </c>
      <c r="M544" s="1" t="s">
        <v>2087</v>
      </c>
      <c r="N544">
        <v>320578.44</v>
      </c>
      <c r="O544">
        <v>26056.33</v>
      </c>
      <c r="P544">
        <v>25750</v>
      </c>
      <c r="Q544">
        <v>2</v>
      </c>
      <c r="R544">
        <v>219</v>
      </c>
      <c r="S544">
        <v>2.6</v>
      </c>
      <c r="T544" s="1" t="s">
        <v>34</v>
      </c>
      <c r="U544" s="1" t="s">
        <v>101</v>
      </c>
      <c r="V544" s="1" t="s">
        <v>75</v>
      </c>
      <c r="W544" s="1" t="s">
        <v>12</v>
      </c>
      <c r="X544">
        <v>372384.77</v>
      </c>
      <c r="Y544" s="1" t="s">
        <v>2082</v>
      </c>
      <c r="Z544" s="1" t="s">
        <v>2080</v>
      </c>
      <c r="AO544" t="str">
        <v>P00648</v>
      </c>
    </row>
    <row r="545" spans="1:41" x14ac:dyDescent="0.35">
      <c r="A545" s="1" t="s">
        <v>1549</v>
      </c>
      <c r="B545" s="1" t="s">
        <v>1413</v>
      </c>
      <c r="C545">
        <v>57</v>
      </c>
      <c r="D545" s="1" t="s">
        <v>25</v>
      </c>
      <c r="E545" s="1" t="s">
        <v>107</v>
      </c>
      <c r="F545" s="1" t="s">
        <v>227</v>
      </c>
      <c r="G545" s="2">
        <v>45577</v>
      </c>
      <c r="H545" s="2">
        <v>45580</v>
      </c>
      <c r="I545" s="1" t="s">
        <v>29</v>
      </c>
      <c r="J545" s="1" t="s">
        <v>30</v>
      </c>
      <c r="K545" s="1" t="s">
        <v>128</v>
      </c>
      <c r="L545" s="1" t="s">
        <v>44</v>
      </c>
      <c r="M545" s="1" t="s">
        <v>2090</v>
      </c>
      <c r="N545">
        <v>0</v>
      </c>
      <c r="O545">
        <v>42006.51</v>
      </c>
      <c r="P545">
        <v>13346.77</v>
      </c>
      <c r="Q545">
        <v>3</v>
      </c>
      <c r="R545">
        <v>156</v>
      </c>
      <c r="S545">
        <v>2.4</v>
      </c>
      <c r="T545" s="1" t="s">
        <v>34</v>
      </c>
      <c r="U545" s="1" t="s">
        <v>101</v>
      </c>
      <c r="V545" s="1" t="s">
        <v>102</v>
      </c>
      <c r="W545" s="1" t="s">
        <v>12</v>
      </c>
      <c r="X545">
        <v>55353.279999999999</v>
      </c>
      <c r="Y545" s="1" t="s">
        <v>2079</v>
      </c>
      <c r="Z545" s="1" t="s">
        <v>2080</v>
      </c>
      <c r="AO545" t="str">
        <v>P00649</v>
      </c>
    </row>
    <row r="546" spans="1:41" x14ac:dyDescent="0.35">
      <c r="A546" s="1" t="s">
        <v>1553</v>
      </c>
      <c r="B546" s="1" t="s">
        <v>438</v>
      </c>
      <c r="C546">
        <v>20</v>
      </c>
      <c r="D546" s="1" t="s">
        <v>25</v>
      </c>
      <c r="E546" s="1" t="s">
        <v>51</v>
      </c>
      <c r="F546" s="1" t="s">
        <v>120</v>
      </c>
      <c r="G546" s="2">
        <v>46151</v>
      </c>
      <c r="H546" s="2">
        <v>46152</v>
      </c>
      <c r="I546" s="1" t="s">
        <v>114</v>
      </c>
      <c r="J546" s="1" t="s">
        <v>2081</v>
      </c>
      <c r="K546" s="1" t="s">
        <v>128</v>
      </c>
      <c r="L546" s="1" t="s">
        <v>66</v>
      </c>
      <c r="M546" s="1" t="s">
        <v>2090</v>
      </c>
      <c r="N546">
        <v>313151.65000000002</v>
      </c>
      <c r="O546">
        <v>10096.58</v>
      </c>
      <c r="P546">
        <v>16498.099999999999</v>
      </c>
      <c r="Q546">
        <v>1</v>
      </c>
      <c r="R546">
        <v>0</v>
      </c>
      <c r="S546">
        <v>3.1</v>
      </c>
      <c r="T546" s="1" t="s">
        <v>46</v>
      </c>
      <c r="U546" s="1" t="s">
        <v>149</v>
      </c>
      <c r="V546" s="1" t="s">
        <v>130</v>
      </c>
      <c r="W546" s="1" t="s">
        <v>83</v>
      </c>
      <c r="X546">
        <v>339746.33</v>
      </c>
      <c r="Y546" s="1" t="s">
        <v>2082</v>
      </c>
      <c r="Z546" s="1" t="s">
        <v>2083</v>
      </c>
      <c r="AO546" t="str">
        <v>P00650</v>
      </c>
    </row>
    <row r="547" spans="1:41" x14ac:dyDescent="0.35">
      <c r="A547" s="1" t="s">
        <v>1554</v>
      </c>
      <c r="B547" s="1" t="s">
        <v>328</v>
      </c>
      <c r="C547">
        <v>48</v>
      </c>
      <c r="D547" s="1" t="s">
        <v>25</v>
      </c>
      <c r="E547" s="1" t="s">
        <v>51</v>
      </c>
      <c r="F547" s="1" t="s">
        <v>227</v>
      </c>
      <c r="G547" s="2">
        <v>46105</v>
      </c>
      <c r="H547" s="2">
        <v>46107</v>
      </c>
      <c r="I547" s="1" t="s">
        <v>257</v>
      </c>
      <c r="J547" s="1" t="s">
        <v>152</v>
      </c>
      <c r="K547" s="1" t="s">
        <v>91</v>
      </c>
      <c r="L547" s="1" t="s">
        <v>66</v>
      </c>
      <c r="M547" s="1" t="s">
        <v>2090</v>
      </c>
      <c r="N547">
        <v>353182.87</v>
      </c>
      <c r="O547">
        <v>43172.45</v>
      </c>
      <c r="P547">
        <v>39273.83</v>
      </c>
      <c r="Q547">
        <v>2</v>
      </c>
      <c r="R547">
        <v>80</v>
      </c>
      <c r="S547">
        <v>4.4000000000000004</v>
      </c>
      <c r="T547" s="1" t="s">
        <v>46</v>
      </c>
      <c r="U547" s="1" t="s">
        <v>35</v>
      </c>
      <c r="V547" s="1" t="s">
        <v>75</v>
      </c>
      <c r="W547" s="1" t="s">
        <v>131</v>
      </c>
      <c r="X547">
        <v>435629.15</v>
      </c>
      <c r="Y547" s="1" t="s">
        <v>2079</v>
      </c>
      <c r="Z547" s="1" t="s">
        <v>2080</v>
      </c>
      <c r="AO547" t="str">
        <v>P00651</v>
      </c>
    </row>
    <row r="548" spans="1:41" x14ac:dyDescent="0.35">
      <c r="A548" s="1" t="s">
        <v>1559</v>
      </c>
      <c r="B548" s="1" t="s">
        <v>1560</v>
      </c>
      <c r="C548">
        <v>40</v>
      </c>
      <c r="D548" s="1" t="s">
        <v>25</v>
      </c>
      <c r="E548" s="1" t="s">
        <v>219</v>
      </c>
      <c r="F548" s="1" t="s">
        <v>193</v>
      </c>
      <c r="G548" s="2">
        <v>45827</v>
      </c>
      <c r="H548" s="2">
        <v>45831</v>
      </c>
      <c r="I548" s="1" t="s">
        <v>100</v>
      </c>
      <c r="J548" s="1" t="s">
        <v>147</v>
      </c>
      <c r="K548" s="1" t="s">
        <v>153</v>
      </c>
      <c r="L548" s="1" t="s">
        <v>32</v>
      </c>
      <c r="M548" s="1" t="s">
        <v>57</v>
      </c>
      <c r="N548">
        <v>416970.86</v>
      </c>
      <c r="O548">
        <v>17897.04</v>
      </c>
      <c r="P548">
        <v>73658.080000000002</v>
      </c>
      <c r="Q548">
        <v>4</v>
      </c>
      <c r="R548">
        <v>92</v>
      </c>
      <c r="S548">
        <v>2.9</v>
      </c>
      <c r="T548" s="1" t="s">
        <v>46</v>
      </c>
      <c r="U548" s="1" t="s">
        <v>35</v>
      </c>
      <c r="V548" s="1" t="s">
        <v>75</v>
      </c>
      <c r="W548" s="1" t="s">
        <v>131</v>
      </c>
      <c r="X548">
        <v>508525.98</v>
      </c>
      <c r="Y548" s="1" t="s">
        <v>2079</v>
      </c>
      <c r="Z548" s="1" t="s">
        <v>2080</v>
      </c>
      <c r="AO548" t="str">
        <v>P00653</v>
      </c>
    </row>
    <row r="549" spans="1:41" x14ac:dyDescent="0.35">
      <c r="A549" s="1" t="s">
        <v>1562</v>
      </c>
      <c r="B549" s="1" t="s">
        <v>833</v>
      </c>
      <c r="C549">
        <v>52</v>
      </c>
      <c r="D549" s="1" t="s">
        <v>25</v>
      </c>
      <c r="E549" s="1" t="s">
        <v>26</v>
      </c>
      <c r="F549" s="1" t="s">
        <v>227</v>
      </c>
      <c r="G549" s="2">
        <v>45460</v>
      </c>
      <c r="H549" s="2">
        <v>45464</v>
      </c>
      <c r="I549" s="1" t="s">
        <v>273</v>
      </c>
      <c r="J549" s="1" t="s">
        <v>147</v>
      </c>
      <c r="K549" s="1" t="s">
        <v>163</v>
      </c>
      <c r="L549" s="1" t="s">
        <v>44</v>
      </c>
      <c r="M549" s="1" t="s">
        <v>57</v>
      </c>
      <c r="N549">
        <v>269976.19</v>
      </c>
      <c r="O549">
        <v>32031.96</v>
      </c>
      <c r="P549">
        <v>43863.21</v>
      </c>
      <c r="Q549">
        <v>4</v>
      </c>
      <c r="R549">
        <v>274</v>
      </c>
      <c r="S549">
        <v>5</v>
      </c>
      <c r="T549" s="1" t="s">
        <v>46</v>
      </c>
      <c r="U549" s="1" t="s">
        <v>95</v>
      </c>
      <c r="V549" s="1" t="s">
        <v>130</v>
      </c>
      <c r="W549" s="1" t="s">
        <v>59</v>
      </c>
      <c r="X549">
        <v>345871.36000000004</v>
      </c>
      <c r="Y549" s="1" t="s">
        <v>2079</v>
      </c>
      <c r="Z549" s="1" t="s">
        <v>2080</v>
      </c>
      <c r="AO549" t="str">
        <v>P00654</v>
      </c>
    </row>
    <row r="550" spans="1:41" x14ac:dyDescent="0.35">
      <c r="A550" s="1" t="s">
        <v>1564</v>
      </c>
      <c r="B550" s="1" t="s">
        <v>403</v>
      </c>
      <c r="C550">
        <v>45</v>
      </c>
      <c r="D550" s="1" t="s">
        <v>25</v>
      </c>
      <c r="E550" s="1" t="s">
        <v>40</v>
      </c>
      <c r="F550" s="1" t="s">
        <v>227</v>
      </c>
      <c r="G550" s="2">
        <v>45360</v>
      </c>
      <c r="H550" s="2">
        <v>45365</v>
      </c>
      <c r="I550" s="1" t="s">
        <v>273</v>
      </c>
      <c r="J550" s="1" t="s">
        <v>147</v>
      </c>
      <c r="K550" s="1" t="s">
        <v>31</v>
      </c>
      <c r="L550" s="1" t="s">
        <v>66</v>
      </c>
      <c r="M550" s="1" t="s">
        <v>2087</v>
      </c>
      <c r="N550">
        <v>361002.01</v>
      </c>
      <c r="O550">
        <v>42949.87</v>
      </c>
      <c r="P550">
        <v>45786.14</v>
      </c>
      <c r="Q550">
        <v>5</v>
      </c>
      <c r="R550">
        <v>72</v>
      </c>
      <c r="S550">
        <v>3.6</v>
      </c>
      <c r="T550" s="1" t="s">
        <v>46</v>
      </c>
      <c r="U550" s="1" t="s">
        <v>95</v>
      </c>
      <c r="V550" s="1" t="s">
        <v>75</v>
      </c>
      <c r="W550" s="1" t="s">
        <v>83</v>
      </c>
      <c r="X550">
        <v>449738.02</v>
      </c>
      <c r="Y550" s="1" t="s">
        <v>2079</v>
      </c>
      <c r="Z550" s="1" t="s">
        <v>2080</v>
      </c>
      <c r="AO550" t="str">
        <v>P00655</v>
      </c>
    </row>
    <row r="551" spans="1:41" x14ac:dyDescent="0.35">
      <c r="A551" s="1" t="s">
        <v>1565</v>
      </c>
      <c r="B551" s="1" t="s">
        <v>191</v>
      </c>
      <c r="C551">
        <v>47</v>
      </c>
      <c r="D551" s="1" t="s">
        <v>25</v>
      </c>
      <c r="E551" s="1" t="s">
        <v>112</v>
      </c>
      <c r="F551" s="1" t="s">
        <v>63</v>
      </c>
      <c r="G551" s="2">
        <v>45448</v>
      </c>
      <c r="H551" s="2">
        <v>45449</v>
      </c>
      <c r="I551" s="1" t="s">
        <v>100</v>
      </c>
      <c r="J551" s="1" t="s">
        <v>2081</v>
      </c>
      <c r="K551" s="1" t="s">
        <v>81</v>
      </c>
      <c r="L551" s="1" t="s">
        <v>44</v>
      </c>
      <c r="M551" s="1" t="s">
        <v>2078</v>
      </c>
      <c r="N551">
        <v>151613.35</v>
      </c>
      <c r="O551">
        <v>69816.75</v>
      </c>
      <c r="P551">
        <v>45580.32</v>
      </c>
      <c r="Q551">
        <v>1</v>
      </c>
      <c r="R551">
        <v>5</v>
      </c>
      <c r="S551">
        <v>3.6</v>
      </c>
      <c r="T551" s="1" t="s">
        <v>46</v>
      </c>
      <c r="U551" s="1" t="s">
        <v>95</v>
      </c>
      <c r="V551" s="1" t="s">
        <v>102</v>
      </c>
      <c r="W551" s="1" t="s">
        <v>12</v>
      </c>
      <c r="X551">
        <v>267010.42</v>
      </c>
      <c r="Y551" s="1" t="s">
        <v>2079</v>
      </c>
      <c r="Z551" s="1" t="s">
        <v>2083</v>
      </c>
      <c r="AO551" t="str">
        <v>P00656</v>
      </c>
    </row>
    <row r="552" spans="1:41" x14ac:dyDescent="0.35">
      <c r="A552" s="1" t="s">
        <v>1566</v>
      </c>
      <c r="B552" s="1" t="s">
        <v>262</v>
      </c>
      <c r="C552">
        <v>53</v>
      </c>
      <c r="D552" s="1" t="s">
        <v>25</v>
      </c>
      <c r="E552" s="1" t="s">
        <v>177</v>
      </c>
      <c r="F552" s="1" t="s">
        <v>135</v>
      </c>
      <c r="G552" s="2">
        <v>45513</v>
      </c>
      <c r="H552" s="2">
        <v>45514</v>
      </c>
      <c r="I552" s="1" t="s">
        <v>100</v>
      </c>
      <c r="J552" s="1" t="s">
        <v>137</v>
      </c>
      <c r="K552" s="1" t="s">
        <v>153</v>
      </c>
      <c r="L552" s="1" t="s">
        <v>44</v>
      </c>
      <c r="M552" s="1" t="s">
        <v>2085</v>
      </c>
      <c r="N552">
        <v>260732.63</v>
      </c>
      <c r="O552">
        <v>53945.99</v>
      </c>
      <c r="P552">
        <v>21273.55</v>
      </c>
      <c r="Q552">
        <v>1</v>
      </c>
      <c r="R552">
        <v>97</v>
      </c>
      <c r="S552">
        <v>1.9</v>
      </c>
      <c r="T552" s="1" t="s">
        <v>46</v>
      </c>
      <c r="U552" s="1" t="s">
        <v>95</v>
      </c>
      <c r="V552" s="1" t="s">
        <v>102</v>
      </c>
      <c r="W552" s="1" t="s">
        <v>12</v>
      </c>
      <c r="X552">
        <v>335952.17</v>
      </c>
      <c r="Y552" s="1" t="s">
        <v>2079</v>
      </c>
      <c r="Z552" s="1" t="s">
        <v>2080</v>
      </c>
      <c r="AO552" t="str">
        <v>P00657</v>
      </c>
    </row>
    <row r="553" spans="1:41" x14ac:dyDescent="0.35">
      <c r="A553" s="1" t="s">
        <v>1568</v>
      </c>
      <c r="B553" s="1" t="s">
        <v>333</v>
      </c>
      <c r="C553">
        <v>54</v>
      </c>
      <c r="D553" s="1" t="s">
        <v>25</v>
      </c>
      <c r="E553" s="1" t="s">
        <v>26</v>
      </c>
      <c r="F553" s="1" t="s">
        <v>227</v>
      </c>
      <c r="G553" s="2">
        <v>45694</v>
      </c>
      <c r="H553" s="2">
        <v>45699</v>
      </c>
      <c r="I553" s="1" t="s">
        <v>100</v>
      </c>
      <c r="J553" s="1" t="s">
        <v>152</v>
      </c>
      <c r="K553" s="1" t="s">
        <v>153</v>
      </c>
      <c r="L553" s="1" t="s">
        <v>44</v>
      </c>
      <c r="M553" s="1" t="s">
        <v>2089</v>
      </c>
      <c r="N553">
        <v>289412.7</v>
      </c>
      <c r="O553">
        <v>30040.48</v>
      </c>
      <c r="P553">
        <v>57443.19</v>
      </c>
      <c r="Q553">
        <v>5</v>
      </c>
      <c r="R553">
        <v>215</v>
      </c>
      <c r="S553">
        <v>3.3</v>
      </c>
      <c r="T553" s="1" t="s">
        <v>46</v>
      </c>
      <c r="U553" s="1" t="s">
        <v>35</v>
      </c>
      <c r="V553" s="1" t="s">
        <v>130</v>
      </c>
      <c r="W553" s="1" t="s">
        <v>83</v>
      </c>
      <c r="X553">
        <v>376896.37</v>
      </c>
      <c r="Y553" s="1" t="s">
        <v>2079</v>
      </c>
      <c r="Z553" s="1" t="s">
        <v>2080</v>
      </c>
      <c r="AO553" t="str">
        <v>P00658</v>
      </c>
    </row>
    <row r="554" spans="1:41" x14ac:dyDescent="0.35">
      <c r="A554" s="1" t="s">
        <v>1574</v>
      </c>
      <c r="B554" s="1" t="s">
        <v>97</v>
      </c>
      <c r="C554">
        <v>57</v>
      </c>
      <c r="D554" s="1" t="s">
        <v>119</v>
      </c>
      <c r="E554" s="1" t="s">
        <v>263</v>
      </c>
      <c r="F554" s="1" t="s">
        <v>63</v>
      </c>
      <c r="G554" s="2">
        <v>45699</v>
      </c>
      <c r="H554" s="2">
        <v>45700</v>
      </c>
      <c r="I554" s="1" t="s">
        <v>53</v>
      </c>
      <c r="J554" s="1" t="s">
        <v>90</v>
      </c>
      <c r="K554" s="1" t="s">
        <v>148</v>
      </c>
      <c r="L554" s="1" t="s">
        <v>44</v>
      </c>
      <c r="M554" s="1" t="s">
        <v>2089</v>
      </c>
      <c r="N554">
        <v>314072.25</v>
      </c>
      <c r="O554">
        <v>39605.050000000003</v>
      </c>
      <c r="P554">
        <v>15167.14</v>
      </c>
      <c r="Q554">
        <v>1</v>
      </c>
      <c r="R554">
        <v>113</v>
      </c>
      <c r="S554">
        <v>2.2000000000000002</v>
      </c>
      <c r="T554" s="1" t="s">
        <v>46</v>
      </c>
      <c r="U554" s="1" t="s">
        <v>35</v>
      </c>
      <c r="V554" s="1" t="s">
        <v>75</v>
      </c>
      <c r="W554" s="1" t="s">
        <v>83</v>
      </c>
      <c r="X554">
        <v>368844.44</v>
      </c>
      <c r="Y554" s="1" t="s">
        <v>2079</v>
      </c>
      <c r="Z554" s="1" t="s">
        <v>2080</v>
      </c>
      <c r="AO554" t="str">
        <v>P00659</v>
      </c>
    </row>
    <row r="555" spans="1:41" x14ac:dyDescent="0.35">
      <c r="A555" s="1" t="s">
        <v>1575</v>
      </c>
      <c r="B555" s="1" t="s">
        <v>181</v>
      </c>
      <c r="C555">
        <v>65</v>
      </c>
      <c r="D555" s="1" t="s">
        <v>119</v>
      </c>
      <c r="E555" s="1" t="s">
        <v>177</v>
      </c>
      <c r="F555" s="1" t="s">
        <v>120</v>
      </c>
      <c r="G555" s="2">
        <v>46014</v>
      </c>
      <c r="H555" s="2">
        <v>46016</v>
      </c>
      <c r="I555" s="1" t="s">
        <v>273</v>
      </c>
      <c r="J555" s="1" t="s">
        <v>90</v>
      </c>
      <c r="K555" s="1" t="s">
        <v>148</v>
      </c>
      <c r="L555" s="1" t="s">
        <v>44</v>
      </c>
      <c r="M555" s="1" t="s">
        <v>2089</v>
      </c>
      <c r="N555">
        <v>331538.27</v>
      </c>
      <c r="O555">
        <v>30379.57</v>
      </c>
      <c r="P555">
        <v>15755.8</v>
      </c>
      <c r="Q555">
        <v>2</v>
      </c>
      <c r="R555">
        <v>143</v>
      </c>
      <c r="S555">
        <v>3.7</v>
      </c>
      <c r="T555" s="1" t="s">
        <v>46</v>
      </c>
      <c r="U555" s="1" t="s">
        <v>95</v>
      </c>
      <c r="V555" s="1" t="s">
        <v>102</v>
      </c>
      <c r="W555" s="1" t="s">
        <v>131</v>
      </c>
      <c r="X555">
        <v>377673.64</v>
      </c>
      <c r="Y555" s="1" t="s">
        <v>2088</v>
      </c>
      <c r="Z555" s="1" t="s">
        <v>2080</v>
      </c>
      <c r="AO555" t="str">
        <v>P00661</v>
      </c>
    </row>
    <row r="556" spans="1:41" x14ac:dyDescent="0.35">
      <c r="A556" s="1" t="s">
        <v>1577</v>
      </c>
      <c r="B556" s="1" t="s">
        <v>118</v>
      </c>
      <c r="C556">
        <v>60</v>
      </c>
      <c r="D556" s="1" t="s">
        <v>25</v>
      </c>
      <c r="E556" s="1" t="s">
        <v>192</v>
      </c>
      <c r="F556" s="1" t="s">
        <v>193</v>
      </c>
      <c r="G556" s="2">
        <v>46160</v>
      </c>
      <c r="H556" s="2">
        <v>46161</v>
      </c>
      <c r="I556" s="1" t="s">
        <v>173</v>
      </c>
      <c r="J556" s="1" t="s">
        <v>54</v>
      </c>
      <c r="K556" s="1" t="s">
        <v>148</v>
      </c>
      <c r="L556" s="1" t="s">
        <v>44</v>
      </c>
      <c r="M556" s="1" t="s">
        <v>2086</v>
      </c>
      <c r="N556">
        <v>216607.4</v>
      </c>
      <c r="O556">
        <v>60061.279999999999</v>
      </c>
      <c r="P556">
        <v>12141.88</v>
      </c>
      <c r="Q556">
        <v>1</v>
      </c>
      <c r="R556">
        <v>0</v>
      </c>
      <c r="S556">
        <v>4.0999999999999996</v>
      </c>
      <c r="T556" s="1" t="s">
        <v>46</v>
      </c>
      <c r="U556" s="1" t="s">
        <v>95</v>
      </c>
      <c r="V556" s="1" t="s">
        <v>75</v>
      </c>
      <c r="W556" s="1" t="s">
        <v>59</v>
      </c>
      <c r="X556">
        <v>288810.56</v>
      </c>
      <c r="Y556" s="1" t="s">
        <v>2088</v>
      </c>
      <c r="Z556" s="1" t="s">
        <v>2083</v>
      </c>
      <c r="AO556" t="str">
        <v>P00664</v>
      </c>
    </row>
    <row r="557" spans="1:41" x14ac:dyDescent="0.35">
      <c r="A557" s="1" t="s">
        <v>1579</v>
      </c>
      <c r="B557" s="1" t="s">
        <v>1100</v>
      </c>
      <c r="C557">
        <v>39</v>
      </c>
      <c r="D557" s="1" t="s">
        <v>119</v>
      </c>
      <c r="E557" s="1" t="s">
        <v>192</v>
      </c>
      <c r="F557" s="1" t="s">
        <v>120</v>
      </c>
      <c r="G557" s="2">
        <v>45897</v>
      </c>
      <c r="H557" s="2">
        <v>45898</v>
      </c>
      <c r="I557" s="1" t="s">
        <v>273</v>
      </c>
      <c r="J557" s="1" t="s">
        <v>30</v>
      </c>
      <c r="K557" s="1" t="s">
        <v>148</v>
      </c>
      <c r="L557" s="1" t="s">
        <v>66</v>
      </c>
      <c r="M557" s="1" t="s">
        <v>2090</v>
      </c>
      <c r="N557">
        <v>182815.35999999999</v>
      </c>
      <c r="O557">
        <v>20003.04</v>
      </c>
      <c r="P557">
        <v>41560.769999999997</v>
      </c>
      <c r="Q557">
        <v>1</v>
      </c>
      <c r="R557">
        <v>114</v>
      </c>
      <c r="S557">
        <v>3.5</v>
      </c>
      <c r="T557" s="1" t="s">
        <v>46</v>
      </c>
      <c r="U557" s="1" t="s">
        <v>101</v>
      </c>
      <c r="V557" s="1" t="s">
        <v>75</v>
      </c>
      <c r="W557" s="1" t="s">
        <v>59</v>
      </c>
      <c r="X557">
        <v>244379.16999999998</v>
      </c>
      <c r="Y557" s="1" t="s">
        <v>2079</v>
      </c>
      <c r="Z557" s="1" t="s">
        <v>2080</v>
      </c>
      <c r="AO557" t="str">
        <v>P00666</v>
      </c>
    </row>
    <row r="558" spans="1:41" x14ac:dyDescent="0.35">
      <c r="A558" s="1" t="s">
        <v>1581</v>
      </c>
      <c r="B558" s="1" t="s">
        <v>1582</v>
      </c>
      <c r="C558">
        <v>53</v>
      </c>
      <c r="D558" s="1" t="s">
        <v>119</v>
      </c>
      <c r="E558" s="1" t="s">
        <v>40</v>
      </c>
      <c r="F558" s="1" t="s">
        <v>120</v>
      </c>
      <c r="G558" s="2">
        <v>45615</v>
      </c>
      <c r="H558" s="2">
        <v>45616</v>
      </c>
      <c r="I558" s="1" t="s">
        <v>159</v>
      </c>
      <c r="J558" s="1" t="s">
        <v>2081</v>
      </c>
      <c r="K558" s="1" t="s">
        <v>31</v>
      </c>
      <c r="L558" s="1" t="s">
        <v>32</v>
      </c>
      <c r="M558" s="1" t="s">
        <v>2087</v>
      </c>
      <c r="N558">
        <v>0</v>
      </c>
      <c r="O558">
        <v>0</v>
      </c>
      <c r="P558">
        <v>67175.41</v>
      </c>
      <c r="Q558">
        <v>1</v>
      </c>
      <c r="R558">
        <v>133</v>
      </c>
      <c r="S558">
        <v>3.6</v>
      </c>
      <c r="T558" s="1" t="s">
        <v>46</v>
      </c>
      <c r="U558" s="1" t="s">
        <v>101</v>
      </c>
      <c r="V558" s="1" t="s">
        <v>75</v>
      </c>
      <c r="W558" s="1" t="s">
        <v>131</v>
      </c>
      <c r="X558">
        <v>67175.41</v>
      </c>
      <c r="Y558" s="1" t="s">
        <v>2079</v>
      </c>
      <c r="Z558" s="1" t="s">
        <v>2080</v>
      </c>
      <c r="AO558" t="str">
        <v>P00667</v>
      </c>
    </row>
    <row r="559" spans="1:41" x14ac:dyDescent="0.35">
      <c r="A559" s="1" t="s">
        <v>1584</v>
      </c>
      <c r="B559" s="1" t="s">
        <v>300</v>
      </c>
      <c r="C559">
        <v>27</v>
      </c>
      <c r="D559" s="1" t="s">
        <v>119</v>
      </c>
      <c r="E559" s="1" t="s">
        <v>51</v>
      </c>
      <c r="F559" s="1" t="s">
        <v>120</v>
      </c>
      <c r="G559" s="2">
        <v>45995</v>
      </c>
      <c r="H559" s="2">
        <v>45996</v>
      </c>
      <c r="I559" s="1" t="s">
        <v>273</v>
      </c>
      <c r="J559" s="1" t="s">
        <v>147</v>
      </c>
      <c r="K559" s="1" t="s">
        <v>174</v>
      </c>
      <c r="L559" s="1" t="s">
        <v>32</v>
      </c>
      <c r="M559" s="1" t="s">
        <v>2092</v>
      </c>
      <c r="N559">
        <v>183215.46</v>
      </c>
      <c r="O559">
        <v>0</v>
      </c>
      <c r="P559">
        <v>22829.14</v>
      </c>
      <c r="Q559">
        <v>1</v>
      </c>
      <c r="R559">
        <v>143</v>
      </c>
      <c r="S559">
        <v>5</v>
      </c>
      <c r="T559" s="1" t="s">
        <v>46</v>
      </c>
      <c r="U559" s="1" t="s">
        <v>101</v>
      </c>
      <c r="V559" s="1" t="s">
        <v>102</v>
      </c>
      <c r="W559" s="1" t="s">
        <v>12</v>
      </c>
      <c r="X559">
        <v>206044.59999999998</v>
      </c>
      <c r="Y559" s="1" t="s">
        <v>2082</v>
      </c>
      <c r="Z559" s="1" t="s">
        <v>2080</v>
      </c>
      <c r="AO559" t="str">
        <v>P00668</v>
      </c>
    </row>
    <row r="560" spans="1:41" x14ac:dyDescent="0.35">
      <c r="A560" s="1" t="s">
        <v>1585</v>
      </c>
      <c r="B560" s="1" t="s">
        <v>237</v>
      </c>
      <c r="C560">
        <v>59</v>
      </c>
      <c r="D560" s="1" t="s">
        <v>25</v>
      </c>
      <c r="E560" s="1" t="s">
        <v>263</v>
      </c>
      <c r="F560" s="1" t="s">
        <v>108</v>
      </c>
      <c r="G560" s="2">
        <v>45817</v>
      </c>
      <c r="H560" s="2">
        <v>45819</v>
      </c>
      <c r="I560" s="1" t="s">
        <v>53</v>
      </c>
      <c r="J560" s="1" t="s">
        <v>2081</v>
      </c>
      <c r="K560" s="1" t="s">
        <v>148</v>
      </c>
      <c r="L560" s="1" t="s">
        <v>44</v>
      </c>
      <c r="M560" s="1" t="s">
        <v>2089</v>
      </c>
      <c r="N560">
        <v>0</v>
      </c>
      <c r="O560">
        <v>46486.28</v>
      </c>
      <c r="P560">
        <v>20881.55</v>
      </c>
      <c r="Q560">
        <v>2</v>
      </c>
      <c r="R560">
        <v>118</v>
      </c>
      <c r="S560">
        <v>2.6</v>
      </c>
      <c r="T560" s="1" t="s">
        <v>46</v>
      </c>
      <c r="U560" s="1" t="s">
        <v>149</v>
      </c>
      <c r="V560" s="1" t="s">
        <v>102</v>
      </c>
      <c r="W560" s="1" t="s">
        <v>83</v>
      </c>
      <c r="X560">
        <v>67367.83</v>
      </c>
      <c r="Y560" s="1" t="s">
        <v>2079</v>
      </c>
      <c r="Z560" s="1" t="s">
        <v>2080</v>
      </c>
      <c r="AO560" t="str">
        <v>P00670</v>
      </c>
    </row>
    <row r="561" spans="1:41" x14ac:dyDescent="0.35">
      <c r="A561" s="1" t="s">
        <v>1587</v>
      </c>
      <c r="B561" s="1" t="s">
        <v>561</v>
      </c>
      <c r="C561">
        <v>23</v>
      </c>
      <c r="D561" s="1" t="s">
        <v>25</v>
      </c>
      <c r="E561" s="1" t="s">
        <v>219</v>
      </c>
      <c r="F561" s="1" t="s">
        <v>108</v>
      </c>
      <c r="G561" s="2">
        <v>46010</v>
      </c>
      <c r="H561" s="2">
        <v>46017</v>
      </c>
      <c r="I561" s="1" t="s">
        <v>273</v>
      </c>
      <c r="J561" s="1" t="s">
        <v>147</v>
      </c>
      <c r="K561" s="1" t="s">
        <v>128</v>
      </c>
      <c r="L561" s="1" t="s">
        <v>44</v>
      </c>
      <c r="M561" s="1" t="s">
        <v>2085</v>
      </c>
      <c r="N561">
        <v>307864.88</v>
      </c>
      <c r="O561">
        <v>23012.31</v>
      </c>
      <c r="P561">
        <v>40250.839999999997</v>
      </c>
      <c r="Q561">
        <v>7</v>
      </c>
      <c r="R561">
        <v>81</v>
      </c>
      <c r="S561">
        <v>2.6</v>
      </c>
      <c r="T561" s="1" t="s">
        <v>34</v>
      </c>
      <c r="U561" s="1" t="s">
        <v>35</v>
      </c>
      <c r="V561" s="1" t="s">
        <v>102</v>
      </c>
      <c r="W561" s="1" t="s">
        <v>83</v>
      </c>
      <c r="X561">
        <v>371128.03</v>
      </c>
      <c r="Y561" s="1" t="s">
        <v>2082</v>
      </c>
      <c r="Z561" s="1" t="s">
        <v>2080</v>
      </c>
      <c r="AO561" t="str">
        <v>P00671</v>
      </c>
    </row>
    <row r="562" spans="1:41" x14ac:dyDescent="0.35">
      <c r="A562" s="1" t="s">
        <v>1588</v>
      </c>
      <c r="B562" s="1" t="s">
        <v>1589</v>
      </c>
      <c r="C562">
        <v>41</v>
      </c>
      <c r="D562" s="1" t="s">
        <v>25</v>
      </c>
      <c r="E562" s="1" t="s">
        <v>26</v>
      </c>
      <c r="F562" s="1" t="s">
        <v>41</v>
      </c>
      <c r="G562" s="2">
        <v>45899</v>
      </c>
      <c r="H562" s="2">
        <v>45902</v>
      </c>
      <c r="I562" s="1" t="s">
        <v>257</v>
      </c>
      <c r="J562" s="1" t="s">
        <v>2081</v>
      </c>
      <c r="K562" s="1" t="s">
        <v>55</v>
      </c>
      <c r="L562" s="1" t="s">
        <v>66</v>
      </c>
      <c r="M562" s="1" t="s">
        <v>2086</v>
      </c>
      <c r="N562">
        <v>253773.63</v>
      </c>
      <c r="O562">
        <v>32112.63</v>
      </c>
      <c r="P562">
        <v>68939.839999999997</v>
      </c>
      <c r="Q562">
        <v>3</v>
      </c>
      <c r="R562">
        <v>164</v>
      </c>
      <c r="S562">
        <v>2.2999999999999998</v>
      </c>
      <c r="T562" s="1" t="s">
        <v>34</v>
      </c>
      <c r="U562" s="1" t="s">
        <v>35</v>
      </c>
      <c r="V562" s="1" t="s">
        <v>102</v>
      </c>
      <c r="W562" s="1" t="s">
        <v>12</v>
      </c>
      <c r="X562">
        <v>354826.1</v>
      </c>
      <c r="Y562" s="1" t="s">
        <v>2079</v>
      </c>
      <c r="Z562" s="1" t="s">
        <v>2080</v>
      </c>
      <c r="AO562" t="str">
        <v>P00673</v>
      </c>
    </row>
    <row r="563" spans="1:41" x14ac:dyDescent="0.35">
      <c r="A563" s="1" t="s">
        <v>1590</v>
      </c>
      <c r="B563" s="1" t="s">
        <v>488</v>
      </c>
      <c r="C563">
        <v>16</v>
      </c>
      <c r="D563" s="1" t="s">
        <v>25</v>
      </c>
      <c r="E563" s="1" t="s">
        <v>26</v>
      </c>
      <c r="F563" s="1" t="s">
        <v>135</v>
      </c>
      <c r="G563" s="2">
        <v>45567</v>
      </c>
      <c r="H563" s="2">
        <v>45572</v>
      </c>
      <c r="I563" s="1" t="s">
        <v>257</v>
      </c>
      <c r="J563" s="1" t="s">
        <v>147</v>
      </c>
      <c r="K563" s="1" t="s">
        <v>153</v>
      </c>
      <c r="L563" s="1" t="s">
        <v>32</v>
      </c>
      <c r="M563" s="1" t="s">
        <v>2078</v>
      </c>
      <c r="N563">
        <v>302299.82</v>
      </c>
      <c r="O563">
        <v>45493.47</v>
      </c>
      <c r="P563">
        <v>0</v>
      </c>
      <c r="Q563">
        <v>5</v>
      </c>
      <c r="R563">
        <v>101</v>
      </c>
      <c r="S563">
        <v>3.1</v>
      </c>
      <c r="T563" s="1" t="s">
        <v>34</v>
      </c>
      <c r="U563" s="1" t="s">
        <v>101</v>
      </c>
      <c r="V563" s="1" t="s">
        <v>102</v>
      </c>
      <c r="W563" s="1" t="s">
        <v>83</v>
      </c>
      <c r="X563">
        <v>347793.29000000004</v>
      </c>
      <c r="Y563" s="1" t="s">
        <v>2093</v>
      </c>
      <c r="Z563" s="1" t="s">
        <v>2080</v>
      </c>
      <c r="AO563" t="str">
        <v>P00674</v>
      </c>
    </row>
    <row r="564" spans="1:41" x14ac:dyDescent="0.35">
      <c r="A564" s="1" t="s">
        <v>1591</v>
      </c>
      <c r="B564" s="1" t="s">
        <v>240</v>
      </c>
      <c r="C564">
        <v>72</v>
      </c>
      <c r="D564" s="1" t="s">
        <v>25</v>
      </c>
      <c r="E564" s="1" t="s">
        <v>86</v>
      </c>
      <c r="F564" s="1" t="s">
        <v>87</v>
      </c>
      <c r="G564" s="2">
        <v>46112</v>
      </c>
      <c r="H564" s="2">
        <v>46113</v>
      </c>
      <c r="I564" s="1" t="s">
        <v>100</v>
      </c>
      <c r="J564" s="1" t="s">
        <v>137</v>
      </c>
      <c r="K564" s="1" t="s">
        <v>148</v>
      </c>
      <c r="L564" s="1" t="s">
        <v>32</v>
      </c>
      <c r="M564" s="1" t="s">
        <v>2078</v>
      </c>
      <c r="N564">
        <v>128484.92</v>
      </c>
      <c r="O564">
        <v>9840.58</v>
      </c>
      <c r="P564">
        <v>47270.85</v>
      </c>
      <c r="Q564">
        <v>1</v>
      </c>
      <c r="R564">
        <v>146</v>
      </c>
      <c r="S564">
        <v>3.5</v>
      </c>
      <c r="T564" s="1" t="s">
        <v>34</v>
      </c>
      <c r="U564" s="1" t="s">
        <v>149</v>
      </c>
      <c r="V564" s="1" t="s">
        <v>75</v>
      </c>
      <c r="W564" s="1" t="s">
        <v>12</v>
      </c>
      <c r="X564">
        <v>185596.35</v>
      </c>
      <c r="Y564" s="1" t="s">
        <v>2088</v>
      </c>
      <c r="Z564" s="1" t="s">
        <v>2080</v>
      </c>
      <c r="AO564" t="str">
        <v>P00675</v>
      </c>
    </row>
    <row r="565" spans="1:41" x14ac:dyDescent="0.35">
      <c r="A565" s="1" t="s">
        <v>1592</v>
      </c>
      <c r="B565" s="1" t="s">
        <v>971</v>
      </c>
      <c r="C565">
        <v>54</v>
      </c>
      <c r="D565" s="1" t="s">
        <v>25</v>
      </c>
      <c r="E565" s="1" t="s">
        <v>26</v>
      </c>
      <c r="F565" s="1" t="s">
        <v>41</v>
      </c>
      <c r="G565" s="2">
        <v>45860</v>
      </c>
      <c r="H565" s="2">
        <v>45867</v>
      </c>
      <c r="I565" s="1" t="s">
        <v>100</v>
      </c>
      <c r="J565" s="1" t="s">
        <v>152</v>
      </c>
      <c r="K565" s="1" t="s">
        <v>55</v>
      </c>
      <c r="L565" s="1" t="s">
        <v>44</v>
      </c>
      <c r="M565" s="1" t="s">
        <v>2089</v>
      </c>
      <c r="N565">
        <v>0</v>
      </c>
      <c r="O565">
        <v>16763.330000000002</v>
      </c>
      <c r="P565">
        <v>28144.74</v>
      </c>
      <c r="Q565">
        <v>7</v>
      </c>
      <c r="R565">
        <v>130</v>
      </c>
      <c r="S565">
        <v>0.3</v>
      </c>
      <c r="T565" s="1" t="s">
        <v>34</v>
      </c>
      <c r="U565" s="1" t="s">
        <v>149</v>
      </c>
      <c r="V565" s="1" t="s">
        <v>130</v>
      </c>
      <c r="W565" s="1" t="s">
        <v>12</v>
      </c>
      <c r="X565">
        <v>44908.070000000007</v>
      </c>
      <c r="Y565" s="1" t="s">
        <v>2079</v>
      </c>
      <c r="Z565" s="1" t="s">
        <v>2080</v>
      </c>
      <c r="AO565" t="str">
        <v>P00676</v>
      </c>
    </row>
    <row r="566" spans="1:41" x14ac:dyDescent="0.35">
      <c r="A566" s="1" t="s">
        <v>1594</v>
      </c>
      <c r="B566" s="1" t="s">
        <v>616</v>
      </c>
      <c r="C566">
        <v>54</v>
      </c>
      <c r="D566" s="1" t="s">
        <v>119</v>
      </c>
      <c r="E566" s="1" t="s">
        <v>26</v>
      </c>
      <c r="F566" s="1" t="s">
        <v>120</v>
      </c>
      <c r="G566" s="2">
        <v>45617</v>
      </c>
      <c r="H566" s="2">
        <v>45635</v>
      </c>
      <c r="I566" s="1" t="s">
        <v>235</v>
      </c>
      <c r="J566" s="1" t="s">
        <v>152</v>
      </c>
      <c r="K566" s="1" t="s">
        <v>153</v>
      </c>
      <c r="L566" s="1" t="s">
        <v>44</v>
      </c>
      <c r="M566" s="1" t="s">
        <v>2086</v>
      </c>
      <c r="N566">
        <v>240842.75</v>
      </c>
      <c r="O566">
        <v>59539.19</v>
      </c>
      <c r="P566">
        <v>115309.62</v>
      </c>
      <c r="Q566">
        <v>18</v>
      </c>
      <c r="R566">
        <v>160</v>
      </c>
      <c r="S566">
        <v>4.9000000000000004</v>
      </c>
      <c r="T566" s="1" t="s">
        <v>34</v>
      </c>
      <c r="U566" s="1" t="s">
        <v>149</v>
      </c>
      <c r="V566" s="1" t="s">
        <v>130</v>
      </c>
      <c r="W566" s="1" t="s">
        <v>12</v>
      </c>
      <c r="X566">
        <v>415691.56</v>
      </c>
      <c r="Y566" s="1" t="s">
        <v>2079</v>
      </c>
      <c r="Z566" s="1" t="s">
        <v>2080</v>
      </c>
      <c r="AO566" t="str">
        <v>P00677</v>
      </c>
    </row>
    <row r="567" spans="1:41" x14ac:dyDescent="0.35">
      <c r="A567" s="1" t="s">
        <v>1595</v>
      </c>
      <c r="B567" s="1" t="s">
        <v>1152</v>
      </c>
      <c r="C567">
        <v>39</v>
      </c>
      <c r="D567" s="1" t="s">
        <v>25</v>
      </c>
      <c r="E567" s="1" t="s">
        <v>219</v>
      </c>
      <c r="F567" s="1" t="s">
        <v>227</v>
      </c>
      <c r="G567" s="2">
        <v>45474</v>
      </c>
      <c r="H567" s="2">
        <v>45477</v>
      </c>
      <c r="I567" s="1" t="s">
        <v>235</v>
      </c>
      <c r="J567" s="1" t="s">
        <v>54</v>
      </c>
      <c r="K567" s="1" t="s">
        <v>148</v>
      </c>
      <c r="L567" s="1" t="s">
        <v>44</v>
      </c>
      <c r="M567" s="1" t="s">
        <v>2086</v>
      </c>
      <c r="N567">
        <v>153388.64000000001</v>
      </c>
      <c r="O567">
        <v>9347.2000000000007</v>
      </c>
      <c r="P567">
        <v>24389.58</v>
      </c>
      <c r="Q567">
        <v>3</v>
      </c>
      <c r="R567">
        <v>0</v>
      </c>
      <c r="S567">
        <v>3.6</v>
      </c>
      <c r="T567" s="1" t="s">
        <v>46</v>
      </c>
      <c r="U567" s="1" t="s">
        <v>149</v>
      </c>
      <c r="V567" s="1" t="s">
        <v>75</v>
      </c>
      <c r="W567" s="1" t="s">
        <v>59</v>
      </c>
      <c r="X567">
        <v>187125.42000000004</v>
      </c>
      <c r="Y567" s="1" t="s">
        <v>2079</v>
      </c>
      <c r="Z567" s="1" t="s">
        <v>2083</v>
      </c>
      <c r="AO567" t="str">
        <v>P00678</v>
      </c>
    </row>
    <row r="568" spans="1:41" x14ac:dyDescent="0.35">
      <c r="A568" s="1" t="s">
        <v>1596</v>
      </c>
      <c r="B568" s="1" t="s">
        <v>713</v>
      </c>
      <c r="C568">
        <v>47</v>
      </c>
      <c r="D568" s="1" t="s">
        <v>25</v>
      </c>
      <c r="E568" s="1" t="s">
        <v>177</v>
      </c>
      <c r="F568" s="1" t="s">
        <v>63</v>
      </c>
      <c r="G568" s="2">
        <v>45476</v>
      </c>
      <c r="H568" s="2">
        <v>45477</v>
      </c>
      <c r="I568" s="1" t="s">
        <v>114</v>
      </c>
      <c r="J568" s="1" t="s">
        <v>115</v>
      </c>
      <c r="K568" s="1" t="s">
        <v>148</v>
      </c>
      <c r="L568" s="1" t="s">
        <v>44</v>
      </c>
      <c r="M568" s="1" t="s">
        <v>2090</v>
      </c>
      <c r="N568">
        <v>214913.71</v>
      </c>
      <c r="O568">
        <v>33673.379999999997</v>
      </c>
      <c r="P568">
        <v>29336.05</v>
      </c>
      <c r="Q568">
        <v>1</v>
      </c>
      <c r="R568">
        <v>325</v>
      </c>
      <c r="S568">
        <v>5</v>
      </c>
      <c r="T568" s="1" t="s">
        <v>46</v>
      </c>
      <c r="U568" s="1" t="s">
        <v>95</v>
      </c>
      <c r="V568" s="1" t="s">
        <v>75</v>
      </c>
      <c r="W568" s="1" t="s">
        <v>83</v>
      </c>
      <c r="X568">
        <v>277923.14</v>
      </c>
      <c r="Y568" s="1" t="s">
        <v>2079</v>
      </c>
      <c r="Z568" s="1" t="s">
        <v>2080</v>
      </c>
      <c r="AO568" t="str">
        <v>P00681</v>
      </c>
    </row>
    <row r="569" spans="1:41" x14ac:dyDescent="0.35">
      <c r="A569" s="1" t="s">
        <v>1598</v>
      </c>
      <c r="B569" s="1" t="s">
        <v>543</v>
      </c>
      <c r="C569">
        <v>48</v>
      </c>
      <c r="D569" s="1" t="s">
        <v>25</v>
      </c>
      <c r="E569" s="1" t="s">
        <v>26</v>
      </c>
      <c r="F569" s="1" t="s">
        <v>120</v>
      </c>
      <c r="G569" s="2">
        <v>46042</v>
      </c>
      <c r="H569" s="2">
        <v>46043</v>
      </c>
      <c r="I569" s="1" t="s">
        <v>273</v>
      </c>
      <c r="J569" s="1" t="s">
        <v>147</v>
      </c>
      <c r="K569" s="1" t="s">
        <v>122</v>
      </c>
      <c r="L569" s="1" t="s">
        <v>32</v>
      </c>
      <c r="M569" s="1" t="s">
        <v>2086</v>
      </c>
      <c r="N569">
        <v>134879.14000000001</v>
      </c>
      <c r="O569">
        <v>4638.01</v>
      </c>
      <c r="P569">
        <v>4797.84</v>
      </c>
      <c r="Q569">
        <v>1</v>
      </c>
      <c r="R569">
        <v>127</v>
      </c>
      <c r="S569">
        <v>2.8</v>
      </c>
      <c r="T569" s="1" t="s">
        <v>46</v>
      </c>
      <c r="U569" s="1" t="s">
        <v>95</v>
      </c>
      <c r="V569" s="1" t="s">
        <v>75</v>
      </c>
      <c r="W569" s="1" t="s">
        <v>36</v>
      </c>
      <c r="X569">
        <v>144314.99000000002</v>
      </c>
      <c r="Y569" s="1" t="s">
        <v>2079</v>
      </c>
      <c r="Z569" s="1" t="s">
        <v>2080</v>
      </c>
      <c r="AO569" t="str">
        <v>P00682</v>
      </c>
    </row>
    <row r="570" spans="1:41" x14ac:dyDescent="0.35">
      <c r="A570" s="1" t="s">
        <v>1599</v>
      </c>
      <c r="B570" s="1" t="s">
        <v>971</v>
      </c>
      <c r="C570">
        <v>64</v>
      </c>
      <c r="D570" s="1" t="s">
        <v>119</v>
      </c>
      <c r="E570" s="1" t="s">
        <v>26</v>
      </c>
      <c r="F570" s="1" t="s">
        <v>227</v>
      </c>
      <c r="G570" s="2">
        <v>45910</v>
      </c>
      <c r="H570" s="2">
        <v>45916</v>
      </c>
      <c r="I570" s="1" t="s">
        <v>273</v>
      </c>
      <c r="J570" s="1" t="s">
        <v>87</v>
      </c>
      <c r="K570" s="1" t="s">
        <v>122</v>
      </c>
      <c r="L570" s="1" t="s">
        <v>32</v>
      </c>
      <c r="M570" s="1" t="s">
        <v>2089</v>
      </c>
      <c r="N570">
        <v>412348.01</v>
      </c>
      <c r="O570">
        <v>8690.33</v>
      </c>
      <c r="P570">
        <v>59260.97</v>
      </c>
      <c r="Q570">
        <v>6</v>
      </c>
      <c r="R570">
        <v>142</v>
      </c>
      <c r="S570">
        <v>3.1</v>
      </c>
      <c r="T570" s="1" t="s">
        <v>46</v>
      </c>
      <c r="U570" s="1" t="s">
        <v>35</v>
      </c>
      <c r="V570" s="1" t="s">
        <v>102</v>
      </c>
      <c r="W570" s="1" t="s">
        <v>131</v>
      </c>
      <c r="X570">
        <v>480299.31000000006</v>
      </c>
      <c r="Y570" s="1" t="s">
        <v>2088</v>
      </c>
      <c r="Z570" s="1" t="s">
        <v>2080</v>
      </c>
      <c r="AO570" t="str">
        <v>P00683</v>
      </c>
    </row>
    <row r="571" spans="1:41" x14ac:dyDescent="0.35">
      <c r="A571" s="1" t="s">
        <v>1600</v>
      </c>
      <c r="B571" s="1" t="s">
        <v>1601</v>
      </c>
      <c r="C571">
        <v>78</v>
      </c>
      <c r="D571" s="1" t="s">
        <v>119</v>
      </c>
      <c r="E571" s="1" t="s">
        <v>112</v>
      </c>
      <c r="F571" s="1" t="s">
        <v>145</v>
      </c>
      <c r="G571" s="2">
        <v>45896</v>
      </c>
      <c r="H571" s="2">
        <v>45897</v>
      </c>
      <c r="I571" s="1" t="s">
        <v>53</v>
      </c>
      <c r="J571" s="1" t="s">
        <v>115</v>
      </c>
      <c r="K571" s="1" t="s">
        <v>148</v>
      </c>
      <c r="L571" s="1" t="s">
        <v>44</v>
      </c>
      <c r="M571" s="1" t="s">
        <v>2087</v>
      </c>
      <c r="N571">
        <v>251849.42</v>
      </c>
      <c r="O571">
        <v>45899.19</v>
      </c>
      <c r="P571">
        <v>20337.72</v>
      </c>
      <c r="Q571">
        <v>1</v>
      </c>
      <c r="R571">
        <v>3</v>
      </c>
      <c r="S571">
        <v>3</v>
      </c>
      <c r="T571" s="1" t="s">
        <v>34</v>
      </c>
      <c r="U571" s="1" t="s">
        <v>35</v>
      </c>
      <c r="V571" s="1" t="s">
        <v>102</v>
      </c>
      <c r="W571" s="1" t="s">
        <v>131</v>
      </c>
      <c r="X571">
        <v>318086.32999999996</v>
      </c>
      <c r="Y571" s="1" t="s">
        <v>2088</v>
      </c>
      <c r="Z571" s="1" t="s">
        <v>2083</v>
      </c>
      <c r="AO571" t="str">
        <v>P00685</v>
      </c>
    </row>
    <row r="572" spans="1:41" x14ac:dyDescent="0.35">
      <c r="A572" s="1" t="s">
        <v>1603</v>
      </c>
      <c r="B572" s="1" t="s">
        <v>244</v>
      </c>
      <c r="C572">
        <v>19</v>
      </c>
      <c r="D572" s="1" t="s">
        <v>119</v>
      </c>
      <c r="E572" s="1" t="s">
        <v>263</v>
      </c>
      <c r="F572" s="1" t="s">
        <v>135</v>
      </c>
      <c r="G572" s="2">
        <v>46077</v>
      </c>
      <c r="H572" s="2">
        <v>46079</v>
      </c>
      <c r="I572" s="1" t="s">
        <v>114</v>
      </c>
      <c r="J572" s="1" t="s">
        <v>152</v>
      </c>
      <c r="K572" s="1" t="s">
        <v>128</v>
      </c>
      <c r="L572" s="1" t="s">
        <v>44</v>
      </c>
      <c r="M572" s="1" t="s">
        <v>2090</v>
      </c>
      <c r="N572">
        <v>218621.73</v>
      </c>
      <c r="O572">
        <v>0</v>
      </c>
      <c r="P572">
        <v>11398.58</v>
      </c>
      <c r="Q572">
        <v>2</v>
      </c>
      <c r="R572">
        <v>145</v>
      </c>
      <c r="S572">
        <v>4.5</v>
      </c>
      <c r="T572" s="1" t="s">
        <v>34</v>
      </c>
      <c r="U572" s="1" t="s">
        <v>95</v>
      </c>
      <c r="V572" s="1" t="s">
        <v>130</v>
      </c>
      <c r="W572" s="1" t="s">
        <v>131</v>
      </c>
      <c r="X572">
        <v>230020.31</v>
      </c>
      <c r="Y572" s="1" t="s">
        <v>2082</v>
      </c>
      <c r="Z572" s="1" t="s">
        <v>2080</v>
      </c>
      <c r="AO572" t="str">
        <v>P00686</v>
      </c>
    </row>
    <row r="573" spans="1:41" x14ac:dyDescent="0.35">
      <c r="A573" s="1" t="s">
        <v>1604</v>
      </c>
      <c r="B573" s="1" t="s">
        <v>508</v>
      </c>
      <c r="C573">
        <v>20</v>
      </c>
      <c r="D573" s="1" t="s">
        <v>119</v>
      </c>
      <c r="E573" s="1" t="s">
        <v>263</v>
      </c>
      <c r="F573" s="1" t="s">
        <v>87</v>
      </c>
      <c r="G573" s="2">
        <v>46036</v>
      </c>
      <c r="H573" s="2">
        <v>46038</v>
      </c>
      <c r="I573" s="1" t="s">
        <v>29</v>
      </c>
      <c r="J573" s="1" t="s">
        <v>152</v>
      </c>
      <c r="K573" s="1" t="s">
        <v>91</v>
      </c>
      <c r="L573" s="1" t="s">
        <v>44</v>
      </c>
      <c r="M573" s="1" t="s">
        <v>2086</v>
      </c>
      <c r="N573">
        <v>76163.5</v>
      </c>
      <c r="O573">
        <v>20668.29</v>
      </c>
      <c r="P573">
        <v>64335.55</v>
      </c>
      <c r="Q573">
        <v>2</v>
      </c>
      <c r="R573">
        <v>164</v>
      </c>
      <c r="S573">
        <v>3.1</v>
      </c>
      <c r="T573" s="1" t="s">
        <v>34</v>
      </c>
      <c r="U573" s="1" t="s">
        <v>95</v>
      </c>
      <c r="V573" s="1" t="s">
        <v>130</v>
      </c>
      <c r="W573" s="1" t="s">
        <v>131</v>
      </c>
      <c r="X573">
        <v>161167.34000000003</v>
      </c>
      <c r="Y573" s="1" t="s">
        <v>2082</v>
      </c>
      <c r="Z573" s="1" t="s">
        <v>2080</v>
      </c>
      <c r="AO573" t="str">
        <v>P00687</v>
      </c>
    </row>
    <row r="574" spans="1:41" x14ac:dyDescent="0.35">
      <c r="A574" s="1" t="s">
        <v>1606</v>
      </c>
      <c r="B574" s="1" t="s">
        <v>400</v>
      </c>
      <c r="C574">
        <v>47</v>
      </c>
      <c r="D574" s="1" t="s">
        <v>119</v>
      </c>
      <c r="E574" s="1" t="s">
        <v>219</v>
      </c>
      <c r="F574" s="1" t="s">
        <v>193</v>
      </c>
      <c r="G574" s="2">
        <v>45541</v>
      </c>
      <c r="H574" s="2">
        <v>45542</v>
      </c>
      <c r="I574" s="1" t="s">
        <v>114</v>
      </c>
      <c r="J574" s="1" t="s">
        <v>30</v>
      </c>
      <c r="K574" s="1" t="s">
        <v>153</v>
      </c>
      <c r="L574" s="1" t="s">
        <v>44</v>
      </c>
      <c r="M574" s="1" t="s">
        <v>2087</v>
      </c>
      <c r="N574">
        <v>368772.02</v>
      </c>
      <c r="O574">
        <v>20609.16</v>
      </c>
      <c r="P574">
        <v>85533.42</v>
      </c>
      <c r="Q574">
        <v>1</v>
      </c>
      <c r="R574">
        <v>191</v>
      </c>
      <c r="S574">
        <v>4</v>
      </c>
      <c r="T574" s="1" t="s">
        <v>34</v>
      </c>
      <c r="U574" s="1" t="s">
        <v>149</v>
      </c>
      <c r="V574" s="1" t="s">
        <v>75</v>
      </c>
      <c r="W574" s="1" t="s">
        <v>131</v>
      </c>
      <c r="X574">
        <v>474914.6</v>
      </c>
      <c r="Y574" s="1" t="s">
        <v>2079</v>
      </c>
      <c r="Z574" s="1" t="s">
        <v>2080</v>
      </c>
      <c r="AO574" t="str">
        <v>P00688</v>
      </c>
    </row>
    <row r="575" spans="1:41" x14ac:dyDescent="0.35">
      <c r="A575" s="1" t="s">
        <v>1613</v>
      </c>
      <c r="B575" s="1" t="s">
        <v>1530</v>
      </c>
      <c r="C575">
        <v>43</v>
      </c>
      <c r="D575" s="1" t="s">
        <v>119</v>
      </c>
      <c r="E575" s="1" t="s">
        <v>263</v>
      </c>
      <c r="F575" s="1" t="s">
        <v>87</v>
      </c>
      <c r="G575" s="2">
        <v>45981</v>
      </c>
      <c r="H575" s="2">
        <v>45985</v>
      </c>
      <c r="I575" s="1" t="s">
        <v>53</v>
      </c>
      <c r="J575" s="1" t="s">
        <v>141</v>
      </c>
      <c r="K575" s="1" t="s">
        <v>128</v>
      </c>
      <c r="L575" s="1" t="s">
        <v>32</v>
      </c>
      <c r="M575" s="1" t="s">
        <v>57</v>
      </c>
      <c r="N575">
        <v>392198.65</v>
      </c>
      <c r="O575">
        <v>54567.08</v>
      </c>
      <c r="P575">
        <v>2997.88</v>
      </c>
      <c r="Q575">
        <v>4</v>
      </c>
      <c r="R575">
        <v>139</v>
      </c>
      <c r="S575">
        <v>3.4</v>
      </c>
      <c r="T575" s="1" t="s">
        <v>46</v>
      </c>
      <c r="U575" s="1" t="s">
        <v>35</v>
      </c>
      <c r="V575" s="1" t="s">
        <v>102</v>
      </c>
      <c r="W575" s="1" t="s">
        <v>131</v>
      </c>
      <c r="X575">
        <v>449763.61000000004</v>
      </c>
      <c r="Y575" s="1" t="s">
        <v>2079</v>
      </c>
      <c r="Z575" s="1" t="s">
        <v>2080</v>
      </c>
      <c r="AO575" t="str">
        <v>P00689</v>
      </c>
    </row>
    <row r="576" spans="1:41" x14ac:dyDescent="0.35">
      <c r="A576" s="1" t="s">
        <v>1614</v>
      </c>
      <c r="B576" s="1" t="s">
        <v>441</v>
      </c>
      <c r="C576">
        <v>26</v>
      </c>
      <c r="D576" s="1" t="s">
        <v>119</v>
      </c>
      <c r="E576" s="1" t="s">
        <v>219</v>
      </c>
      <c r="F576" s="1" t="s">
        <v>193</v>
      </c>
      <c r="G576" s="2">
        <v>45451</v>
      </c>
      <c r="H576" s="2">
        <v>45454</v>
      </c>
      <c r="I576" s="1" t="s">
        <v>273</v>
      </c>
      <c r="J576" s="1" t="s">
        <v>115</v>
      </c>
      <c r="K576" s="1" t="s">
        <v>128</v>
      </c>
      <c r="L576" s="1" t="s">
        <v>44</v>
      </c>
      <c r="M576" s="1" t="s">
        <v>2087</v>
      </c>
      <c r="N576">
        <v>464739.19</v>
      </c>
      <c r="O576">
        <v>56001.55</v>
      </c>
      <c r="P576">
        <v>22806.87</v>
      </c>
      <c r="Q576">
        <v>3</v>
      </c>
      <c r="R576">
        <v>0</v>
      </c>
      <c r="S576">
        <v>3.2</v>
      </c>
      <c r="T576" s="1" t="s">
        <v>46</v>
      </c>
      <c r="U576" s="1" t="s">
        <v>35</v>
      </c>
      <c r="V576" s="1" t="s">
        <v>130</v>
      </c>
      <c r="W576" s="1" t="s">
        <v>131</v>
      </c>
      <c r="X576">
        <v>543547.61</v>
      </c>
      <c r="Y576" s="1" t="s">
        <v>2082</v>
      </c>
      <c r="Z576" s="1" t="s">
        <v>2083</v>
      </c>
      <c r="AO576" t="str">
        <v>P00690</v>
      </c>
    </row>
    <row r="577" spans="1:41" x14ac:dyDescent="0.35">
      <c r="A577" s="1" t="s">
        <v>1616</v>
      </c>
      <c r="B577" s="1" t="s">
        <v>1617</v>
      </c>
      <c r="C577">
        <v>48</v>
      </c>
      <c r="D577" s="1" t="s">
        <v>119</v>
      </c>
      <c r="E577" s="1" t="s">
        <v>192</v>
      </c>
      <c r="F577" s="1" t="s">
        <v>193</v>
      </c>
      <c r="G577" s="2">
        <v>45405</v>
      </c>
      <c r="H577" s="2">
        <v>45409</v>
      </c>
      <c r="I577" s="1" t="s">
        <v>100</v>
      </c>
      <c r="J577" s="1" t="s">
        <v>2081</v>
      </c>
      <c r="K577" s="1" t="s">
        <v>128</v>
      </c>
      <c r="L577" s="1" t="s">
        <v>44</v>
      </c>
      <c r="M577" s="1" t="s">
        <v>2086</v>
      </c>
      <c r="N577">
        <v>395438.6</v>
      </c>
      <c r="O577">
        <v>49747.99</v>
      </c>
      <c r="P577">
        <v>74087.070000000007</v>
      </c>
      <c r="Q577">
        <v>4</v>
      </c>
      <c r="R577">
        <v>119</v>
      </c>
      <c r="S577">
        <v>1.9</v>
      </c>
      <c r="T577" s="1" t="s">
        <v>46</v>
      </c>
      <c r="U577" s="1" t="s">
        <v>35</v>
      </c>
      <c r="V577" s="1" t="s">
        <v>102</v>
      </c>
      <c r="W577" s="1" t="s">
        <v>59</v>
      </c>
      <c r="X577">
        <v>519273.66</v>
      </c>
      <c r="Y577" s="1" t="s">
        <v>2079</v>
      </c>
      <c r="Z577" s="1" t="s">
        <v>2080</v>
      </c>
      <c r="AO577" t="str">
        <v>P00691</v>
      </c>
    </row>
    <row r="578" spans="1:41" x14ac:dyDescent="0.35">
      <c r="A578" s="1" t="s">
        <v>1618</v>
      </c>
      <c r="B578" s="1" t="s">
        <v>759</v>
      </c>
      <c r="C578">
        <v>66</v>
      </c>
      <c r="D578" s="1" t="s">
        <v>25</v>
      </c>
      <c r="E578" s="1" t="s">
        <v>192</v>
      </c>
      <c r="F578" s="1" t="s">
        <v>145</v>
      </c>
      <c r="G578" s="2">
        <v>45940</v>
      </c>
      <c r="H578" s="2">
        <v>45942</v>
      </c>
      <c r="I578" s="1" t="s">
        <v>273</v>
      </c>
      <c r="J578" s="1" t="s">
        <v>30</v>
      </c>
      <c r="K578" s="1" t="s">
        <v>128</v>
      </c>
      <c r="L578" s="1" t="s">
        <v>44</v>
      </c>
      <c r="M578" s="1" t="s">
        <v>2090</v>
      </c>
      <c r="N578">
        <v>212786.79</v>
      </c>
      <c r="O578">
        <v>42577.26</v>
      </c>
      <c r="P578">
        <v>35437.550000000003</v>
      </c>
      <c r="Q578">
        <v>2</v>
      </c>
      <c r="R578">
        <v>17</v>
      </c>
      <c r="S578">
        <v>3.5</v>
      </c>
      <c r="T578" s="1" t="s">
        <v>46</v>
      </c>
      <c r="U578" s="1" t="s">
        <v>35</v>
      </c>
      <c r="V578" s="1" t="s">
        <v>75</v>
      </c>
      <c r="W578" s="1" t="s">
        <v>59</v>
      </c>
      <c r="X578">
        <v>290801.60000000003</v>
      </c>
      <c r="Y578" s="1" t="s">
        <v>2088</v>
      </c>
      <c r="Z578" s="1" t="s">
        <v>2083</v>
      </c>
      <c r="AO578" t="str">
        <v>P00692</v>
      </c>
    </row>
    <row r="579" spans="1:41" x14ac:dyDescent="0.35">
      <c r="A579" s="1" t="s">
        <v>1620</v>
      </c>
      <c r="B579" s="1" t="s">
        <v>583</v>
      </c>
      <c r="C579">
        <v>28</v>
      </c>
      <c r="D579" s="1" t="s">
        <v>25</v>
      </c>
      <c r="E579" s="1" t="s">
        <v>26</v>
      </c>
      <c r="F579" s="1" t="s">
        <v>193</v>
      </c>
      <c r="G579" s="2">
        <v>45468</v>
      </c>
      <c r="H579" s="2">
        <v>45471</v>
      </c>
      <c r="I579" s="1" t="s">
        <v>273</v>
      </c>
      <c r="J579" s="1" t="s">
        <v>115</v>
      </c>
      <c r="K579" s="1" t="s">
        <v>128</v>
      </c>
      <c r="L579" s="1" t="s">
        <v>32</v>
      </c>
      <c r="M579" s="1" t="s">
        <v>2086</v>
      </c>
      <c r="N579">
        <v>187000.43</v>
      </c>
      <c r="O579">
        <v>6513.42</v>
      </c>
      <c r="P579">
        <v>78577.350000000006</v>
      </c>
      <c r="Q579">
        <v>3</v>
      </c>
      <c r="R579">
        <v>72</v>
      </c>
      <c r="S579">
        <v>5</v>
      </c>
      <c r="T579" s="1" t="s">
        <v>34</v>
      </c>
      <c r="U579" s="1" t="s">
        <v>101</v>
      </c>
      <c r="V579" s="1" t="s">
        <v>102</v>
      </c>
      <c r="W579" s="1" t="s">
        <v>59</v>
      </c>
      <c r="X579">
        <v>272091.2</v>
      </c>
      <c r="Y579" s="1" t="s">
        <v>2082</v>
      </c>
      <c r="Z579" s="1" t="s">
        <v>2080</v>
      </c>
      <c r="AO579" t="str">
        <v>P00693</v>
      </c>
    </row>
    <row r="580" spans="1:41" x14ac:dyDescent="0.35">
      <c r="A580" s="1" t="s">
        <v>1622</v>
      </c>
      <c r="B580" s="1" t="s">
        <v>315</v>
      </c>
      <c r="C580">
        <v>41</v>
      </c>
      <c r="D580" s="1" t="s">
        <v>119</v>
      </c>
      <c r="E580" s="1" t="s">
        <v>86</v>
      </c>
      <c r="F580" s="1" t="s">
        <v>227</v>
      </c>
      <c r="G580" s="2">
        <v>45874</v>
      </c>
      <c r="H580" s="2">
        <v>45883</v>
      </c>
      <c r="I580" s="1" t="s">
        <v>273</v>
      </c>
      <c r="J580" s="1" t="s">
        <v>87</v>
      </c>
      <c r="K580" s="1" t="s">
        <v>81</v>
      </c>
      <c r="L580" s="1" t="s">
        <v>32</v>
      </c>
      <c r="M580" s="1" t="s">
        <v>2086</v>
      </c>
      <c r="N580">
        <v>78817.179999999993</v>
      </c>
      <c r="O580">
        <v>0</v>
      </c>
      <c r="P580">
        <v>838.89</v>
      </c>
      <c r="Q580">
        <v>9</v>
      </c>
      <c r="R580">
        <v>0</v>
      </c>
      <c r="S580">
        <v>5</v>
      </c>
      <c r="T580" s="1" t="s">
        <v>34</v>
      </c>
      <c r="U580" s="1" t="s">
        <v>101</v>
      </c>
      <c r="V580" s="1" t="s">
        <v>102</v>
      </c>
      <c r="W580" s="1" t="s">
        <v>59</v>
      </c>
      <c r="X580">
        <v>79656.069999999992</v>
      </c>
      <c r="Y580" s="1" t="s">
        <v>2079</v>
      </c>
      <c r="Z580" s="1" t="s">
        <v>2083</v>
      </c>
      <c r="AO580" t="str">
        <v>P00694</v>
      </c>
    </row>
    <row r="581" spans="1:41" x14ac:dyDescent="0.35">
      <c r="A581" s="1" t="s">
        <v>1624</v>
      </c>
      <c r="B581" s="1" t="s">
        <v>1625</v>
      </c>
      <c r="C581">
        <v>51</v>
      </c>
      <c r="D581" s="1" t="s">
        <v>119</v>
      </c>
      <c r="E581" s="1" t="s">
        <v>112</v>
      </c>
      <c r="F581" s="1" t="s">
        <v>193</v>
      </c>
      <c r="G581" s="2">
        <v>45358</v>
      </c>
      <c r="H581" s="2">
        <v>45361</v>
      </c>
      <c r="I581" s="1" t="s">
        <v>53</v>
      </c>
      <c r="J581" s="1" t="s">
        <v>137</v>
      </c>
      <c r="K581" s="1" t="s">
        <v>31</v>
      </c>
      <c r="L581" s="1" t="s">
        <v>32</v>
      </c>
      <c r="M581" s="1" t="s">
        <v>2086</v>
      </c>
      <c r="N581">
        <v>0</v>
      </c>
      <c r="O581">
        <v>50.84</v>
      </c>
      <c r="P581">
        <v>71612.39</v>
      </c>
      <c r="Q581">
        <v>3</v>
      </c>
      <c r="R581">
        <v>116</v>
      </c>
      <c r="S581">
        <v>3.5</v>
      </c>
      <c r="T581" s="1" t="s">
        <v>34</v>
      </c>
      <c r="U581" s="1" t="s">
        <v>101</v>
      </c>
      <c r="V581" s="1" t="s">
        <v>102</v>
      </c>
      <c r="W581" s="1" t="s">
        <v>59</v>
      </c>
      <c r="X581">
        <v>71663.23</v>
      </c>
      <c r="Y581" s="1" t="s">
        <v>2079</v>
      </c>
      <c r="Z581" s="1" t="s">
        <v>2080</v>
      </c>
      <c r="AO581" t="str">
        <v>P00695</v>
      </c>
    </row>
    <row r="582" spans="1:41" x14ac:dyDescent="0.35">
      <c r="A582" s="1" t="s">
        <v>1626</v>
      </c>
      <c r="B582" s="1" t="s">
        <v>787</v>
      </c>
      <c r="C582">
        <v>78</v>
      </c>
      <c r="D582" s="1" t="s">
        <v>25</v>
      </c>
      <c r="E582" s="1" t="s">
        <v>26</v>
      </c>
      <c r="F582" s="1" t="s">
        <v>227</v>
      </c>
      <c r="G582" s="2">
        <v>45765</v>
      </c>
      <c r="H582" s="2">
        <v>45769</v>
      </c>
      <c r="I582" s="1" t="s">
        <v>53</v>
      </c>
      <c r="J582" s="1" t="s">
        <v>141</v>
      </c>
      <c r="K582" s="1" t="s">
        <v>148</v>
      </c>
      <c r="L582" s="1" t="s">
        <v>44</v>
      </c>
      <c r="M582" s="1" t="s">
        <v>2089</v>
      </c>
      <c r="N582">
        <v>189054.06</v>
      </c>
      <c r="O582">
        <v>31734.25</v>
      </c>
      <c r="P582">
        <v>50777.91</v>
      </c>
      <c r="Q582">
        <v>4</v>
      </c>
      <c r="R582">
        <v>274</v>
      </c>
      <c r="S582">
        <v>1</v>
      </c>
      <c r="T582" s="1" t="s">
        <v>34</v>
      </c>
      <c r="U582" s="1" t="s">
        <v>101</v>
      </c>
      <c r="V582" s="1" t="s">
        <v>75</v>
      </c>
      <c r="W582" s="1" t="s">
        <v>131</v>
      </c>
      <c r="X582">
        <v>271566.21999999997</v>
      </c>
      <c r="Y582" s="1" t="s">
        <v>2088</v>
      </c>
      <c r="Z582" s="1" t="s">
        <v>2080</v>
      </c>
      <c r="AO582" t="str">
        <v>P00696</v>
      </c>
    </row>
    <row r="583" spans="1:41" x14ac:dyDescent="0.35">
      <c r="A583" s="1" t="s">
        <v>1628</v>
      </c>
      <c r="B583" s="1" t="s">
        <v>1629</v>
      </c>
      <c r="C583">
        <v>40</v>
      </c>
      <c r="D583" s="1" t="s">
        <v>119</v>
      </c>
      <c r="E583" s="1" t="s">
        <v>51</v>
      </c>
      <c r="F583" s="1" t="s">
        <v>63</v>
      </c>
      <c r="G583" s="2">
        <v>45741</v>
      </c>
      <c r="H583" s="2">
        <v>45746</v>
      </c>
      <c r="I583" s="1" t="s">
        <v>273</v>
      </c>
      <c r="J583" s="1" t="s">
        <v>141</v>
      </c>
      <c r="K583" s="1" t="s">
        <v>31</v>
      </c>
      <c r="L583" s="1" t="s">
        <v>44</v>
      </c>
      <c r="M583" s="1" t="s">
        <v>2089</v>
      </c>
      <c r="N583">
        <v>299348.03999999998</v>
      </c>
      <c r="O583">
        <v>13565.69</v>
      </c>
      <c r="P583">
        <v>43531.05</v>
      </c>
      <c r="Q583">
        <v>5</v>
      </c>
      <c r="R583">
        <v>148</v>
      </c>
      <c r="S583">
        <v>5</v>
      </c>
      <c r="T583" s="1" t="s">
        <v>34</v>
      </c>
      <c r="U583" s="1" t="s">
        <v>101</v>
      </c>
      <c r="V583" s="1" t="s">
        <v>75</v>
      </c>
      <c r="W583" s="1" t="s">
        <v>131</v>
      </c>
      <c r="X583">
        <v>356444.77999999997</v>
      </c>
      <c r="Y583" s="1" t="s">
        <v>2079</v>
      </c>
      <c r="Z583" s="1" t="s">
        <v>2080</v>
      </c>
      <c r="AO583" t="str">
        <v>P00697</v>
      </c>
    </row>
    <row r="584" spans="1:41" x14ac:dyDescent="0.35">
      <c r="A584" s="1" t="s">
        <v>1631</v>
      </c>
      <c r="B584" s="1" t="s">
        <v>353</v>
      </c>
      <c r="C584">
        <v>24</v>
      </c>
      <c r="D584" s="1" t="s">
        <v>119</v>
      </c>
      <c r="E584" s="1" t="s">
        <v>219</v>
      </c>
      <c r="F584" s="1" t="s">
        <v>87</v>
      </c>
      <c r="G584" s="2">
        <v>46031</v>
      </c>
      <c r="H584" s="2">
        <v>46036</v>
      </c>
      <c r="I584" s="1" t="s">
        <v>235</v>
      </c>
      <c r="J584" s="1" t="s">
        <v>147</v>
      </c>
      <c r="K584" s="1" t="s">
        <v>31</v>
      </c>
      <c r="L584" s="1" t="s">
        <v>44</v>
      </c>
      <c r="M584" s="1" t="s">
        <v>2090</v>
      </c>
      <c r="N584">
        <v>160673.64000000001</v>
      </c>
      <c r="O584">
        <v>18664.650000000001</v>
      </c>
      <c r="P584">
        <v>0</v>
      </c>
      <c r="Q584">
        <v>5</v>
      </c>
      <c r="R584">
        <v>70</v>
      </c>
      <c r="S584">
        <v>4.7</v>
      </c>
      <c r="T584" s="1" t="s">
        <v>34</v>
      </c>
      <c r="U584" s="1" t="s">
        <v>95</v>
      </c>
      <c r="V584" s="1" t="s">
        <v>75</v>
      </c>
      <c r="W584" s="1" t="s">
        <v>83</v>
      </c>
      <c r="X584">
        <v>179338.29</v>
      </c>
      <c r="Y584" s="1" t="s">
        <v>2082</v>
      </c>
      <c r="Z584" s="1" t="s">
        <v>2080</v>
      </c>
      <c r="AO584" t="str">
        <v>P00698</v>
      </c>
    </row>
    <row r="585" spans="1:41" x14ac:dyDescent="0.35">
      <c r="A585" s="1" t="s">
        <v>1633</v>
      </c>
      <c r="B585" s="1" t="s">
        <v>923</v>
      </c>
      <c r="C585">
        <v>66</v>
      </c>
      <c r="D585" s="1" t="s">
        <v>119</v>
      </c>
      <c r="E585" s="1" t="s">
        <v>2084</v>
      </c>
      <c r="F585" s="1" t="s">
        <v>120</v>
      </c>
      <c r="G585" s="2">
        <v>45594</v>
      </c>
      <c r="H585" s="2">
        <v>45595</v>
      </c>
      <c r="I585" s="1" t="s">
        <v>53</v>
      </c>
      <c r="J585" s="1" t="s">
        <v>87</v>
      </c>
      <c r="K585" s="1" t="s">
        <v>153</v>
      </c>
      <c r="L585" s="1" t="s">
        <v>32</v>
      </c>
      <c r="M585" s="1" t="s">
        <v>2087</v>
      </c>
      <c r="N585">
        <v>288288.46999999997</v>
      </c>
      <c r="O585">
        <v>11644.17</v>
      </c>
      <c r="P585">
        <v>40754.11</v>
      </c>
      <c r="Q585">
        <v>1</v>
      </c>
      <c r="R585">
        <v>214</v>
      </c>
      <c r="S585">
        <v>4.7</v>
      </c>
      <c r="T585" s="1" t="s">
        <v>34</v>
      </c>
      <c r="U585" s="1" t="s">
        <v>95</v>
      </c>
      <c r="V585" s="1" t="s">
        <v>102</v>
      </c>
      <c r="W585" s="1" t="s">
        <v>83</v>
      </c>
      <c r="X585">
        <v>340686.74999999994</v>
      </c>
      <c r="Y585" s="1" t="s">
        <v>2088</v>
      </c>
      <c r="Z585" s="1" t="s">
        <v>2080</v>
      </c>
      <c r="AO585" t="str">
        <v>P00699</v>
      </c>
    </row>
    <row r="586" spans="1:41" x14ac:dyDescent="0.35">
      <c r="A586" s="1" t="s">
        <v>1634</v>
      </c>
      <c r="B586" s="1" t="s">
        <v>776</v>
      </c>
      <c r="C586">
        <v>37</v>
      </c>
      <c r="D586" s="1" t="s">
        <v>119</v>
      </c>
      <c r="E586" s="1" t="s">
        <v>107</v>
      </c>
      <c r="F586" s="1" t="s">
        <v>41</v>
      </c>
      <c r="G586" s="2">
        <v>46259</v>
      </c>
      <c r="H586" s="2">
        <v>46262</v>
      </c>
      <c r="I586" s="1" t="s">
        <v>53</v>
      </c>
      <c r="J586" s="1" t="s">
        <v>141</v>
      </c>
      <c r="K586" s="1" t="s">
        <v>153</v>
      </c>
      <c r="L586" s="1" t="s">
        <v>32</v>
      </c>
      <c r="M586" s="1" t="s">
        <v>2086</v>
      </c>
      <c r="N586">
        <v>230725.27</v>
      </c>
      <c r="O586">
        <v>17205.91</v>
      </c>
      <c r="P586">
        <v>0</v>
      </c>
      <c r="Q586">
        <v>3</v>
      </c>
      <c r="R586">
        <v>248</v>
      </c>
      <c r="S586">
        <v>3.9</v>
      </c>
      <c r="T586" s="1" t="s">
        <v>46</v>
      </c>
      <c r="U586" s="1" t="s">
        <v>149</v>
      </c>
      <c r="V586" s="1" t="s">
        <v>102</v>
      </c>
      <c r="W586" s="1" t="s">
        <v>12</v>
      </c>
      <c r="X586">
        <v>247931.18</v>
      </c>
      <c r="Y586" s="1" t="s">
        <v>2079</v>
      </c>
      <c r="Z586" s="1" t="s">
        <v>2080</v>
      </c>
      <c r="AO586" t="str">
        <v>P00700</v>
      </c>
    </row>
    <row r="587" spans="1:41" x14ac:dyDescent="0.35">
      <c r="A587" s="1" t="s">
        <v>1636</v>
      </c>
      <c r="B587" s="1" t="s">
        <v>1530</v>
      </c>
      <c r="C587">
        <v>41</v>
      </c>
      <c r="D587" s="1" t="s">
        <v>119</v>
      </c>
      <c r="E587" s="1" t="s">
        <v>219</v>
      </c>
      <c r="F587" s="1" t="s">
        <v>227</v>
      </c>
      <c r="G587" s="2">
        <v>45304</v>
      </c>
      <c r="H587" s="2">
        <v>45308</v>
      </c>
      <c r="I587" s="1" t="s">
        <v>53</v>
      </c>
      <c r="J587" s="1" t="s">
        <v>87</v>
      </c>
      <c r="K587" s="1" t="s">
        <v>148</v>
      </c>
      <c r="L587" s="1" t="s">
        <v>32</v>
      </c>
      <c r="M587" s="1" t="s">
        <v>2086</v>
      </c>
      <c r="N587">
        <v>117083.65</v>
      </c>
      <c r="O587">
        <v>25351.89</v>
      </c>
      <c r="P587">
        <v>0</v>
      </c>
      <c r="Q587">
        <v>4</v>
      </c>
      <c r="R587">
        <v>265</v>
      </c>
      <c r="S587">
        <v>2.1</v>
      </c>
      <c r="T587" s="1" t="s">
        <v>46</v>
      </c>
      <c r="U587" s="1" t="s">
        <v>149</v>
      </c>
      <c r="V587" s="1" t="s">
        <v>102</v>
      </c>
      <c r="W587" s="1" t="s">
        <v>83</v>
      </c>
      <c r="X587">
        <v>142435.53999999998</v>
      </c>
      <c r="Y587" s="1" t="s">
        <v>2079</v>
      </c>
      <c r="Z587" s="1" t="s">
        <v>2080</v>
      </c>
      <c r="AO587" t="str">
        <v>P00701</v>
      </c>
    </row>
    <row r="588" spans="1:41" x14ac:dyDescent="0.35">
      <c r="A588" s="1" t="s">
        <v>1637</v>
      </c>
      <c r="B588" s="1" t="s">
        <v>1638</v>
      </c>
      <c r="C588">
        <v>33</v>
      </c>
      <c r="D588" s="1" t="s">
        <v>119</v>
      </c>
      <c r="E588" s="1" t="s">
        <v>192</v>
      </c>
      <c r="F588" s="1" t="s">
        <v>41</v>
      </c>
      <c r="G588" s="2">
        <v>46183</v>
      </c>
      <c r="H588" s="2">
        <v>46184</v>
      </c>
      <c r="I588" s="1" t="s">
        <v>273</v>
      </c>
      <c r="J588" s="1" t="s">
        <v>141</v>
      </c>
      <c r="K588" s="1" t="s">
        <v>148</v>
      </c>
      <c r="L588" s="1" t="s">
        <v>44</v>
      </c>
      <c r="M588" s="1" t="s">
        <v>2085</v>
      </c>
      <c r="N588">
        <v>400330.6</v>
      </c>
      <c r="O588">
        <v>30362.720000000001</v>
      </c>
      <c r="P588">
        <v>7915.93</v>
      </c>
      <c r="Q588">
        <v>1</v>
      </c>
      <c r="R588">
        <v>189</v>
      </c>
      <c r="S588">
        <v>4.7</v>
      </c>
      <c r="T588" s="1" t="s">
        <v>46</v>
      </c>
      <c r="U588" s="1" t="s">
        <v>95</v>
      </c>
      <c r="V588" s="1" t="s">
        <v>130</v>
      </c>
      <c r="W588" s="1" t="s">
        <v>59</v>
      </c>
      <c r="X588">
        <v>438609.24999999994</v>
      </c>
      <c r="Y588" s="1" t="s">
        <v>2082</v>
      </c>
      <c r="Z588" s="1" t="s">
        <v>2080</v>
      </c>
      <c r="AO588" t="str">
        <v>P00703</v>
      </c>
    </row>
    <row r="589" spans="1:41" x14ac:dyDescent="0.35">
      <c r="A589" s="1" t="s">
        <v>1639</v>
      </c>
      <c r="B589" s="1" t="s">
        <v>233</v>
      </c>
      <c r="C589">
        <v>58</v>
      </c>
      <c r="D589" s="1" t="s">
        <v>119</v>
      </c>
      <c r="E589" s="1" t="s">
        <v>192</v>
      </c>
      <c r="F589" s="1" t="s">
        <v>108</v>
      </c>
      <c r="G589" s="2">
        <v>45762</v>
      </c>
      <c r="H589" s="2">
        <v>45766</v>
      </c>
      <c r="I589" s="1" t="s">
        <v>159</v>
      </c>
      <c r="J589" s="1" t="s">
        <v>152</v>
      </c>
      <c r="K589" s="1" t="s">
        <v>148</v>
      </c>
      <c r="L589" s="1" t="s">
        <v>44</v>
      </c>
      <c r="M589" s="1" t="s">
        <v>2086</v>
      </c>
      <c r="N589">
        <v>555210.67000000004</v>
      </c>
      <c r="O589">
        <v>84627.37</v>
      </c>
      <c r="P589">
        <v>24398.54</v>
      </c>
      <c r="Q589">
        <v>4</v>
      </c>
      <c r="R589">
        <v>216</v>
      </c>
      <c r="S589">
        <v>4.2</v>
      </c>
      <c r="T589" s="1" t="s">
        <v>34</v>
      </c>
      <c r="U589" s="1" t="s">
        <v>35</v>
      </c>
      <c r="V589" s="1" t="s">
        <v>102</v>
      </c>
      <c r="W589" s="1" t="s">
        <v>59</v>
      </c>
      <c r="X589">
        <v>664236.58000000007</v>
      </c>
      <c r="Y589" s="1" t="s">
        <v>2079</v>
      </c>
      <c r="Z589" s="1" t="s">
        <v>2080</v>
      </c>
      <c r="AO589" t="str">
        <v>P00706</v>
      </c>
    </row>
    <row r="590" spans="1:41" x14ac:dyDescent="0.35">
      <c r="A590" s="1" t="s">
        <v>1641</v>
      </c>
      <c r="B590" s="1" t="s">
        <v>400</v>
      </c>
      <c r="C590">
        <v>5</v>
      </c>
      <c r="D590" s="1" t="s">
        <v>119</v>
      </c>
      <c r="E590" s="1" t="s">
        <v>86</v>
      </c>
      <c r="F590" s="1" t="s">
        <v>193</v>
      </c>
      <c r="G590" s="2">
        <v>46109</v>
      </c>
      <c r="H590" s="2">
        <v>46113</v>
      </c>
      <c r="I590" s="1" t="s">
        <v>159</v>
      </c>
      <c r="J590" s="1" t="s">
        <v>30</v>
      </c>
      <c r="K590" s="1" t="s">
        <v>31</v>
      </c>
      <c r="L590" s="1" t="s">
        <v>66</v>
      </c>
      <c r="M590" s="1" t="s">
        <v>2092</v>
      </c>
      <c r="N590">
        <v>196145.99</v>
      </c>
      <c r="O590">
        <v>9679.41</v>
      </c>
      <c r="P590">
        <v>69841.759999999995</v>
      </c>
      <c r="Q590">
        <v>4</v>
      </c>
      <c r="R590">
        <v>175</v>
      </c>
      <c r="S590">
        <v>1</v>
      </c>
      <c r="T590" s="1" t="s">
        <v>46</v>
      </c>
      <c r="U590" s="1" t="s">
        <v>101</v>
      </c>
      <c r="V590" s="1" t="s">
        <v>130</v>
      </c>
      <c r="W590" s="1" t="s">
        <v>59</v>
      </c>
      <c r="X590">
        <v>275667.15999999997</v>
      </c>
      <c r="Y590" s="1" t="s">
        <v>2093</v>
      </c>
      <c r="Z590" s="1" t="s">
        <v>2080</v>
      </c>
      <c r="AO590" t="str">
        <v>P00707</v>
      </c>
    </row>
    <row r="591" spans="1:41" x14ac:dyDescent="0.35">
      <c r="A591" s="1" t="s">
        <v>1642</v>
      </c>
      <c r="B591" s="1" t="s">
        <v>389</v>
      </c>
      <c r="C591">
        <v>67</v>
      </c>
      <c r="D591" s="1" t="s">
        <v>25</v>
      </c>
      <c r="E591" s="1" t="s">
        <v>177</v>
      </c>
      <c r="F591" s="1" t="s">
        <v>145</v>
      </c>
      <c r="G591" s="2">
        <v>46231</v>
      </c>
      <c r="H591" s="2">
        <v>46234</v>
      </c>
      <c r="I591" s="1" t="s">
        <v>114</v>
      </c>
      <c r="J591" s="1" t="s">
        <v>141</v>
      </c>
      <c r="K591" s="1" t="s">
        <v>31</v>
      </c>
      <c r="L591" s="1" t="s">
        <v>32</v>
      </c>
      <c r="M591" s="1" t="s">
        <v>2092</v>
      </c>
      <c r="N591">
        <v>193864.95</v>
      </c>
      <c r="O591">
        <v>48226.59</v>
      </c>
      <c r="P591">
        <v>55534.96</v>
      </c>
      <c r="Q591">
        <v>3</v>
      </c>
      <c r="R591">
        <v>120</v>
      </c>
      <c r="S591">
        <v>3.3</v>
      </c>
      <c r="T591" s="1" t="s">
        <v>46</v>
      </c>
      <c r="U591" s="1" t="s">
        <v>101</v>
      </c>
      <c r="V591" s="1" t="s">
        <v>130</v>
      </c>
      <c r="W591" s="1" t="s">
        <v>131</v>
      </c>
      <c r="X591">
        <v>297626.5</v>
      </c>
      <c r="Y591" s="1" t="s">
        <v>2088</v>
      </c>
      <c r="Z591" s="1" t="s">
        <v>2080</v>
      </c>
      <c r="AO591" t="str">
        <v>P00708</v>
      </c>
    </row>
    <row r="592" spans="1:41" x14ac:dyDescent="0.35">
      <c r="A592" s="1" t="s">
        <v>1644</v>
      </c>
      <c r="B592" s="1" t="s">
        <v>505</v>
      </c>
      <c r="C592">
        <v>18</v>
      </c>
      <c r="D592" s="1" t="s">
        <v>25</v>
      </c>
      <c r="E592" s="1" t="s">
        <v>157</v>
      </c>
      <c r="F592" s="1" t="s">
        <v>145</v>
      </c>
      <c r="G592" s="2">
        <v>45779</v>
      </c>
      <c r="H592" s="2">
        <v>45780</v>
      </c>
      <c r="I592" s="1" t="s">
        <v>159</v>
      </c>
      <c r="J592" s="1" t="s">
        <v>90</v>
      </c>
      <c r="K592" s="1" t="s">
        <v>91</v>
      </c>
      <c r="L592" s="1" t="s">
        <v>66</v>
      </c>
      <c r="M592" s="1" t="s">
        <v>2086</v>
      </c>
      <c r="N592">
        <v>319309.34999999998</v>
      </c>
      <c r="O592">
        <v>30486.46</v>
      </c>
      <c r="P592">
        <v>40844.629999999997</v>
      </c>
      <c r="Q592">
        <v>1</v>
      </c>
      <c r="R592">
        <v>63</v>
      </c>
      <c r="S592">
        <v>5</v>
      </c>
      <c r="T592" s="1" t="s">
        <v>46</v>
      </c>
      <c r="U592" s="1" t="s">
        <v>101</v>
      </c>
      <c r="V592" s="1" t="s">
        <v>75</v>
      </c>
      <c r="W592" s="1" t="s">
        <v>131</v>
      </c>
      <c r="X592">
        <v>390640.44</v>
      </c>
      <c r="Y592" s="1" t="s">
        <v>2082</v>
      </c>
      <c r="Z592" s="1" t="s">
        <v>2080</v>
      </c>
      <c r="AO592" t="str">
        <v>P00709</v>
      </c>
    </row>
    <row r="593" spans="1:41" x14ac:dyDescent="0.35">
      <c r="A593" s="1" t="s">
        <v>1645</v>
      </c>
      <c r="B593" s="1" t="s">
        <v>938</v>
      </c>
      <c r="C593">
        <v>35</v>
      </c>
      <c r="D593" s="1" t="s">
        <v>119</v>
      </c>
      <c r="E593" s="1" t="s">
        <v>263</v>
      </c>
      <c r="F593" s="1" t="s">
        <v>41</v>
      </c>
      <c r="G593" s="2">
        <v>46064</v>
      </c>
      <c r="H593" s="2">
        <v>46070</v>
      </c>
      <c r="I593" s="1" t="s">
        <v>100</v>
      </c>
      <c r="J593" s="1" t="s">
        <v>152</v>
      </c>
      <c r="K593" s="1" t="s">
        <v>174</v>
      </c>
      <c r="L593" s="1" t="s">
        <v>44</v>
      </c>
      <c r="M593" s="1" t="s">
        <v>2089</v>
      </c>
      <c r="N593">
        <v>32250.94</v>
      </c>
      <c r="O593">
        <v>48591.29</v>
      </c>
      <c r="P593">
        <v>38853.699999999997</v>
      </c>
      <c r="Q593">
        <v>6</v>
      </c>
      <c r="R593">
        <v>97</v>
      </c>
      <c r="S593">
        <v>5</v>
      </c>
      <c r="T593" s="1" t="s">
        <v>46</v>
      </c>
      <c r="U593" s="1" t="s">
        <v>95</v>
      </c>
      <c r="V593" s="1" t="s">
        <v>75</v>
      </c>
      <c r="W593" s="1" t="s">
        <v>131</v>
      </c>
      <c r="X593">
        <v>119695.93</v>
      </c>
      <c r="Y593" s="1" t="s">
        <v>2082</v>
      </c>
      <c r="Z593" s="1" t="s">
        <v>2080</v>
      </c>
      <c r="AO593" t="str">
        <v>P00710</v>
      </c>
    </row>
    <row r="594" spans="1:41" x14ac:dyDescent="0.35">
      <c r="A594" s="1" t="s">
        <v>1649</v>
      </c>
      <c r="B594" s="1" t="s">
        <v>505</v>
      </c>
      <c r="C594">
        <v>43</v>
      </c>
      <c r="D594" s="1" t="s">
        <v>25</v>
      </c>
      <c r="E594" s="1" t="s">
        <v>157</v>
      </c>
      <c r="F594" s="1" t="s">
        <v>120</v>
      </c>
      <c r="G594" s="2">
        <v>45479</v>
      </c>
      <c r="H594" s="2">
        <v>45482</v>
      </c>
      <c r="I594" s="1" t="s">
        <v>257</v>
      </c>
      <c r="J594" s="1" t="s">
        <v>30</v>
      </c>
      <c r="K594" s="1" t="s">
        <v>153</v>
      </c>
      <c r="L594" s="1" t="s">
        <v>32</v>
      </c>
      <c r="M594" s="1" t="s">
        <v>2087</v>
      </c>
      <c r="N594">
        <v>365202.25</v>
      </c>
      <c r="O594">
        <v>38360.959999999999</v>
      </c>
      <c r="P594">
        <v>89342.16</v>
      </c>
      <c r="Q594">
        <v>3</v>
      </c>
      <c r="R594">
        <v>20</v>
      </c>
      <c r="S594">
        <v>3.9</v>
      </c>
      <c r="T594" s="1" t="s">
        <v>46</v>
      </c>
      <c r="U594" s="1" t="s">
        <v>149</v>
      </c>
      <c r="V594" s="1" t="s">
        <v>75</v>
      </c>
      <c r="W594" s="1" t="s">
        <v>12</v>
      </c>
      <c r="X594">
        <v>492905.37</v>
      </c>
      <c r="Y594" s="1" t="s">
        <v>2079</v>
      </c>
      <c r="Z594" s="1" t="s">
        <v>2083</v>
      </c>
      <c r="AO594" t="str">
        <v>P00711</v>
      </c>
    </row>
    <row r="595" spans="1:41" x14ac:dyDescent="0.35">
      <c r="A595" s="1" t="s">
        <v>1651</v>
      </c>
      <c r="B595" s="1" t="s">
        <v>394</v>
      </c>
      <c r="C595">
        <v>19</v>
      </c>
      <c r="D595" s="1" t="s">
        <v>119</v>
      </c>
      <c r="E595" s="1" t="s">
        <v>192</v>
      </c>
      <c r="F595" s="1" t="s">
        <v>227</v>
      </c>
      <c r="G595" s="2">
        <v>45467</v>
      </c>
      <c r="H595" s="2">
        <v>45470</v>
      </c>
      <c r="I595" s="1" t="s">
        <v>257</v>
      </c>
      <c r="J595" s="1" t="s">
        <v>137</v>
      </c>
      <c r="K595" s="1" t="s">
        <v>148</v>
      </c>
      <c r="L595" s="1" t="s">
        <v>32</v>
      </c>
      <c r="M595" s="1" t="s">
        <v>2086</v>
      </c>
      <c r="N595">
        <v>353881.3</v>
      </c>
      <c r="O595">
        <v>88116.83</v>
      </c>
      <c r="P595">
        <v>44489.82</v>
      </c>
      <c r="Q595">
        <v>3</v>
      </c>
      <c r="R595">
        <v>132</v>
      </c>
      <c r="S595">
        <v>3.8</v>
      </c>
      <c r="T595" s="1" t="s">
        <v>46</v>
      </c>
      <c r="U595" s="1" t="s">
        <v>95</v>
      </c>
      <c r="V595" s="1" t="s">
        <v>130</v>
      </c>
      <c r="W595" s="1" t="s">
        <v>12</v>
      </c>
      <c r="X595">
        <v>486487.95</v>
      </c>
      <c r="Y595" s="1" t="s">
        <v>2082</v>
      </c>
      <c r="Z595" s="1" t="s">
        <v>2080</v>
      </c>
      <c r="AO595" t="str">
        <v>P00712</v>
      </c>
    </row>
    <row r="596" spans="1:41" x14ac:dyDescent="0.35">
      <c r="A596" s="1" t="s">
        <v>1653</v>
      </c>
      <c r="B596" s="1" t="s">
        <v>703</v>
      </c>
      <c r="C596">
        <v>2</v>
      </c>
      <c r="D596" s="1" t="s">
        <v>119</v>
      </c>
      <c r="E596" s="1" t="s">
        <v>26</v>
      </c>
      <c r="F596" s="1" t="s">
        <v>193</v>
      </c>
      <c r="G596" s="2">
        <v>45752</v>
      </c>
      <c r="H596" s="2">
        <v>45753</v>
      </c>
      <c r="I596" s="1" t="s">
        <v>273</v>
      </c>
      <c r="J596" s="1" t="s">
        <v>2081</v>
      </c>
      <c r="K596" s="1" t="s">
        <v>128</v>
      </c>
      <c r="L596" s="1" t="s">
        <v>44</v>
      </c>
      <c r="M596" s="1" t="s">
        <v>2086</v>
      </c>
      <c r="N596">
        <v>121191.71</v>
      </c>
      <c r="O596">
        <v>0</v>
      </c>
      <c r="P596">
        <v>96123.06</v>
      </c>
      <c r="Q596">
        <v>1</v>
      </c>
      <c r="R596">
        <v>86</v>
      </c>
      <c r="S596">
        <v>3.3</v>
      </c>
      <c r="T596" s="1" t="s">
        <v>46</v>
      </c>
      <c r="U596" s="1" t="s">
        <v>95</v>
      </c>
      <c r="V596" s="1" t="s">
        <v>102</v>
      </c>
      <c r="W596" s="1" t="s">
        <v>83</v>
      </c>
      <c r="X596">
        <v>217314.77000000002</v>
      </c>
      <c r="Y596" s="1" t="s">
        <v>2093</v>
      </c>
      <c r="Z596" s="1" t="s">
        <v>2080</v>
      </c>
      <c r="AO596" t="str">
        <v>P00713</v>
      </c>
    </row>
    <row r="597" spans="1:41" x14ac:dyDescent="0.35">
      <c r="A597" s="1" t="s">
        <v>1655</v>
      </c>
      <c r="B597" s="1" t="s">
        <v>598</v>
      </c>
      <c r="C597">
        <v>18</v>
      </c>
      <c r="D597" s="1" t="s">
        <v>25</v>
      </c>
      <c r="E597" s="1" t="s">
        <v>26</v>
      </c>
      <c r="F597" s="1" t="s">
        <v>227</v>
      </c>
      <c r="G597" s="2">
        <v>46144</v>
      </c>
      <c r="H597" s="2">
        <v>46149</v>
      </c>
      <c r="I597" s="1" t="s">
        <v>273</v>
      </c>
      <c r="J597" s="1" t="s">
        <v>2081</v>
      </c>
      <c r="K597" s="1" t="s">
        <v>128</v>
      </c>
      <c r="L597" s="1" t="s">
        <v>66</v>
      </c>
      <c r="M597" s="1" t="s">
        <v>2089</v>
      </c>
      <c r="N597">
        <v>112639.03</v>
      </c>
      <c r="O597">
        <v>31701.81</v>
      </c>
      <c r="P597">
        <v>75863.070000000007</v>
      </c>
      <c r="Q597">
        <v>5</v>
      </c>
      <c r="R597">
        <v>132</v>
      </c>
      <c r="S597">
        <v>4</v>
      </c>
      <c r="T597" s="1" t="s">
        <v>46</v>
      </c>
      <c r="U597" s="1" t="s">
        <v>101</v>
      </c>
      <c r="V597" s="1" t="s">
        <v>130</v>
      </c>
      <c r="W597" s="1" t="s">
        <v>83</v>
      </c>
      <c r="X597">
        <v>220203.91</v>
      </c>
      <c r="Y597" s="1" t="s">
        <v>2082</v>
      </c>
      <c r="Z597" s="1" t="s">
        <v>2080</v>
      </c>
      <c r="AO597" t="str">
        <v>P00714</v>
      </c>
    </row>
    <row r="598" spans="1:41" x14ac:dyDescent="0.35">
      <c r="A598" s="1" t="s">
        <v>1656</v>
      </c>
      <c r="B598" s="1" t="s">
        <v>938</v>
      </c>
      <c r="C598">
        <v>51</v>
      </c>
      <c r="D598" s="1" t="s">
        <v>25</v>
      </c>
      <c r="E598" s="1" t="s">
        <v>51</v>
      </c>
      <c r="F598" s="1" t="s">
        <v>120</v>
      </c>
      <c r="G598" s="2">
        <v>45899</v>
      </c>
      <c r="H598" s="2">
        <v>45902</v>
      </c>
      <c r="I598" s="1" t="s">
        <v>273</v>
      </c>
      <c r="J598" s="1" t="s">
        <v>87</v>
      </c>
      <c r="K598" s="1" t="s">
        <v>55</v>
      </c>
      <c r="L598" s="1" t="s">
        <v>44</v>
      </c>
      <c r="M598" s="1" t="s">
        <v>2092</v>
      </c>
      <c r="N598">
        <v>248231.41</v>
      </c>
      <c r="O598">
        <v>4250.6899999999996</v>
      </c>
      <c r="P598">
        <v>46382.38</v>
      </c>
      <c r="Q598">
        <v>3</v>
      </c>
      <c r="R598">
        <v>14</v>
      </c>
      <c r="S598">
        <v>3.8</v>
      </c>
      <c r="T598" s="1" t="s">
        <v>34</v>
      </c>
      <c r="U598" s="1" t="s">
        <v>101</v>
      </c>
      <c r="V598" s="1" t="s">
        <v>130</v>
      </c>
      <c r="W598" s="1" t="s">
        <v>131</v>
      </c>
      <c r="X598">
        <v>298864.48</v>
      </c>
      <c r="Y598" s="1" t="s">
        <v>2079</v>
      </c>
      <c r="Z598" s="1" t="s">
        <v>2083</v>
      </c>
      <c r="AO598" t="str">
        <v>P00715</v>
      </c>
    </row>
    <row r="599" spans="1:41" x14ac:dyDescent="0.35">
      <c r="A599" s="1" t="s">
        <v>1657</v>
      </c>
      <c r="B599" s="1" t="s">
        <v>312</v>
      </c>
      <c r="C599">
        <v>92</v>
      </c>
      <c r="D599" s="1" t="s">
        <v>25</v>
      </c>
      <c r="E599" s="1" t="s">
        <v>2084</v>
      </c>
      <c r="F599" s="1" t="s">
        <v>120</v>
      </c>
      <c r="G599" s="2">
        <v>46193</v>
      </c>
      <c r="H599" s="2">
        <v>46195</v>
      </c>
      <c r="I599" s="1" t="s">
        <v>273</v>
      </c>
      <c r="J599" s="1" t="s">
        <v>87</v>
      </c>
      <c r="K599" s="1" t="s">
        <v>163</v>
      </c>
      <c r="L599" s="1" t="s">
        <v>44</v>
      </c>
      <c r="M599" s="1" t="s">
        <v>2078</v>
      </c>
      <c r="N599">
        <v>214414.79</v>
      </c>
      <c r="O599">
        <v>0</v>
      </c>
      <c r="P599">
        <v>40974.589999999997</v>
      </c>
      <c r="Q599">
        <v>2</v>
      </c>
      <c r="R599">
        <v>133</v>
      </c>
      <c r="S599">
        <v>5</v>
      </c>
      <c r="T599" s="1" t="s">
        <v>34</v>
      </c>
      <c r="U599" s="1" t="s">
        <v>95</v>
      </c>
      <c r="V599" s="1" t="s">
        <v>130</v>
      </c>
      <c r="W599" s="1" t="s">
        <v>131</v>
      </c>
      <c r="X599">
        <v>255389.38</v>
      </c>
      <c r="Y599" s="1" t="s">
        <v>2088</v>
      </c>
      <c r="Z599" s="1" t="s">
        <v>2080</v>
      </c>
      <c r="AO599" t="str">
        <v>P00716</v>
      </c>
    </row>
    <row r="600" spans="1:41" x14ac:dyDescent="0.35">
      <c r="A600" s="1" t="s">
        <v>1659</v>
      </c>
      <c r="B600" s="1" t="s">
        <v>976</v>
      </c>
      <c r="C600">
        <v>8</v>
      </c>
      <c r="D600" s="1" t="s">
        <v>119</v>
      </c>
      <c r="E600" s="1" t="s">
        <v>26</v>
      </c>
      <c r="F600" s="1" t="s">
        <v>135</v>
      </c>
      <c r="G600" s="2">
        <v>46128</v>
      </c>
      <c r="H600" s="2">
        <v>46130</v>
      </c>
      <c r="I600" s="1" t="s">
        <v>221</v>
      </c>
      <c r="J600" s="1" t="s">
        <v>87</v>
      </c>
      <c r="K600" s="1" t="s">
        <v>55</v>
      </c>
      <c r="L600" s="1" t="s">
        <v>44</v>
      </c>
      <c r="M600" s="1" t="s">
        <v>2086</v>
      </c>
      <c r="N600">
        <v>334357.18</v>
      </c>
      <c r="O600">
        <v>0</v>
      </c>
      <c r="P600">
        <v>31915.34</v>
      </c>
      <c r="Q600">
        <v>2</v>
      </c>
      <c r="R600">
        <v>75</v>
      </c>
      <c r="S600">
        <v>3.6</v>
      </c>
      <c r="T600" s="1" t="s">
        <v>34</v>
      </c>
      <c r="U600" s="1" t="s">
        <v>35</v>
      </c>
      <c r="V600" s="1" t="s">
        <v>102</v>
      </c>
      <c r="W600" s="1" t="s">
        <v>131</v>
      </c>
      <c r="X600">
        <v>366272.52</v>
      </c>
      <c r="Y600" s="1" t="s">
        <v>2093</v>
      </c>
      <c r="Z600" s="1" t="s">
        <v>2080</v>
      </c>
      <c r="AO600" t="str">
        <v>P00717</v>
      </c>
    </row>
    <row r="601" spans="1:41" x14ac:dyDescent="0.35">
      <c r="A601" s="1" t="s">
        <v>1660</v>
      </c>
      <c r="B601" s="1" t="s">
        <v>1601</v>
      </c>
      <c r="C601">
        <v>27</v>
      </c>
      <c r="D601" s="1" t="s">
        <v>119</v>
      </c>
      <c r="E601" s="1" t="s">
        <v>263</v>
      </c>
      <c r="F601" s="1" t="s">
        <v>193</v>
      </c>
      <c r="G601" s="2">
        <v>46012</v>
      </c>
      <c r="H601" s="2">
        <v>46017</v>
      </c>
      <c r="I601" s="1" t="s">
        <v>273</v>
      </c>
      <c r="J601" s="1" t="s">
        <v>147</v>
      </c>
      <c r="K601" s="1" t="s">
        <v>55</v>
      </c>
      <c r="L601" s="1" t="s">
        <v>44</v>
      </c>
      <c r="M601" s="1" t="s">
        <v>2086</v>
      </c>
      <c r="N601">
        <v>181677.9</v>
      </c>
      <c r="O601">
        <v>29643.24</v>
      </c>
      <c r="P601">
        <v>49487.94</v>
      </c>
      <c r="Q601">
        <v>5</v>
      </c>
      <c r="R601">
        <v>102</v>
      </c>
      <c r="S601">
        <v>4.3</v>
      </c>
      <c r="T601" s="1" t="s">
        <v>34</v>
      </c>
      <c r="U601" s="1" t="s">
        <v>35</v>
      </c>
      <c r="V601" s="1" t="s">
        <v>102</v>
      </c>
      <c r="W601" s="1" t="s">
        <v>36</v>
      </c>
      <c r="X601">
        <v>260809.08</v>
      </c>
      <c r="Y601" s="1" t="s">
        <v>2082</v>
      </c>
      <c r="Z601" s="1" t="s">
        <v>2080</v>
      </c>
      <c r="AO601" t="str">
        <v>P00718</v>
      </c>
    </row>
    <row r="602" spans="1:41" x14ac:dyDescent="0.35">
      <c r="A602" s="1" t="s">
        <v>1661</v>
      </c>
      <c r="B602" s="1" t="s">
        <v>1200</v>
      </c>
      <c r="C602">
        <v>51</v>
      </c>
      <c r="D602" s="1" t="s">
        <v>25</v>
      </c>
      <c r="E602" s="1" t="s">
        <v>263</v>
      </c>
      <c r="F602" s="1" t="s">
        <v>63</v>
      </c>
      <c r="G602" s="2">
        <v>45808</v>
      </c>
      <c r="H602" s="2">
        <v>45813</v>
      </c>
      <c r="I602" s="1" t="s">
        <v>235</v>
      </c>
      <c r="J602" s="1" t="s">
        <v>141</v>
      </c>
      <c r="K602" s="1" t="s">
        <v>55</v>
      </c>
      <c r="L602" s="1" t="s">
        <v>44</v>
      </c>
      <c r="M602" s="1" t="s">
        <v>57</v>
      </c>
      <c r="N602">
        <v>283501.96999999997</v>
      </c>
      <c r="O602">
        <v>0</v>
      </c>
      <c r="P602">
        <v>46506.83</v>
      </c>
      <c r="Q602">
        <v>5</v>
      </c>
      <c r="R602">
        <v>130</v>
      </c>
      <c r="S602">
        <v>4.5999999999999996</v>
      </c>
      <c r="T602" s="1" t="s">
        <v>46</v>
      </c>
      <c r="U602" s="1" t="s">
        <v>35</v>
      </c>
      <c r="V602" s="1" t="s">
        <v>75</v>
      </c>
      <c r="W602" s="1" t="s">
        <v>36</v>
      </c>
      <c r="X602">
        <v>330008.8</v>
      </c>
      <c r="Y602" s="1" t="s">
        <v>2079</v>
      </c>
      <c r="Z602" s="1" t="s">
        <v>2080</v>
      </c>
      <c r="AO602" t="str">
        <v>P00719</v>
      </c>
    </row>
    <row r="603" spans="1:41" x14ac:dyDescent="0.35">
      <c r="A603" s="1" t="s">
        <v>1663</v>
      </c>
      <c r="B603" s="1" t="s">
        <v>237</v>
      </c>
      <c r="C603">
        <v>28</v>
      </c>
      <c r="D603" s="1" t="s">
        <v>25</v>
      </c>
      <c r="E603" s="1" t="s">
        <v>26</v>
      </c>
      <c r="F603" s="1" t="s">
        <v>63</v>
      </c>
      <c r="G603" s="2">
        <v>45487</v>
      </c>
      <c r="H603" s="2">
        <v>45488</v>
      </c>
      <c r="I603" s="1" t="s">
        <v>29</v>
      </c>
      <c r="J603" s="1" t="s">
        <v>137</v>
      </c>
      <c r="K603" s="1" t="s">
        <v>91</v>
      </c>
      <c r="L603" s="1" t="s">
        <v>44</v>
      </c>
      <c r="M603" s="1" t="s">
        <v>2078</v>
      </c>
      <c r="N603">
        <v>139625.91</v>
      </c>
      <c r="O603">
        <v>43410.35</v>
      </c>
      <c r="P603">
        <v>76016.429999999993</v>
      </c>
      <c r="Q603">
        <v>1</v>
      </c>
      <c r="R603">
        <v>64</v>
      </c>
      <c r="S603">
        <v>4.9000000000000004</v>
      </c>
      <c r="T603" s="1" t="s">
        <v>46</v>
      </c>
      <c r="U603" s="1" t="s">
        <v>35</v>
      </c>
      <c r="V603" s="1" t="s">
        <v>75</v>
      </c>
      <c r="W603" s="1" t="s">
        <v>83</v>
      </c>
      <c r="X603">
        <v>259052.69</v>
      </c>
      <c r="Y603" s="1" t="s">
        <v>2082</v>
      </c>
      <c r="Z603" s="1" t="s">
        <v>2080</v>
      </c>
      <c r="AO603" t="str">
        <v>P00720</v>
      </c>
    </row>
    <row r="604" spans="1:41" x14ac:dyDescent="0.35">
      <c r="A604" s="1" t="s">
        <v>1664</v>
      </c>
      <c r="B604" s="1" t="s">
        <v>1100</v>
      </c>
      <c r="C604">
        <v>40</v>
      </c>
      <c r="D604" s="1" t="s">
        <v>119</v>
      </c>
      <c r="E604" s="1" t="s">
        <v>26</v>
      </c>
      <c r="F604" s="1" t="s">
        <v>193</v>
      </c>
      <c r="G604" s="2">
        <v>46202</v>
      </c>
      <c r="H604" s="2">
        <v>46205</v>
      </c>
      <c r="I604" s="1" t="s">
        <v>114</v>
      </c>
      <c r="J604" s="1" t="s">
        <v>141</v>
      </c>
      <c r="K604" s="1" t="s">
        <v>81</v>
      </c>
      <c r="L604" s="1" t="s">
        <v>44</v>
      </c>
      <c r="M604" s="1" t="s">
        <v>2086</v>
      </c>
      <c r="N604">
        <v>190406.21</v>
      </c>
      <c r="O604">
        <v>48665.279999999999</v>
      </c>
      <c r="P604">
        <v>54767.33</v>
      </c>
      <c r="Q604">
        <v>3</v>
      </c>
      <c r="R604">
        <v>265</v>
      </c>
      <c r="S604">
        <v>2.6</v>
      </c>
      <c r="T604" s="1" t="s">
        <v>46</v>
      </c>
      <c r="U604" s="1" t="s">
        <v>95</v>
      </c>
      <c r="V604" s="1" t="s">
        <v>130</v>
      </c>
      <c r="W604" s="1" t="s">
        <v>83</v>
      </c>
      <c r="X604">
        <v>293838.82</v>
      </c>
      <c r="Y604" s="1" t="s">
        <v>2079</v>
      </c>
      <c r="Z604" s="1" t="s">
        <v>2080</v>
      </c>
      <c r="AO604" t="str">
        <v>P00721</v>
      </c>
    </row>
    <row r="605" spans="1:41" x14ac:dyDescent="0.35">
      <c r="A605" s="1" t="s">
        <v>1671</v>
      </c>
      <c r="B605" s="1" t="s">
        <v>333</v>
      </c>
      <c r="C605">
        <v>33</v>
      </c>
      <c r="D605" s="1" t="s">
        <v>25</v>
      </c>
      <c r="E605" s="1" t="s">
        <v>219</v>
      </c>
      <c r="F605" s="1" t="s">
        <v>63</v>
      </c>
      <c r="G605" s="2">
        <v>45394</v>
      </c>
      <c r="H605" s="2">
        <v>45397</v>
      </c>
      <c r="I605" s="1" t="s">
        <v>221</v>
      </c>
      <c r="J605" s="1" t="s">
        <v>115</v>
      </c>
      <c r="K605" s="1" t="s">
        <v>55</v>
      </c>
      <c r="L605" s="1" t="s">
        <v>32</v>
      </c>
      <c r="M605" s="1" t="s">
        <v>2087</v>
      </c>
      <c r="N605">
        <v>191910.5</v>
      </c>
      <c r="O605">
        <v>39187.760000000002</v>
      </c>
      <c r="P605">
        <v>76212.929999999993</v>
      </c>
      <c r="Q605">
        <v>3</v>
      </c>
      <c r="R605">
        <v>0</v>
      </c>
      <c r="S605">
        <v>3.2</v>
      </c>
      <c r="T605" s="1" t="s">
        <v>34</v>
      </c>
      <c r="U605" s="1" t="s">
        <v>35</v>
      </c>
      <c r="V605" s="1" t="s">
        <v>75</v>
      </c>
      <c r="W605" s="1" t="s">
        <v>12</v>
      </c>
      <c r="X605">
        <v>307311.19</v>
      </c>
      <c r="Y605" s="1" t="s">
        <v>2082</v>
      </c>
      <c r="Z605" s="1" t="s">
        <v>2083</v>
      </c>
      <c r="AO605" t="str">
        <v>P00722</v>
      </c>
    </row>
    <row r="606" spans="1:41" x14ac:dyDescent="0.35">
      <c r="A606" s="1" t="s">
        <v>1673</v>
      </c>
      <c r="B606" s="1" t="s">
        <v>522</v>
      </c>
      <c r="C606">
        <v>22</v>
      </c>
      <c r="D606" s="1" t="s">
        <v>119</v>
      </c>
      <c r="E606" s="1" t="s">
        <v>177</v>
      </c>
      <c r="F606" s="1" t="s">
        <v>145</v>
      </c>
      <c r="G606" s="2">
        <v>45870</v>
      </c>
      <c r="H606" s="2">
        <v>45873</v>
      </c>
      <c r="I606" s="1" t="s">
        <v>277</v>
      </c>
      <c r="J606" s="1" t="s">
        <v>147</v>
      </c>
      <c r="K606" s="1" t="s">
        <v>55</v>
      </c>
      <c r="L606" s="1" t="s">
        <v>44</v>
      </c>
      <c r="M606" s="1" t="s">
        <v>2089</v>
      </c>
      <c r="N606">
        <v>462363.75</v>
      </c>
      <c r="O606">
        <v>14114.75</v>
      </c>
      <c r="P606">
        <v>43761.22</v>
      </c>
      <c r="Q606">
        <v>3</v>
      </c>
      <c r="R606">
        <v>136</v>
      </c>
      <c r="S606">
        <v>2.9</v>
      </c>
      <c r="T606" s="1" t="s">
        <v>34</v>
      </c>
      <c r="U606" s="1" t="s">
        <v>101</v>
      </c>
      <c r="V606" s="1" t="s">
        <v>75</v>
      </c>
      <c r="W606" s="1" t="s">
        <v>83</v>
      </c>
      <c r="X606">
        <v>520239.72</v>
      </c>
      <c r="Y606" s="1" t="s">
        <v>2082</v>
      </c>
      <c r="Z606" s="1" t="s">
        <v>2080</v>
      </c>
      <c r="AO606" t="str">
        <v>P00723</v>
      </c>
    </row>
    <row r="607" spans="1:41" x14ac:dyDescent="0.35">
      <c r="A607" s="1" t="s">
        <v>1677</v>
      </c>
      <c r="B607" s="1" t="s">
        <v>1413</v>
      </c>
      <c r="C607">
        <v>46</v>
      </c>
      <c r="D607" s="1" t="s">
        <v>119</v>
      </c>
      <c r="E607" s="1" t="s">
        <v>26</v>
      </c>
      <c r="F607" s="1" t="s">
        <v>120</v>
      </c>
      <c r="G607" s="2">
        <v>45709</v>
      </c>
      <c r="H607" s="2">
        <v>45711</v>
      </c>
      <c r="I607" s="1" t="s">
        <v>100</v>
      </c>
      <c r="J607" s="1" t="s">
        <v>147</v>
      </c>
      <c r="K607" s="1" t="s">
        <v>163</v>
      </c>
      <c r="L607" s="1" t="s">
        <v>44</v>
      </c>
      <c r="M607" s="1" t="s">
        <v>2089</v>
      </c>
      <c r="N607">
        <v>327905.03000000003</v>
      </c>
      <c r="O607">
        <v>89542.84</v>
      </c>
      <c r="P607">
        <v>69817.08</v>
      </c>
      <c r="Q607">
        <v>2</v>
      </c>
      <c r="R607">
        <v>181</v>
      </c>
      <c r="S607">
        <v>3</v>
      </c>
      <c r="T607" s="1" t="s">
        <v>34</v>
      </c>
      <c r="U607" s="1" t="s">
        <v>101</v>
      </c>
      <c r="V607" s="1" t="s">
        <v>75</v>
      </c>
      <c r="W607" s="1" t="s">
        <v>131</v>
      </c>
      <c r="X607">
        <v>487264.95</v>
      </c>
      <c r="Y607" s="1" t="s">
        <v>2079</v>
      </c>
      <c r="Z607" s="1" t="s">
        <v>2080</v>
      </c>
      <c r="AO607" t="str">
        <v>P00724</v>
      </c>
    </row>
    <row r="608" spans="1:41" x14ac:dyDescent="0.35">
      <c r="A608" s="1" t="s">
        <v>1678</v>
      </c>
      <c r="B608" s="1" t="s">
        <v>451</v>
      </c>
      <c r="C608">
        <v>44</v>
      </c>
      <c r="D608" s="1" t="s">
        <v>119</v>
      </c>
      <c r="E608" s="1" t="s">
        <v>107</v>
      </c>
      <c r="F608" s="1" t="s">
        <v>41</v>
      </c>
      <c r="G608" s="2">
        <v>46169</v>
      </c>
      <c r="H608" s="2">
        <v>46170</v>
      </c>
      <c r="I608" s="1" t="s">
        <v>100</v>
      </c>
      <c r="J608" s="1" t="s">
        <v>147</v>
      </c>
      <c r="K608" s="1" t="s">
        <v>153</v>
      </c>
      <c r="L608" s="1" t="s">
        <v>32</v>
      </c>
      <c r="M608" s="1" t="s">
        <v>2085</v>
      </c>
      <c r="N608">
        <v>235003.79</v>
      </c>
      <c r="O608">
        <v>3037.18</v>
      </c>
      <c r="P608">
        <v>39741.160000000003</v>
      </c>
      <c r="Q608">
        <v>1</v>
      </c>
      <c r="R608">
        <v>124</v>
      </c>
      <c r="S608">
        <v>4.2</v>
      </c>
      <c r="T608" s="1" t="s">
        <v>46</v>
      </c>
      <c r="U608" s="1" t="s">
        <v>35</v>
      </c>
      <c r="V608" s="1" t="s">
        <v>75</v>
      </c>
      <c r="W608" s="1" t="s">
        <v>131</v>
      </c>
      <c r="X608">
        <v>277782.13</v>
      </c>
      <c r="Y608" s="1" t="s">
        <v>2079</v>
      </c>
      <c r="Z608" s="1" t="s">
        <v>2080</v>
      </c>
      <c r="AO608" t="str">
        <v>P00726</v>
      </c>
    </row>
    <row r="609" spans="1:41" x14ac:dyDescent="0.35">
      <c r="A609" s="1" t="s">
        <v>1680</v>
      </c>
      <c r="B609" s="1" t="s">
        <v>1681</v>
      </c>
      <c r="C609">
        <v>49</v>
      </c>
      <c r="D609" s="1" t="s">
        <v>25</v>
      </c>
      <c r="E609" s="1" t="s">
        <v>157</v>
      </c>
      <c r="F609" s="1" t="s">
        <v>227</v>
      </c>
      <c r="G609" s="2">
        <v>45967</v>
      </c>
      <c r="H609" s="2">
        <v>45971</v>
      </c>
      <c r="I609" s="1" t="s">
        <v>273</v>
      </c>
      <c r="J609" s="1" t="s">
        <v>2081</v>
      </c>
      <c r="K609" s="1" t="s">
        <v>81</v>
      </c>
      <c r="L609" s="1" t="s">
        <v>44</v>
      </c>
      <c r="M609" s="1" t="s">
        <v>2092</v>
      </c>
      <c r="N609">
        <v>149018.79</v>
      </c>
      <c r="O609">
        <v>17152.48</v>
      </c>
      <c r="P609">
        <v>9031.4599999999991</v>
      </c>
      <c r="Q609">
        <v>4</v>
      </c>
      <c r="R609">
        <v>228</v>
      </c>
      <c r="S609">
        <v>3.7</v>
      </c>
      <c r="T609" s="1" t="s">
        <v>34</v>
      </c>
      <c r="U609" s="1" t="s">
        <v>95</v>
      </c>
      <c r="V609" s="1" t="s">
        <v>102</v>
      </c>
      <c r="W609" s="1" t="s">
        <v>12</v>
      </c>
      <c r="X609">
        <v>175202.73</v>
      </c>
      <c r="Y609" s="1" t="s">
        <v>2079</v>
      </c>
      <c r="Z609" s="1" t="s">
        <v>2080</v>
      </c>
      <c r="AO609" t="str">
        <v>P00727</v>
      </c>
    </row>
    <row r="610" spans="1:41" x14ac:dyDescent="0.35">
      <c r="A610" s="1" t="s">
        <v>1683</v>
      </c>
      <c r="B610" s="1" t="s">
        <v>456</v>
      </c>
      <c r="C610">
        <v>22</v>
      </c>
      <c r="D610" s="1" t="s">
        <v>119</v>
      </c>
      <c r="E610" s="1" t="s">
        <v>2084</v>
      </c>
      <c r="F610" s="1" t="s">
        <v>87</v>
      </c>
      <c r="G610" s="2">
        <v>46213</v>
      </c>
      <c r="H610" s="2">
        <v>46215</v>
      </c>
      <c r="I610" s="1" t="s">
        <v>173</v>
      </c>
      <c r="J610" s="1" t="s">
        <v>141</v>
      </c>
      <c r="K610" s="1" t="s">
        <v>163</v>
      </c>
      <c r="L610" s="1" t="s">
        <v>32</v>
      </c>
      <c r="M610" s="1" t="s">
        <v>2086</v>
      </c>
      <c r="N610">
        <v>630992.11</v>
      </c>
      <c r="O610">
        <v>3166.8</v>
      </c>
      <c r="P610">
        <v>32134.560000000001</v>
      </c>
      <c r="Q610">
        <v>2</v>
      </c>
      <c r="R610">
        <v>126</v>
      </c>
      <c r="S610">
        <v>4.5</v>
      </c>
      <c r="T610" s="1" t="s">
        <v>46</v>
      </c>
      <c r="U610" s="1" t="s">
        <v>95</v>
      </c>
      <c r="V610" s="1" t="s">
        <v>102</v>
      </c>
      <c r="W610" s="1" t="s">
        <v>36</v>
      </c>
      <c r="X610">
        <v>666293.47000000009</v>
      </c>
      <c r="Y610" s="1" t="s">
        <v>2082</v>
      </c>
      <c r="Z610" s="1" t="s">
        <v>2080</v>
      </c>
      <c r="AO610" t="str">
        <v>P00728</v>
      </c>
    </row>
    <row r="611" spans="1:41" x14ac:dyDescent="0.35">
      <c r="A611" s="1" t="s">
        <v>1685</v>
      </c>
      <c r="B611" s="1" t="s">
        <v>233</v>
      </c>
      <c r="C611">
        <v>82</v>
      </c>
      <c r="D611" s="1" t="s">
        <v>119</v>
      </c>
      <c r="E611" s="1" t="s">
        <v>2084</v>
      </c>
      <c r="F611" s="1" t="s">
        <v>41</v>
      </c>
      <c r="G611" s="2">
        <v>45622</v>
      </c>
      <c r="H611" s="2">
        <v>45628</v>
      </c>
      <c r="I611" s="1" t="s">
        <v>173</v>
      </c>
      <c r="J611" s="1" t="s">
        <v>30</v>
      </c>
      <c r="K611" s="1" t="s">
        <v>148</v>
      </c>
      <c r="L611" s="1" t="s">
        <v>32</v>
      </c>
      <c r="M611" s="1" t="s">
        <v>2086</v>
      </c>
      <c r="N611">
        <v>290862.07</v>
      </c>
      <c r="O611">
        <v>3599.23</v>
      </c>
      <c r="P611">
        <v>37291.65</v>
      </c>
      <c r="Q611">
        <v>6</v>
      </c>
      <c r="R611">
        <v>118</v>
      </c>
      <c r="S611">
        <v>5</v>
      </c>
      <c r="T611" s="1" t="s">
        <v>46</v>
      </c>
      <c r="U611" s="1" t="s">
        <v>95</v>
      </c>
      <c r="V611" s="1" t="s">
        <v>130</v>
      </c>
      <c r="W611" s="1" t="s">
        <v>36</v>
      </c>
      <c r="X611">
        <v>331752.95</v>
      </c>
      <c r="Y611" s="1" t="s">
        <v>2088</v>
      </c>
      <c r="Z611" s="1" t="s">
        <v>2080</v>
      </c>
      <c r="AO611" t="str">
        <v>P00729</v>
      </c>
    </row>
    <row r="612" spans="1:41" x14ac:dyDescent="0.35">
      <c r="A612" s="1" t="s">
        <v>1687</v>
      </c>
      <c r="B612" s="1" t="s">
        <v>904</v>
      </c>
      <c r="C612">
        <v>69</v>
      </c>
      <c r="D612" s="1" t="s">
        <v>25</v>
      </c>
      <c r="E612" s="1" t="s">
        <v>192</v>
      </c>
      <c r="F612" s="1" t="s">
        <v>63</v>
      </c>
      <c r="G612" s="2">
        <v>45637</v>
      </c>
      <c r="H612" s="2">
        <v>45638</v>
      </c>
      <c r="I612" s="1" t="s">
        <v>235</v>
      </c>
      <c r="J612" s="1" t="s">
        <v>2081</v>
      </c>
      <c r="K612" s="1" t="s">
        <v>81</v>
      </c>
      <c r="L612" s="1" t="s">
        <v>44</v>
      </c>
      <c r="M612" s="1" t="s">
        <v>2089</v>
      </c>
      <c r="N612">
        <v>245188.01</v>
      </c>
      <c r="O612">
        <v>50945.760000000002</v>
      </c>
      <c r="P612">
        <v>41940.160000000003</v>
      </c>
      <c r="Q612">
        <v>1</v>
      </c>
      <c r="R612">
        <v>31</v>
      </c>
      <c r="S612">
        <v>4.7</v>
      </c>
      <c r="T612" s="1" t="s">
        <v>34</v>
      </c>
      <c r="U612" s="1" t="s">
        <v>35</v>
      </c>
      <c r="V612" s="1" t="s">
        <v>102</v>
      </c>
      <c r="W612" s="1" t="s">
        <v>36</v>
      </c>
      <c r="X612">
        <v>338073.93000000005</v>
      </c>
      <c r="Y612" s="1" t="s">
        <v>2088</v>
      </c>
      <c r="Z612" s="1" t="s">
        <v>2091</v>
      </c>
      <c r="AO612" t="str">
        <v>P00730</v>
      </c>
    </row>
    <row r="613" spans="1:41" x14ac:dyDescent="0.35">
      <c r="A613" s="1" t="s">
        <v>1689</v>
      </c>
      <c r="B613" s="1" t="s">
        <v>971</v>
      </c>
      <c r="C613">
        <v>64</v>
      </c>
      <c r="D613" s="1" t="s">
        <v>119</v>
      </c>
      <c r="E613" s="1" t="s">
        <v>157</v>
      </c>
      <c r="F613" s="1" t="s">
        <v>120</v>
      </c>
      <c r="G613" s="2">
        <v>45524</v>
      </c>
      <c r="H613" s="2">
        <v>45528</v>
      </c>
      <c r="I613" s="1" t="s">
        <v>114</v>
      </c>
      <c r="J613" s="1" t="s">
        <v>147</v>
      </c>
      <c r="K613" s="1" t="s">
        <v>81</v>
      </c>
      <c r="L613" s="1" t="s">
        <v>66</v>
      </c>
      <c r="M613" s="1" t="s">
        <v>2087</v>
      </c>
      <c r="N613">
        <v>218137.35</v>
      </c>
      <c r="O613">
        <v>15004.45</v>
      </c>
      <c r="P613">
        <v>0</v>
      </c>
      <c r="Q613">
        <v>4</v>
      </c>
      <c r="R613">
        <v>156</v>
      </c>
      <c r="S613">
        <v>4.3</v>
      </c>
      <c r="T613" s="1" t="s">
        <v>46</v>
      </c>
      <c r="U613" s="1" t="s">
        <v>35</v>
      </c>
      <c r="V613" s="1" t="s">
        <v>75</v>
      </c>
      <c r="W613" s="1" t="s">
        <v>36</v>
      </c>
      <c r="X613">
        <v>233141.80000000002</v>
      </c>
      <c r="Y613" s="1" t="s">
        <v>2088</v>
      </c>
      <c r="Z613" s="1" t="s">
        <v>2080</v>
      </c>
      <c r="AO613" t="str">
        <v>P00731</v>
      </c>
    </row>
    <row r="614" spans="1:41" x14ac:dyDescent="0.35">
      <c r="A614" s="1" t="s">
        <v>1691</v>
      </c>
      <c r="B614" s="1" t="s">
        <v>729</v>
      </c>
      <c r="C614">
        <v>31</v>
      </c>
      <c r="D614" s="1" t="s">
        <v>119</v>
      </c>
      <c r="E614" s="1" t="s">
        <v>112</v>
      </c>
      <c r="F614" s="1" t="s">
        <v>227</v>
      </c>
      <c r="G614" s="2">
        <v>45519</v>
      </c>
      <c r="H614" s="2">
        <v>45520</v>
      </c>
      <c r="I614" s="1" t="s">
        <v>173</v>
      </c>
      <c r="J614" s="1" t="s">
        <v>54</v>
      </c>
      <c r="K614" s="1" t="s">
        <v>81</v>
      </c>
      <c r="L614" s="1" t="s">
        <v>66</v>
      </c>
      <c r="M614" s="1" t="s">
        <v>2078</v>
      </c>
      <c r="N614">
        <v>154653.76999999999</v>
      </c>
      <c r="O614">
        <v>0</v>
      </c>
      <c r="P614">
        <v>20469.53</v>
      </c>
      <c r="Q614">
        <v>1</v>
      </c>
      <c r="R614">
        <v>9</v>
      </c>
      <c r="S614">
        <v>3.2</v>
      </c>
      <c r="T614" s="1" t="s">
        <v>46</v>
      </c>
      <c r="U614" s="1" t="s">
        <v>95</v>
      </c>
      <c r="V614" s="1" t="s">
        <v>102</v>
      </c>
      <c r="W614" s="1" t="s">
        <v>36</v>
      </c>
      <c r="X614">
        <v>175123.3</v>
      </c>
      <c r="Y614" s="1" t="s">
        <v>2082</v>
      </c>
      <c r="Z614" s="1" t="s">
        <v>2083</v>
      </c>
      <c r="AO614" t="str">
        <v>P00732</v>
      </c>
    </row>
    <row r="615" spans="1:41" x14ac:dyDescent="0.35">
      <c r="A615" s="1" t="s">
        <v>1692</v>
      </c>
      <c r="B615" s="1" t="s">
        <v>494</v>
      </c>
      <c r="C615">
        <v>7</v>
      </c>
      <c r="D615" s="1" t="s">
        <v>25</v>
      </c>
      <c r="E615" s="1" t="s">
        <v>177</v>
      </c>
      <c r="F615" s="1" t="s">
        <v>145</v>
      </c>
      <c r="G615" s="2">
        <v>45925</v>
      </c>
      <c r="H615" s="2">
        <v>45926</v>
      </c>
      <c r="I615" s="1" t="s">
        <v>273</v>
      </c>
      <c r="J615" s="1" t="s">
        <v>54</v>
      </c>
      <c r="K615" s="1" t="s">
        <v>31</v>
      </c>
      <c r="L615" s="1" t="s">
        <v>66</v>
      </c>
      <c r="M615" s="1" t="s">
        <v>2089</v>
      </c>
      <c r="N615">
        <v>503162.63</v>
      </c>
      <c r="O615">
        <v>61313.52</v>
      </c>
      <c r="P615">
        <v>21629.42</v>
      </c>
      <c r="Q615">
        <v>1</v>
      </c>
      <c r="R615">
        <v>115</v>
      </c>
      <c r="S615">
        <v>4.2</v>
      </c>
      <c r="T615" s="1" t="s">
        <v>46</v>
      </c>
      <c r="U615" s="1" t="s">
        <v>95</v>
      </c>
      <c r="V615" s="1" t="s">
        <v>102</v>
      </c>
      <c r="W615" s="1" t="s">
        <v>36</v>
      </c>
      <c r="X615">
        <v>586105.57000000007</v>
      </c>
      <c r="Y615" s="1" t="s">
        <v>2093</v>
      </c>
      <c r="Z615" s="1" t="s">
        <v>2080</v>
      </c>
      <c r="AO615" t="str">
        <v>P00733</v>
      </c>
    </row>
    <row r="616" spans="1:41" x14ac:dyDescent="0.35">
      <c r="A616" s="1" t="s">
        <v>1693</v>
      </c>
      <c r="B616" s="1" t="s">
        <v>723</v>
      </c>
      <c r="C616">
        <v>24</v>
      </c>
      <c r="D616" s="1" t="s">
        <v>119</v>
      </c>
      <c r="E616" s="1" t="s">
        <v>112</v>
      </c>
      <c r="F616" s="1" t="s">
        <v>227</v>
      </c>
      <c r="G616" s="2">
        <v>46017</v>
      </c>
      <c r="H616" s="2">
        <v>46024</v>
      </c>
      <c r="I616" s="1" t="s">
        <v>221</v>
      </c>
      <c r="J616" s="1" t="s">
        <v>141</v>
      </c>
      <c r="K616" s="1" t="s">
        <v>55</v>
      </c>
      <c r="L616" s="1" t="s">
        <v>44</v>
      </c>
      <c r="M616" s="1" t="s">
        <v>2078</v>
      </c>
      <c r="N616">
        <v>372894.95</v>
      </c>
      <c r="O616">
        <v>16302.37</v>
      </c>
      <c r="P616">
        <v>4924.13</v>
      </c>
      <c r="Q616">
        <v>7</v>
      </c>
      <c r="R616">
        <v>149</v>
      </c>
      <c r="S616">
        <v>5</v>
      </c>
      <c r="T616" s="1" t="s">
        <v>46</v>
      </c>
      <c r="U616" s="1" t="s">
        <v>95</v>
      </c>
      <c r="V616" s="1" t="s">
        <v>102</v>
      </c>
      <c r="W616" s="1" t="s">
        <v>59</v>
      </c>
      <c r="X616">
        <v>394121.45</v>
      </c>
      <c r="Y616" s="1" t="s">
        <v>2082</v>
      </c>
      <c r="Z616" s="1" t="s">
        <v>2080</v>
      </c>
      <c r="AO616" t="str">
        <v>P00734</v>
      </c>
    </row>
    <row r="617" spans="1:41" x14ac:dyDescent="0.35">
      <c r="A617" s="1" t="s">
        <v>1694</v>
      </c>
      <c r="B617" s="1" t="s">
        <v>587</v>
      </c>
      <c r="C617">
        <v>16</v>
      </c>
      <c r="D617" s="1" t="s">
        <v>119</v>
      </c>
      <c r="E617" s="1" t="s">
        <v>177</v>
      </c>
      <c r="F617" s="1" t="s">
        <v>87</v>
      </c>
      <c r="G617" s="2">
        <v>45523</v>
      </c>
      <c r="H617" s="2">
        <v>45542</v>
      </c>
      <c r="I617" s="1" t="s">
        <v>127</v>
      </c>
      <c r="J617" s="1" t="s">
        <v>87</v>
      </c>
      <c r="K617" s="1" t="s">
        <v>55</v>
      </c>
      <c r="L617" s="1" t="s">
        <v>32</v>
      </c>
      <c r="M617" s="1" t="s">
        <v>2089</v>
      </c>
      <c r="N617">
        <v>317848.76</v>
      </c>
      <c r="O617">
        <v>19754.97</v>
      </c>
      <c r="P617">
        <v>68500.759999999995</v>
      </c>
      <c r="Q617">
        <v>19</v>
      </c>
      <c r="R617">
        <v>0</v>
      </c>
      <c r="S617">
        <v>2.1</v>
      </c>
      <c r="T617" s="1" t="s">
        <v>46</v>
      </c>
      <c r="U617" s="1" t="s">
        <v>101</v>
      </c>
      <c r="V617" s="1" t="s">
        <v>102</v>
      </c>
      <c r="W617" s="1" t="s">
        <v>83</v>
      </c>
      <c r="X617">
        <v>406104.49</v>
      </c>
      <c r="Y617" s="1" t="s">
        <v>2093</v>
      </c>
      <c r="Z617" s="1" t="s">
        <v>2083</v>
      </c>
      <c r="AO617" t="str">
        <v>P00735</v>
      </c>
    </row>
    <row r="618" spans="1:41" x14ac:dyDescent="0.35">
      <c r="A618" s="1" t="s">
        <v>1698</v>
      </c>
      <c r="B618" s="1" t="s">
        <v>605</v>
      </c>
      <c r="C618">
        <v>16</v>
      </c>
      <c r="D618" s="1" t="s">
        <v>25</v>
      </c>
      <c r="E618" s="1" t="s">
        <v>26</v>
      </c>
      <c r="F618" s="1" t="s">
        <v>193</v>
      </c>
      <c r="G618" s="2">
        <v>45407</v>
      </c>
      <c r="H618" s="2">
        <v>45411</v>
      </c>
      <c r="I618" s="1" t="s">
        <v>100</v>
      </c>
      <c r="J618" s="1" t="s">
        <v>2081</v>
      </c>
      <c r="K618" s="1" t="s">
        <v>55</v>
      </c>
      <c r="L618" s="1" t="s">
        <v>44</v>
      </c>
      <c r="M618" s="1" t="s">
        <v>2090</v>
      </c>
      <c r="N618">
        <v>410872.71</v>
      </c>
      <c r="O618">
        <v>14871.09</v>
      </c>
      <c r="P618">
        <v>72312.55</v>
      </c>
      <c r="Q618">
        <v>4</v>
      </c>
      <c r="R618">
        <v>213</v>
      </c>
      <c r="S618">
        <v>4.3</v>
      </c>
      <c r="T618" s="1" t="s">
        <v>34</v>
      </c>
      <c r="U618" s="1" t="s">
        <v>95</v>
      </c>
      <c r="V618" s="1" t="s">
        <v>130</v>
      </c>
      <c r="W618" s="1" t="s">
        <v>131</v>
      </c>
      <c r="X618">
        <v>498056.35000000003</v>
      </c>
      <c r="Y618" s="1" t="s">
        <v>2093</v>
      </c>
      <c r="Z618" s="1" t="s">
        <v>2080</v>
      </c>
      <c r="AO618" t="str">
        <v>P00736</v>
      </c>
    </row>
    <row r="619" spans="1:41" x14ac:dyDescent="0.35">
      <c r="A619" s="1" t="s">
        <v>1699</v>
      </c>
      <c r="B619" s="1" t="s">
        <v>262</v>
      </c>
      <c r="C619">
        <v>22</v>
      </c>
      <c r="D619" s="1" t="s">
        <v>25</v>
      </c>
      <c r="E619" s="1" t="s">
        <v>26</v>
      </c>
      <c r="F619" s="1" t="s">
        <v>87</v>
      </c>
      <c r="G619" s="2">
        <v>45972</v>
      </c>
      <c r="H619" s="2">
        <v>45973</v>
      </c>
      <c r="I619" s="1" t="s">
        <v>53</v>
      </c>
      <c r="J619" s="1" t="s">
        <v>141</v>
      </c>
      <c r="K619" s="1" t="s">
        <v>55</v>
      </c>
      <c r="L619" s="1" t="s">
        <v>44</v>
      </c>
      <c r="M619" s="1" t="s">
        <v>2087</v>
      </c>
      <c r="N619">
        <v>405184.23</v>
      </c>
      <c r="O619">
        <v>25771.93</v>
      </c>
      <c r="P619">
        <v>47387.21</v>
      </c>
      <c r="Q619">
        <v>1</v>
      </c>
      <c r="R619">
        <v>151</v>
      </c>
      <c r="S619">
        <v>4.5999999999999996</v>
      </c>
      <c r="T619" s="1" t="s">
        <v>34</v>
      </c>
      <c r="U619" s="1" t="s">
        <v>95</v>
      </c>
      <c r="V619" s="1" t="s">
        <v>75</v>
      </c>
      <c r="W619" s="1" t="s">
        <v>131</v>
      </c>
      <c r="X619">
        <v>478343.37</v>
      </c>
      <c r="Y619" s="1" t="s">
        <v>2082</v>
      </c>
      <c r="Z619" s="1" t="s">
        <v>2080</v>
      </c>
      <c r="AO619" t="str">
        <v>P00741</v>
      </c>
    </row>
    <row r="620" spans="1:41" x14ac:dyDescent="0.35">
      <c r="A620" s="1" t="s">
        <v>1701</v>
      </c>
      <c r="B620" s="1" t="s">
        <v>860</v>
      </c>
      <c r="C620">
        <v>38</v>
      </c>
      <c r="D620" s="1" t="s">
        <v>25</v>
      </c>
      <c r="E620" s="1" t="s">
        <v>40</v>
      </c>
      <c r="F620" s="1" t="s">
        <v>193</v>
      </c>
      <c r="G620" s="2">
        <v>46117</v>
      </c>
      <c r="H620" s="2">
        <v>46120</v>
      </c>
      <c r="I620" s="1" t="s">
        <v>53</v>
      </c>
      <c r="J620" s="1" t="s">
        <v>30</v>
      </c>
      <c r="K620" s="1" t="s">
        <v>81</v>
      </c>
      <c r="L620" s="1" t="s">
        <v>44</v>
      </c>
      <c r="M620" s="1" t="s">
        <v>57</v>
      </c>
      <c r="N620">
        <v>176226.42</v>
      </c>
      <c r="O620">
        <v>51447.47</v>
      </c>
      <c r="P620">
        <v>61607.09</v>
      </c>
      <c r="Q620">
        <v>3</v>
      </c>
      <c r="R620">
        <v>75</v>
      </c>
      <c r="S620">
        <v>2.7</v>
      </c>
      <c r="T620" s="1" t="s">
        <v>34</v>
      </c>
      <c r="U620" s="1" t="s">
        <v>35</v>
      </c>
      <c r="V620" s="1" t="s">
        <v>75</v>
      </c>
      <c r="W620" s="1" t="s">
        <v>131</v>
      </c>
      <c r="X620">
        <v>289280.98</v>
      </c>
      <c r="Y620" s="1" t="s">
        <v>2079</v>
      </c>
      <c r="Z620" s="1" t="s">
        <v>2080</v>
      </c>
      <c r="AO620" t="str">
        <v>P00742</v>
      </c>
    </row>
    <row r="621" spans="1:41" x14ac:dyDescent="0.35">
      <c r="A621" s="1" t="s">
        <v>1703</v>
      </c>
      <c r="B621" s="1" t="s">
        <v>156</v>
      </c>
      <c r="C621">
        <v>24</v>
      </c>
      <c r="D621" s="1" t="s">
        <v>25</v>
      </c>
      <c r="E621" s="1" t="s">
        <v>157</v>
      </c>
      <c r="F621" s="1" t="s">
        <v>120</v>
      </c>
      <c r="G621" s="2">
        <v>45402</v>
      </c>
      <c r="H621" s="2">
        <v>45404</v>
      </c>
      <c r="I621" s="1" t="s">
        <v>257</v>
      </c>
      <c r="J621" s="1" t="s">
        <v>152</v>
      </c>
      <c r="K621" s="1" t="s">
        <v>81</v>
      </c>
      <c r="L621" s="1" t="s">
        <v>44</v>
      </c>
      <c r="M621" s="1" t="s">
        <v>57</v>
      </c>
      <c r="N621">
        <v>113744.1</v>
      </c>
      <c r="O621">
        <v>5531.48</v>
      </c>
      <c r="P621">
        <v>36827.699999999997</v>
      </c>
      <c r="Q621">
        <v>2</v>
      </c>
      <c r="R621">
        <v>187</v>
      </c>
      <c r="S621">
        <v>2.7</v>
      </c>
      <c r="T621" s="1" t="s">
        <v>34</v>
      </c>
      <c r="U621" s="1" t="s">
        <v>35</v>
      </c>
      <c r="V621" s="1" t="s">
        <v>75</v>
      </c>
      <c r="W621" s="1" t="s">
        <v>36</v>
      </c>
      <c r="X621">
        <v>156103.28</v>
      </c>
      <c r="Y621" s="1" t="s">
        <v>2082</v>
      </c>
      <c r="Z621" s="1" t="s">
        <v>2080</v>
      </c>
      <c r="AO621" t="str">
        <v>P00744</v>
      </c>
    </row>
    <row r="622" spans="1:41" x14ac:dyDescent="0.35">
      <c r="A622" s="1" t="s">
        <v>1705</v>
      </c>
      <c r="B622" s="1" t="s">
        <v>660</v>
      </c>
      <c r="C622">
        <v>28</v>
      </c>
      <c r="D622" s="1" t="s">
        <v>119</v>
      </c>
      <c r="E622" s="1" t="s">
        <v>26</v>
      </c>
      <c r="F622" s="1" t="s">
        <v>108</v>
      </c>
      <c r="G622" s="2">
        <v>46116</v>
      </c>
      <c r="H622" s="2">
        <v>46119</v>
      </c>
      <c r="I622" s="1" t="s">
        <v>100</v>
      </c>
      <c r="J622" s="1" t="s">
        <v>141</v>
      </c>
      <c r="K622" s="1" t="s">
        <v>148</v>
      </c>
      <c r="L622" s="1" t="s">
        <v>66</v>
      </c>
      <c r="M622" s="1" t="s">
        <v>57</v>
      </c>
      <c r="N622">
        <v>183556.73</v>
      </c>
      <c r="O622">
        <v>0</v>
      </c>
      <c r="P622">
        <v>38383.85</v>
      </c>
      <c r="Q622">
        <v>3</v>
      </c>
      <c r="R622">
        <v>80</v>
      </c>
      <c r="S622">
        <v>4.4000000000000004</v>
      </c>
      <c r="T622" s="1" t="s">
        <v>34</v>
      </c>
      <c r="U622" s="1" t="s">
        <v>35</v>
      </c>
      <c r="V622" s="1" t="s">
        <v>130</v>
      </c>
      <c r="W622" s="1" t="s">
        <v>36</v>
      </c>
      <c r="X622">
        <v>221940.58000000002</v>
      </c>
      <c r="Y622" s="1" t="s">
        <v>2082</v>
      </c>
      <c r="Z622" s="1" t="s">
        <v>2080</v>
      </c>
      <c r="AO622" t="str">
        <v>P00745</v>
      </c>
    </row>
    <row r="623" spans="1:41" x14ac:dyDescent="0.35">
      <c r="A623" s="1" t="s">
        <v>1707</v>
      </c>
      <c r="B623" s="1" t="s">
        <v>1090</v>
      </c>
      <c r="C623">
        <v>16</v>
      </c>
      <c r="D623" s="1" t="s">
        <v>119</v>
      </c>
      <c r="E623" s="1" t="s">
        <v>2084</v>
      </c>
      <c r="F623" s="1" t="s">
        <v>41</v>
      </c>
      <c r="G623" s="2">
        <v>46094</v>
      </c>
      <c r="H623" s="2">
        <v>46097</v>
      </c>
      <c r="I623" s="1" t="s">
        <v>29</v>
      </c>
      <c r="J623" s="1" t="s">
        <v>2081</v>
      </c>
      <c r="K623" s="1" t="s">
        <v>128</v>
      </c>
      <c r="L623" s="1" t="s">
        <v>32</v>
      </c>
      <c r="M623" s="1" t="s">
        <v>2092</v>
      </c>
      <c r="N623">
        <v>371787.75</v>
      </c>
      <c r="O623">
        <v>35257.58</v>
      </c>
      <c r="P623">
        <v>50951.81</v>
      </c>
      <c r="Q623">
        <v>3</v>
      </c>
      <c r="R623">
        <v>94</v>
      </c>
      <c r="S623">
        <v>3</v>
      </c>
      <c r="T623" s="1" t="s">
        <v>46</v>
      </c>
      <c r="U623" s="1" t="s">
        <v>35</v>
      </c>
      <c r="V623" s="1" t="s">
        <v>130</v>
      </c>
      <c r="W623" s="1" t="s">
        <v>83</v>
      </c>
      <c r="X623">
        <v>457997.14</v>
      </c>
      <c r="Y623" s="1" t="s">
        <v>2093</v>
      </c>
      <c r="Z623" s="1" t="s">
        <v>2080</v>
      </c>
      <c r="AO623" t="str">
        <v>P00746</v>
      </c>
    </row>
    <row r="624" spans="1:41" x14ac:dyDescent="0.35">
      <c r="A624" s="1" t="s">
        <v>1708</v>
      </c>
      <c r="B624" s="1" t="s">
        <v>446</v>
      </c>
      <c r="C624">
        <v>53</v>
      </c>
      <c r="D624" s="1" t="s">
        <v>25</v>
      </c>
      <c r="E624" s="1" t="s">
        <v>107</v>
      </c>
      <c r="F624" s="1" t="s">
        <v>120</v>
      </c>
      <c r="G624" s="2">
        <v>45525</v>
      </c>
      <c r="H624" s="2">
        <v>45528</v>
      </c>
      <c r="I624" s="1" t="s">
        <v>221</v>
      </c>
      <c r="J624" s="1" t="s">
        <v>141</v>
      </c>
      <c r="K624" s="1" t="s">
        <v>128</v>
      </c>
      <c r="L624" s="1" t="s">
        <v>66</v>
      </c>
      <c r="M624" s="1" t="s">
        <v>2086</v>
      </c>
      <c r="N624">
        <v>0</v>
      </c>
      <c r="O624">
        <v>16530.98</v>
      </c>
      <c r="P624">
        <v>37351.589999999997</v>
      </c>
      <c r="Q624">
        <v>3</v>
      </c>
      <c r="R624">
        <v>114</v>
      </c>
      <c r="S624">
        <v>5</v>
      </c>
      <c r="T624" s="1" t="s">
        <v>34</v>
      </c>
      <c r="U624" s="1" t="s">
        <v>149</v>
      </c>
      <c r="V624" s="1" t="s">
        <v>130</v>
      </c>
      <c r="W624" s="1" t="s">
        <v>59</v>
      </c>
      <c r="X624">
        <v>53882.569999999992</v>
      </c>
      <c r="Y624" s="1" t="s">
        <v>2079</v>
      </c>
      <c r="Z624" s="1" t="s">
        <v>2080</v>
      </c>
      <c r="AO624" t="str">
        <v>P00747</v>
      </c>
    </row>
    <row r="625" spans="1:41" x14ac:dyDescent="0.35">
      <c r="A625" s="1" t="s">
        <v>1710</v>
      </c>
      <c r="B625" s="1" t="s">
        <v>24</v>
      </c>
      <c r="C625">
        <v>32</v>
      </c>
      <c r="D625" s="1" t="s">
        <v>25</v>
      </c>
      <c r="E625" s="1" t="s">
        <v>26</v>
      </c>
      <c r="F625" s="1" t="s">
        <v>120</v>
      </c>
      <c r="G625" s="2">
        <v>45464</v>
      </c>
      <c r="H625" s="2">
        <v>45465</v>
      </c>
      <c r="I625" s="1" t="s">
        <v>159</v>
      </c>
      <c r="J625" s="1" t="s">
        <v>90</v>
      </c>
      <c r="K625" s="1" t="s">
        <v>153</v>
      </c>
      <c r="L625" s="1" t="s">
        <v>32</v>
      </c>
      <c r="M625" s="1" t="s">
        <v>2078</v>
      </c>
      <c r="N625">
        <v>148245.22</v>
      </c>
      <c r="O625">
        <v>9961.81</v>
      </c>
      <c r="P625">
        <v>34584.410000000003</v>
      </c>
      <c r="Q625">
        <v>1</v>
      </c>
      <c r="R625">
        <v>152</v>
      </c>
      <c r="S625">
        <v>2.2999999999999998</v>
      </c>
      <c r="T625" s="1" t="s">
        <v>34</v>
      </c>
      <c r="U625" s="1" t="s">
        <v>95</v>
      </c>
      <c r="V625" s="1" t="s">
        <v>102</v>
      </c>
      <c r="W625" s="1" t="s">
        <v>131</v>
      </c>
      <c r="X625">
        <v>192791.44</v>
      </c>
      <c r="Y625" s="1" t="s">
        <v>2082</v>
      </c>
      <c r="Z625" s="1" t="s">
        <v>2080</v>
      </c>
      <c r="AO625" t="str">
        <v>P00748</v>
      </c>
    </row>
    <row r="626" spans="1:41" x14ac:dyDescent="0.35">
      <c r="A626" s="1" t="s">
        <v>1711</v>
      </c>
      <c r="B626" s="1" t="s">
        <v>291</v>
      </c>
      <c r="C626">
        <v>5</v>
      </c>
      <c r="D626" s="1" t="s">
        <v>119</v>
      </c>
      <c r="E626" s="1" t="s">
        <v>177</v>
      </c>
      <c r="F626" s="1" t="s">
        <v>227</v>
      </c>
      <c r="G626" s="2">
        <v>46164</v>
      </c>
      <c r="H626" s="2">
        <v>46168</v>
      </c>
      <c r="I626" s="1" t="s">
        <v>235</v>
      </c>
      <c r="J626" s="1" t="s">
        <v>54</v>
      </c>
      <c r="K626" s="1" t="s">
        <v>122</v>
      </c>
      <c r="L626" s="1" t="s">
        <v>44</v>
      </c>
      <c r="M626" s="1" t="s">
        <v>2078</v>
      </c>
      <c r="N626">
        <v>141412.68</v>
      </c>
      <c r="O626">
        <v>21762.77</v>
      </c>
      <c r="P626">
        <v>95245.79</v>
      </c>
      <c r="Q626">
        <v>4</v>
      </c>
      <c r="R626">
        <v>74</v>
      </c>
      <c r="S626">
        <v>0.8</v>
      </c>
      <c r="T626" s="1" t="s">
        <v>34</v>
      </c>
      <c r="U626" s="1" t="s">
        <v>35</v>
      </c>
      <c r="V626" s="1" t="s">
        <v>75</v>
      </c>
      <c r="W626" s="1" t="s">
        <v>131</v>
      </c>
      <c r="X626">
        <v>258421.24</v>
      </c>
      <c r="Y626" s="1" t="s">
        <v>2093</v>
      </c>
      <c r="Z626" s="1" t="s">
        <v>2080</v>
      </c>
      <c r="AO626" t="str">
        <v>P00749</v>
      </c>
    </row>
    <row r="627" spans="1:41" x14ac:dyDescent="0.35">
      <c r="A627" s="1" t="s">
        <v>1712</v>
      </c>
      <c r="B627" s="1" t="s">
        <v>1505</v>
      </c>
      <c r="C627">
        <v>43</v>
      </c>
      <c r="D627" s="1" t="s">
        <v>25</v>
      </c>
      <c r="E627" s="1" t="s">
        <v>40</v>
      </c>
      <c r="F627" s="1" t="s">
        <v>227</v>
      </c>
      <c r="G627" s="2">
        <v>45318</v>
      </c>
      <c r="H627" s="2">
        <v>45319</v>
      </c>
      <c r="I627" s="1" t="s">
        <v>257</v>
      </c>
      <c r="J627" s="1" t="s">
        <v>30</v>
      </c>
      <c r="K627" s="1" t="s">
        <v>31</v>
      </c>
      <c r="L627" s="1" t="s">
        <v>44</v>
      </c>
      <c r="M627" s="1" t="s">
        <v>2086</v>
      </c>
      <c r="N627">
        <v>305927.92</v>
      </c>
      <c r="O627">
        <v>39386.400000000001</v>
      </c>
      <c r="P627">
        <v>50027.1</v>
      </c>
      <c r="Q627">
        <v>1</v>
      </c>
      <c r="R627">
        <v>182</v>
      </c>
      <c r="S627">
        <v>3</v>
      </c>
      <c r="T627" s="1" t="s">
        <v>34</v>
      </c>
      <c r="U627" s="1" t="s">
        <v>101</v>
      </c>
      <c r="V627" s="1" t="s">
        <v>102</v>
      </c>
      <c r="W627" s="1" t="s">
        <v>36</v>
      </c>
      <c r="X627">
        <v>395341.42</v>
      </c>
      <c r="Y627" s="1" t="s">
        <v>2079</v>
      </c>
      <c r="Z627" s="1" t="s">
        <v>2080</v>
      </c>
      <c r="AO627" t="str">
        <v>P00750</v>
      </c>
    </row>
    <row r="628" spans="1:41" x14ac:dyDescent="0.35">
      <c r="A628" s="1" t="s">
        <v>1714</v>
      </c>
      <c r="B628" s="1" t="s">
        <v>840</v>
      </c>
      <c r="C628">
        <v>7</v>
      </c>
      <c r="D628" s="1" t="s">
        <v>25</v>
      </c>
      <c r="E628" s="1" t="s">
        <v>26</v>
      </c>
      <c r="F628" s="1" t="s">
        <v>135</v>
      </c>
      <c r="G628" s="2">
        <v>45873</v>
      </c>
      <c r="H628" s="2">
        <v>45878</v>
      </c>
      <c r="I628" s="1" t="s">
        <v>257</v>
      </c>
      <c r="J628" s="1" t="s">
        <v>90</v>
      </c>
      <c r="K628" s="1" t="s">
        <v>128</v>
      </c>
      <c r="L628" s="1" t="s">
        <v>44</v>
      </c>
      <c r="M628" s="1" t="s">
        <v>2086</v>
      </c>
      <c r="N628">
        <v>93307.3</v>
      </c>
      <c r="O628">
        <v>0</v>
      </c>
      <c r="P628">
        <v>36754.639999999999</v>
      </c>
      <c r="Q628">
        <v>5</v>
      </c>
      <c r="R628">
        <v>91</v>
      </c>
      <c r="S628">
        <v>3.8</v>
      </c>
      <c r="T628" s="1" t="s">
        <v>46</v>
      </c>
      <c r="U628" s="1" t="s">
        <v>95</v>
      </c>
      <c r="V628" s="1" t="s">
        <v>102</v>
      </c>
      <c r="W628" s="1" t="s">
        <v>12</v>
      </c>
      <c r="X628">
        <v>130061.94</v>
      </c>
      <c r="Y628" s="1" t="s">
        <v>2093</v>
      </c>
      <c r="Z628" s="1" t="s">
        <v>2080</v>
      </c>
      <c r="AO628" t="str">
        <v>P00751</v>
      </c>
    </row>
    <row r="629" spans="1:41" x14ac:dyDescent="0.35">
      <c r="A629" s="1" t="s">
        <v>1716</v>
      </c>
      <c r="B629" s="1" t="s">
        <v>491</v>
      </c>
      <c r="C629">
        <v>22</v>
      </c>
      <c r="D629" s="1" t="s">
        <v>119</v>
      </c>
      <c r="E629" s="1" t="s">
        <v>2084</v>
      </c>
      <c r="F629" s="1" t="s">
        <v>135</v>
      </c>
      <c r="G629" s="2">
        <v>46001</v>
      </c>
      <c r="H629" s="2">
        <v>46004</v>
      </c>
      <c r="I629" s="1" t="s">
        <v>257</v>
      </c>
      <c r="J629" s="1" t="s">
        <v>2081</v>
      </c>
      <c r="K629" s="1" t="s">
        <v>174</v>
      </c>
      <c r="L629" s="1" t="s">
        <v>32</v>
      </c>
      <c r="M629" s="1" t="s">
        <v>2078</v>
      </c>
      <c r="N629">
        <v>193366.28</v>
      </c>
      <c r="O629">
        <v>0</v>
      </c>
      <c r="P629">
        <v>85896.87</v>
      </c>
      <c r="Q629">
        <v>3</v>
      </c>
      <c r="R629">
        <v>72</v>
      </c>
      <c r="S629">
        <v>3.1</v>
      </c>
      <c r="T629" s="1" t="s">
        <v>46</v>
      </c>
      <c r="U629" s="1" t="s">
        <v>95</v>
      </c>
      <c r="V629" s="1" t="s">
        <v>102</v>
      </c>
      <c r="W629" s="1" t="s">
        <v>131</v>
      </c>
      <c r="X629">
        <v>279263.15000000002</v>
      </c>
      <c r="Y629" s="1" t="s">
        <v>2082</v>
      </c>
      <c r="Z629" s="1" t="s">
        <v>2080</v>
      </c>
      <c r="AO629" t="str">
        <v>P00752</v>
      </c>
    </row>
    <row r="630" spans="1:41" x14ac:dyDescent="0.35">
      <c r="A630" s="1" t="s">
        <v>1717</v>
      </c>
      <c r="B630" s="1" t="s">
        <v>1718</v>
      </c>
      <c r="C630">
        <v>15</v>
      </c>
      <c r="D630" s="1" t="s">
        <v>25</v>
      </c>
      <c r="E630" s="1" t="s">
        <v>263</v>
      </c>
      <c r="F630" s="1" t="s">
        <v>193</v>
      </c>
      <c r="G630" s="2">
        <v>45521</v>
      </c>
      <c r="H630" s="2">
        <v>45530</v>
      </c>
      <c r="I630" s="1" t="s">
        <v>53</v>
      </c>
      <c r="J630" s="1" t="s">
        <v>137</v>
      </c>
      <c r="K630" s="1" t="s">
        <v>81</v>
      </c>
      <c r="L630" s="1" t="s">
        <v>44</v>
      </c>
      <c r="M630" s="1" t="s">
        <v>2090</v>
      </c>
      <c r="N630">
        <v>62417.8</v>
      </c>
      <c r="O630">
        <v>2594.4899999999998</v>
      </c>
      <c r="P630">
        <v>42963.86</v>
      </c>
      <c r="Q630">
        <v>9</v>
      </c>
      <c r="R630">
        <v>127</v>
      </c>
      <c r="S630">
        <v>4.7</v>
      </c>
      <c r="T630" s="1" t="s">
        <v>34</v>
      </c>
      <c r="U630" s="1" t="s">
        <v>95</v>
      </c>
      <c r="V630" s="1" t="s">
        <v>75</v>
      </c>
      <c r="W630" s="1" t="s">
        <v>83</v>
      </c>
      <c r="X630">
        <v>107976.15</v>
      </c>
      <c r="Y630" s="1" t="s">
        <v>2093</v>
      </c>
      <c r="Z630" s="1" t="s">
        <v>2080</v>
      </c>
      <c r="AO630" t="str">
        <v>P00753</v>
      </c>
    </row>
    <row r="631" spans="1:41" x14ac:dyDescent="0.35">
      <c r="A631" s="1" t="s">
        <v>1719</v>
      </c>
      <c r="B631" s="1" t="s">
        <v>1720</v>
      </c>
      <c r="C631">
        <v>0</v>
      </c>
      <c r="D631" s="1" t="s">
        <v>25</v>
      </c>
      <c r="E631" s="1" t="s">
        <v>219</v>
      </c>
      <c r="F631" s="1" t="s">
        <v>120</v>
      </c>
      <c r="G631" s="2">
        <v>45443</v>
      </c>
      <c r="H631" s="2">
        <v>45462</v>
      </c>
      <c r="I631" s="1" t="s">
        <v>29</v>
      </c>
      <c r="J631" s="1" t="s">
        <v>90</v>
      </c>
      <c r="K631" s="1" t="s">
        <v>153</v>
      </c>
      <c r="L631" s="1" t="s">
        <v>44</v>
      </c>
      <c r="M631" s="1" t="s">
        <v>2089</v>
      </c>
      <c r="N631">
        <v>305222.98</v>
      </c>
      <c r="O631">
        <v>16071.74</v>
      </c>
      <c r="P631">
        <v>27407.55</v>
      </c>
      <c r="Q631">
        <v>19</v>
      </c>
      <c r="R631">
        <v>48</v>
      </c>
      <c r="S631">
        <v>2.5</v>
      </c>
      <c r="T631" s="1" t="s">
        <v>46</v>
      </c>
      <c r="U631" s="1" t="s">
        <v>95</v>
      </c>
      <c r="V631" s="1" t="s">
        <v>75</v>
      </c>
      <c r="W631" s="1" t="s">
        <v>83</v>
      </c>
      <c r="X631">
        <v>348702.26999999996</v>
      </c>
      <c r="Y631" s="1" t="s">
        <v>2093</v>
      </c>
      <c r="Z631" s="1" t="s">
        <v>2091</v>
      </c>
      <c r="AO631" t="str">
        <v>P00754</v>
      </c>
    </row>
    <row r="632" spans="1:41" x14ac:dyDescent="0.35">
      <c r="A632" s="1" t="s">
        <v>1721</v>
      </c>
      <c r="B632" s="1" t="s">
        <v>580</v>
      </c>
      <c r="C632">
        <v>61</v>
      </c>
      <c r="D632" s="1" t="s">
        <v>119</v>
      </c>
      <c r="E632" s="1" t="s">
        <v>177</v>
      </c>
      <c r="F632" s="1" t="s">
        <v>120</v>
      </c>
      <c r="G632" s="2">
        <v>45875</v>
      </c>
      <c r="H632" s="2">
        <v>45885</v>
      </c>
      <c r="I632" s="1" t="s">
        <v>235</v>
      </c>
      <c r="J632" s="1" t="s">
        <v>90</v>
      </c>
      <c r="K632" s="1" t="s">
        <v>148</v>
      </c>
      <c r="L632" s="1" t="s">
        <v>32</v>
      </c>
      <c r="M632" s="1" t="s">
        <v>2089</v>
      </c>
      <c r="N632">
        <v>223247.44</v>
      </c>
      <c r="O632">
        <v>63775.39</v>
      </c>
      <c r="P632">
        <v>0</v>
      </c>
      <c r="Q632">
        <v>10</v>
      </c>
      <c r="R632">
        <v>0</v>
      </c>
      <c r="S632">
        <v>0.9</v>
      </c>
      <c r="T632" s="1" t="s">
        <v>46</v>
      </c>
      <c r="U632" s="1" t="s">
        <v>35</v>
      </c>
      <c r="V632" s="1" t="s">
        <v>75</v>
      </c>
      <c r="W632" s="1" t="s">
        <v>131</v>
      </c>
      <c r="X632">
        <v>287022.83</v>
      </c>
      <c r="Y632" s="1" t="s">
        <v>2088</v>
      </c>
      <c r="Z632" s="1" t="s">
        <v>2083</v>
      </c>
      <c r="AO632" t="str">
        <v>P00756</v>
      </c>
    </row>
    <row r="633" spans="1:41" x14ac:dyDescent="0.35">
      <c r="A633" s="1" t="s">
        <v>1727</v>
      </c>
      <c r="B633" s="1" t="s">
        <v>1601</v>
      </c>
      <c r="C633">
        <v>26</v>
      </c>
      <c r="D633" s="1" t="s">
        <v>119</v>
      </c>
      <c r="E633" s="1" t="s">
        <v>219</v>
      </c>
      <c r="F633" s="1" t="s">
        <v>193</v>
      </c>
      <c r="G633" s="2">
        <v>46185</v>
      </c>
      <c r="H633" s="2">
        <v>46187</v>
      </c>
      <c r="I633" s="1" t="s">
        <v>100</v>
      </c>
      <c r="J633" s="1" t="s">
        <v>141</v>
      </c>
      <c r="K633" s="1" t="s">
        <v>91</v>
      </c>
      <c r="L633" s="1" t="s">
        <v>66</v>
      </c>
      <c r="M633" s="1" t="s">
        <v>2078</v>
      </c>
      <c r="N633">
        <v>342664.35</v>
      </c>
      <c r="O633">
        <v>12264.22</v>
      </c>
      <c r="P633">
        <v>64337.86</v>
      </c>
      <c r="Q633">
        <v>2</v>
      </c>
      <c r="R633">
        <v>66</v>
      </c>
      <c r="S633">
        <v>1.1000000000000001</v>
      </c>
      <c r="T633" s="1" t="s">
        <v>46</v>
      </c>
      <c r="U633" s="1" t="s">
        <v>149</v>
      </c>
      <c r="V633" s="1" t="s">
        <v>102</v>
      </c>
      <c r="W633" s="1" t="s">
        <v>36</v>
      </c>
      <c r="X633">
        <v>419266.42999999993</v>
      </c>
      <c r="Y633" s="1" t="s">
        <v>2082</v>
      </c>
      <c r="Z633" s="1" t="s">
        <v>2080</v>
      </c>
      <c r="AO633" t="str">
        <v>P00757</v>
      </c>
    </row>
    <row r="634" spans="1:41" x14ac:dyDescent="0.35">
      <c r="A634" s="1" t="s">
        <v>1728</v>
      </c>
      <c r="B634" s="1" t="s">
        <v>736</v>
      </c>
      <c r="C634">
        <v>17</v>
      </c>
      <c r="D634" s="1" t="s">
        <v>119</v>
      </c>
      <c r="E634" s="1" t="s">
        <v>157</v>
      </c>
      <c r="F634" s="1" t="s">
        <v>227</v>
      </c>
      <c r="G634" s="2">
        <v>45611</v>
      </c>
      <c r="H634" s="2">
        <v>45613</v>
      </c>
      <c r="I634" s="1" t="s">
        <v>100</v>
      </c>
      <c r="J634" s="1" t="s">
        <v>90</v>
      </c>
      <c r="K634" s="1" t="s">
        <v>174</v>
      </c>
      <c r="L634" s="1" t="s">
        <v>32</v>
      </c>
      <c r="M634" s="1" t="s">
        <v>57</v>
      </c>
      <c r="N634">
        <v>224746.38</v>
      </c>
      <c r="O634">
        <v>239.81</v>
      </c>
      <c r="P634">
        <v>72779.25</v>
      </c>
      <c r="Q634">
        <v>2</v>
      </c>
      <c r="R634">
        <v>88</v>
      </c>
      <c r="S634">
        <v>3.5</v>
      </c>
      <c r="T634" s="1" t="s">
        <v>46</v>
      </c>
      <c r="U634" s="1" t="s">
        <v>101</v>
      </c>
      <c r="V634" s="1" t="s">
        <v>102</v>
      </c>
      <c r="W634" s="1" t="s">
        <v>83</v>
      </c>
      <c r="X634">
        <v>297765.44</v>
      </c>
      <c r="Y634" s="1" t="s">
        <v>2093</v>
      </c>
      <c r="Z634" s="1" t="s">
        <v>2080</v>
      </c>
      <c r="AO634" t="str">
        <v>P00758</v>
      </c>
    </row>
    <row r="635" spans="1:41" x14ac:dyDescent="0.35">
      <c r="A635" s="1" t="s">
        <v>1730</v>
      </c>
      <c r="B635" s="1" t="s">
        <v>577</v>
      </c>
      <c r="C635">
        <v>64</v>
      </c>
      <c r="D635" s="1" t="s">
        <v>25</v>
      </c>
      <c r="E635" s="1" t="s">
        <v>219</v>
      </c>
      <c r="F635" s="1" t="s">
        <v>135</v>
      </c>
      <c r="G635" s="2">
        <v>45638</v>
      </c>
      <c r="H635" s="2">
        <v>45642</v>
      </c>
      <c r="I635" s="1" t="s">
        <v>257</v>
      </c>
      <c r="J635" s="1" t="s">
        <v>90</v>
      </c>
      <c r="K635" s="1" t="s">
        <v>91</v>
      </c>
      <c r="L635" s="1" t="s">
        <v>32</v>
      </c>
      <c r="M635" s="1" t="s">
        <v>2086</v>
      </c>
      <c r="N635">
        <v>217186.17</v>
      </c>
      <c r="O635">
        <v>10719.99</v>
      </c>
      <c r="P635">
        <v>0</v>
      </c>
      <c r="Q635">
        <v>4</v>
      </c>
      <c r="R635">
        <v>43</v>
      </c>
      <c r="S635">
        <v>2.9</v>
      </c>
      <c r="T635" s="1" t="s">
        <v>46</v>
      </c>
      <c r="U635" s="1" t="s">
        <v>35</v>
      </c>
      <c r="V635" s="1" t="s">
        <v>130</v>
      </c>
      <c r="W635" s="1" t="s">
        <v>83</v>
      </c>
      <c r="X635">
        <v>227906.16</v>
      </c>
      <c r="Y635" s="1" t="s">
        <v>2088</v>
      </c>
      <c r="Z635" s="1" t="s">
        <v>2091</v>
      </c>
      <c r="AO635" t="str">
        <v>P00759</v>
      </c>
    </row>
    <row r="636" spans="1:41" x14ac:dyDescent="0.35">
      <c r="A636" s="1" t="s">
        <v>1734</v>
      </c>
      <c r="B636" s="1" t="s">
        <v>244</v>
      </c>
      <c r="C636">
        <v>29</v>
      </c>
      <c r="D636" s="1" t="s">
        <v>119</v>
      </c>
      <c r="E636" s="1" t="s">
        <v>107</v>
      </c>
      <c r="F636" s="1" t="s">
        <v>120</v>
      </c>
      <c r="G636" s="2">
        <v>45546</v>
      </c>
      <c r="H636" s="2">
        <v>45608</v>
      </c>
      <c r="I636" s="1" t="s">
        <v>53</v>
      </c>
      <c r="J636" s="1" t="s">
        <v>54</v>
      </c>
      <c r="K636" s="1" t="s">
        <v>55</v>
      </c>
      <c r="L636" s="1" t="s">
        <v>44</v>
      </c>
      <c r="M636" s="1" t="s">
        <v>2092</v>
      </c>
      <c r="N636">
        <v>131347.6</v>
      </c>
      <c r="O636">
        <v>8734.67</v>
      </c>
      <c r="P636">
        <v>28769.79</v>
      </c>
      <c r="Q636">
        <v>3</v>
      </c>
      <c r="R636">
        <v>151</v>
      </c>
      <c r="S636">
        <v>3.4</v>
      </c>
      <c r="T636" s="1" t="s">
        <v>46</v>
      </c>
      <c r="U636" s="1" t="s">
        <v>95</v>
      </c>
      <c r="V636" s="1" t="s">
        <v>102</v>
      </c>
      <c r="W636" s="1" t="s">
        <v>83</v>
      </c>
      <c r="X636">
        <v>168852.06000000003</v>
      </c>
      <c r="Y636" s="1" t="s">
        <v>2082</v>
      </c>
      <c r="Z636" s="1" t="s">
        <v>2080</v>
      </c>
      <c r="AO636" t="str">
        <v>P00760</v>
      </c>
    </row>
    <row r="637" spans="1:41" x14ac:dyDescent="0.35">
      <c r="A637" s="1" t="s">
        <v>1736</v>
      </c>
      <c r="B637" s="1" t="s">
        <v>1737</v>
      </c>
      <c r="C637">
        <v>81</v>
      </c>
      <c r="D637" s="1" t="s">
        <v>119</v>
      </c>
      <c r="E637" s="1" t="s">
        <v>26</v>
      </c>
      <c r="F637" s="1" t="s">
        <v>227</v>
      </c>
      <c r="G637" s="2">
        <v>45842</v>
      </c>
      <c r="H637" s="2">
        <v>45843</v>
      </c>
      <c r="I637" s="1" t="s">
        <v>53</v>
      </c>
      <c r="J637" s="1" t="s">
        <v>54</v>
      </c>
      <c r="K637" s="1" t="s">
        <v>55</v>
      </c>
      <c r="L637" s="1" t="s">
        <v>32</v>
      </c>
      <c r="M637" s="1" t="s">
        <v>2089</v>
      </c>
      <c r="N637">
        <v>264795.13</v>
      </c>
      <c r="O637">
        <v>0</v>
      </c>
      <c r="P637">
        <v>31744.53</v>
      </c>
      <c r="Q637">
        <v>1</v>
      </c>
      <c r="R637">
        <v>103</v>
      </c>
      <c r="S637">
        <v>5</v>
      </c>
      <c r="T637" s="1" t="s">
        <v>46</v>
      </c>
      <c r="U637" s="1" t="s">
        <v>95</v>
      </c>
      <c r="V637" s="1" t="s">
        <v>130</v>
      </c>
      <c r="W637" s="1" t="s">
        <v>131</v>
      </c>
      <c r="X637">
        <v>296539.66000000003</v>
      </c>
      <c r="Y637" s="1" t="s">
        <v>2088</v>
      </c>
      <c r="Z637" s="1" t="s">
        <v>2080</v>
      </c>
      <c r="AO637" t="str">
        <v>P00761</v>
      </c>
    </row>
    <row r="638" spans="1:41" x14ac:dyDescent="0.35">
      <c r="A638" s="1" t="s">
        <v>1738</v>
      </c>
      <c r="B638" s="1" t="s">
        <v>781</v>
      </c>
      <c r="C638">
        <v>64</v>
      </c>
      <c r="D638" s="1" t="s">
        <v>119</v>
      </c>
      <c r="E638" s="1" t="s">
        <v>51</v>
      </c>
      <c r="F638" s="1" t="s">
        <v>87</v>
      </c>
      <c r="G638" s="2">
        <v>45876</v>
      </c>
      <c r="H638" s="2">
        <v>45877</v>
      </c>
      <c r="I638" s="1" t="s">
        <v>159</v>
      </c>
      <c r="J638" s="1" t="s">
        <v>54</v>
      </c>
      <c r="K638" s="1" t="s">
        <v>55</v>
      </c>
      <c r="L638" s="1" t="s">
        <v>44</v>
      </c>
      <c r="M638" s="1" t="s">
        <v>2087</v>
      </c>
      <c r="N638">
        <v>415928.1</v>
      </c>
      <c r="O638">
        <v>14283.64</v>
      </c>
      <c r="P638">
        <v>36674.589999999997</v>
      </c>
      <c r="Q638">
        <v>1</v>
      </c>
      <c r="R638">
        <v>17</v>
      </c>
      <c r="S638">
        <v>3.4</v>
      </c>
      <c r="T638" s="1" t="s">
        <v>46</v>
      </c>
      <c r="U638" s="1" t="s">
        <v>101</v>
      </c>
      <c r="V638" s="1" t="s">
        <v>102</v>
      </c>
      <c r="W638" s="1" t="s">
        <v>83</v>
      </c>
      <c r="X638">
        <v>466886.32999999996</v>
      </c>
      <c r="Y638" s="1" t="s">
        <v>2088</v>
      </c>
      <c r="Z638" s="1" t="s">
        <v>2083</v>
      </c>
      <c r="AO638" t="str">
        <v>P00762</v>
      </c>
    </row>
    <row r="639" spans="1:41" x14ac:dyDescent="0.35">
      <c r="A639" s="1" t="s">
        <v>1742</v>
      </c>
      <c r="B639" s="1" t="s">
        <v>945</v>
      </c>
      <c r="C639">
        <v>35</v>
      </c>
      <c r="D639" s="1" t="s">
        <v>25</v>
      </c>
      <c r="E639" s="1" t="s">
        <v>51</v>
      </c>
      <c r="F639" s="1" t="s">
        <v>227</v>
      </c>
      <c r="G639" s="2">
        <v>45933</v>
      </c>
      <c r="H639" s="2">
        <v>45936</v>
      </c>
      <c r="I639" s="1" t="s">
        <v>53</v>
      </c>
      <c r="J639" s="1" t="s">
        <v>147</v>
      </c>
      <c r="K639" s="1" t="s">
        <v>148</v>
      </c>
      <c r="L639" s="1" t="s">
        <v>44</v>
      </c>
      <c r="M639" s="1" t="s">
        <v>2092</v>
      </c>
      <c r="N639">
        <v>237465.29</v>
      </c>
      <c r="O639">
        <v>67886.12</v>
      </c>
      <c r="P639">
        <v>56452.03</v>
      </c>
      <c r="Q639">
        <v>3</v>
      </c>
      <c r="R639">
        <v>66</v>
      </c>
      <c r="S639">
        <v>3</v>
      </c>
      <c r="T639" s="1" t="s">
        <v>46</v>
      </c>
      <c r="U639" s="1" t="s">
        <v>35</v>
      </c>
      <c r="V639" s="1" t="s">
        <v>75</v>
      </c>
      <c r="W639" s="1" t="s">
        <v>83</v>
      </c>
      <c r="X639">
        <v>361803.44000000006</v>
      </c>
      <c r="Y639" s="1" t="s">
        <v>2082</v>
      </c>
      <c r="Z639" s="1" t="s">
        <v>2080</v>
      </c>
      <c r="AO639" t="str">
        <v>P00763</v>
      </c>
    </row>
    <row r="640" spans="1:41" x14ac:dyDescent="0.35">
      <c r="A640" s="1" t="s">
        <v>1744</v>
      </c>
      <c r="B640" s="1" t="s">
        <v>736</v>
      </c>
      <c r="C640">
        <v>79</v>
      </c>
      <c r="D640" s="1" t="s">
        <v>25</v>
      </c>
      <c r="E640" s="1" t="s">
        <v>107</v>
      </c>
      <c r="F640" s="1" t="s">
        <v>145</v>
      </c>
      <c r="G640" s="2">
        <v>46024</v>
      </c>
      <c r="H640" s="2">
        <v>46026</v>
      </c>
      <c r="I640" s="1" t="s">
        <v>114</v>
      </c>
      <c r="J640" s="1" t="s">
        <v>2081</v>
      </c>
      <c r="K640" s="1" t="s">
        <v>55</v>
      </c>
      <c r="L640" s="1" t="s">
        <v>32</v>
      </c>
      <c r="M640" s="1" t="s">
        <v>2087</v>
      </c>
      <c r="N640">
        <v>194337.9</v>
      </c>
      <c r="O640">
        <v>29505.14</v>
      </c>
      <c r="P640">
        <v>30530.59</v>
      </c>
      <c r="Q640">
        <v>2</v>
      </c>
      <c r="R640">
        <v>177</v>
      </c>
      <c r="S640">
        <v>5</v>
      </c>
      <c r="T640" s="1" t="s">
        <v>34</v>
      </c>
      <c r="U640" s="1" t="s">
        <v>35</v>
      </c>
      <c r="V640" s="1" t="s">
        <v>75</v>
      </c>
      <c r="W640" s="1" t="s">
        <v>59</v>
      </c>
      <c r="X640">
        <v>254373.62999999998</v>
      </c>
      <c r="Y640" s="1" t="s">
        <v>2088</v>
      </c>
      <c r="Z640" s="1" t="s">
        <v>2080</v>
      </c>
      <c r="AO640" t="str">
        <v>P00764</v>
      </c>
    </row>
    <row r="641" spans="1:41" x14ac:dyDescent="0.35">
      <c r="A641" s="1" t="s">
        <v>1748</v>
      </c>
      <c r="B641" s="1" t="s">
        <v>1560</v>
      </c>
      <c r="C641">
        <v>34</v>
      </c>
      <c r="D641" s="1" t="s">
        <v>25</v>
      </c>
      <c r="E641" s="1" t="s">
        <v>112</v>
      </c>
      <c r="F641" s="1" t="s">
        <v>227</v>
      </c>
      <c r="G641" s="2">
        <v>45807</v>
      </c>
      <c r="H641" s="2">
        <v>45808</v>
      </c>
      <c r="I641" s="1" t="s">
        <v>235</v>
      </c>
      <c r="J641" s="1" t="s">
        <v>141</v>
      </c>
      <c r="K641" s="1" t="s">
        <v>81</v>
      </c>
      <c r="L641" s="1" t="s">
        <v>44</v>
      </c>
      <c r="M641" s="1" t="s">
        <v>2078</v>
      </c>
      <c r="N641">
        <v>162456.51</v>
      </c>
      <c r="O641">
        <v>55540.57</v>
      </c>
      <c r="P641">
        <v>33637.199999999997</v>
      </c>
      <c r="Q641">
        <v>1</v>
      </c>
      <c r="R641">
        <v>251</v>
      </c>
      <c r="S641">
        <v>4.3</v>
      </c>
      <c r="T641" s="1" t="s">
        <v>46</v>
      </c>
      <c r="U641" s="1" t="s">
        <v>95</v>
      </c>
      <c r="V641" s="1" t="s">
        <v>102</v>
      </c>
      <c r="W641" s="1" t="s">
        <v>83</v>
      </c>
      <c r="X641">
        <v>251634.28000000003</v>
      </c>
      <c r="Y641" s="1" t="s">
        <v>2082</v>
      </c>
      <c r="Z641" s="1" t="s">
        <v>2080</v>
      </c>
      <c r="AO641" t="str">
        <v>P00765</v>
      </c>
    </row>
    <row r="642" spans="1:41" x14ac:dyDescent="0.35">
      <c r="A642" s="1" t="s">
        <v>1751</v>
      </c>
      <c r="B642" s="1" t="s">
        <v>1505</v>
      </c>
      <c r="C642">
        <v>12</v>
      </c>
      <c r="D642" s="1" t="s">
        <v>25</v>
      </c>
      <c r="E642" s="1" t="s">
        <v>26</v>
      </c>
      <c r="F642" s="1" t="s">
        <v>145</v>
      </c>
      <c r="G642" s="2">
        <v>45993</v>
      </c>
      <c r="H642" s="2">
        <v>45996</v>
      </c>
      <c r="I642" s="1" t="s">
        <v>273</v>
      </c>
      <c r="J642" s="1" t="s">
        <v>90</v>
      </c>
      <c r="K642" s="1" t="s">
        <v>55</v>
      </c>
      <c r="L642" s="1" t="s">
        <v>32</v>
      </c>
      <c r="M642" s="1" t="s">
        <v>2090</v>
      </c>
      <c r="N642">
        <v>152293.6</v>
      </c>
      <c r="O642">
        <v>51044.52</v>
      </c>
      <c r="P642">
        <v>13463.4</v>
      </c>
      <c r="Q642">
        <v>3</v>
      </c>
      <c r="R642">
        <v>0</v>
      </c>
      <c r="S642">
        <v>3.4</v>
      </c>
      <c r="T642" s="1" t="s">
        <v>34</v>
      </c>
      <c r="U642" s="1" t="s">
        <v>35</v>
      </c>
      <c r="V642" s="1" t="s">
        <v>130</v>
      </c>
      <c r="W642" s="1" t="s">
        <v>83</v>
      </c>
      <c r="X642">
        <v>216801.52</v>
      </c>
      <c r="Y642" s="1" t="s">
        <v>2093</v>
      </c>
      <c r="Z642" s="1" t="s">
        <v>2083</v>
      </c>
      <c r="AO642" t="str">
        <v>P00766</v>
      </c>
    </row>
    <row r="643" spans="1:41" x14ac:dyDescent="0.35">
      <c r="A643" s="1" t="s">
        <v>1752</v>
      </c>
      <c r="B643" s="1" t="s">
        <v>255</v>
      </c>
      <c r="C643">
        <v>45</v>
      </c>
      <c r="D643" s="1" t="s">
        <v>25</v>
      </c>
      <c r="E643" s="1" t="s">
        <v>51</v>
      </c>
      <c r="F643" s="1" t="s">
        <v>193</v>
      </c>
      <c r="G643" s="2">
        <v>45414</v>
      </c>
      <c r="H643" s="2">
        <v>45416</v>
      </c>
      <c r="I643" s="1" t="s">
        <v>221</v>
      </c>
      <c r="J643" s="1" t="s">
        <v>141</v>
      </c>
      <c r="K643" s="1" t="s">
        <v>148</v>
      </c>
      <c r="L643" s="1" t="s">
        <v>32</v>
      </c>
      <c r="M643" s="1" t="s">
        <v>2090</v>
      </c>
      <c r="N643">
        <v>321992.61</v>
      </c>
      <c r="O643">
        <v>45940.15</v>
      </c>
      <c r="P643">
        <v>52763.09</v>
      </c>
      <c r="Q643">
        <v>2</v>
      </c>
      <c r="R643">
        <v>184</v>
      </c>
      <c r="S643">
        <v>1.7</v>
      </c>
      <c r="T643" s="1" t="s">
        <v>46</v>
      </c>
      <c r="U643" s="1" t="s">
        <v>35</v>
      </c>
      <c r="V643" s="1" t="s">
        <v>75</v>
      </c>
      <c r="W643" s="1" t="s">
        <v>131</v>
      </c>
      <c r="X643">
        <v>420695.85</v>
      </c>
      <c r="Y643" s="1" t="s">
        <v>2079</v>
      </c>
      <c r="Z643" s="1" t="s">
        <v>2080</v>
      </c>
      <c r="AO643" t="str">
        <v>P00767</v>
      </c>
    </row>
    <row r="644" spans="1:41" x14ac:dyDescent="0.35">
      <c r="A644" s="1" t="s">
        <v>1754</v>
      </c>
      <c r="B644" s="1" t="s">
        <v>406</v>
      </c>
      <c r="C644">
        <v>56</v>
      </c>
      <c r="D644" s="1" t="s">
        <v>119</v>
      </c>
      <c r="E644" s="1" t="s">
        <v>86</v>
      </c>
      <c r="F644" s="1" t="s">
        <v>145</v>
      </c>
      <c r="G644" s="2">
        <v>45782</v>
      </c>
      <c r="H644" s="2">
        <v>45786</v>
      </c>
      <c r="I644" s="1" t="s">
        <v>173</v>
      </c>
      <c r="J644" s="1" t="s">
        <v>30</v>
      </c>
      <c r="K644" s="1" t="s">
        <v>163</v>
      </c>
      <c r="L644" s="1" t="s">
        <v>66</v>
      </c>
      <c r="M644" s="1" t="s">
        <v>2086</v>
      </c>
      <c r="N644">
        <v>46461.279999999999</v>
      </c>
      <c r="O644">
        <v>0</v>
      </c>
      <c r="P644">
        <v>22621.74</v>
      </c>
      <c r="Q644">
        <v>4</v>
      </c>
      <c r="R644">
        <v>45</v>
      </c>
      <c r="S644">
        <v>4.7</v>
      </c>
      <c r="T644" s="1" t="s">
        <v>46</v>
      </c>
      <c r="U644" s="1" t="s">
        <v>149</v>
      </c>
      <c r="V644" s="1" t="s">
        <v>75</v>
      </c>
      <c r="W644" s="1" t="s">
        <v>12</v>
      </c>
      <c r="X644">
        <v>69083.02</v>
      </c>
      <c r="Y644" s="1" t="s">
        <v>2079</v>
      </c>
      <c r="Z644" s="1" t="s">
        <v>2091</v>
      </c>
      <c r="AO644" t="str">
        <v>P00768</v>
      </c>
    </row>
    <row r="645" spans="1:41" x14ac:dyDescent="0.35">
      <c r="A645" s="1" t="s">
        <v>1756</v>
      </c>
      <c r="B645" s="1" t="s">
        <v>840</v>
      </c>
      <c r="C645">
        <v>24</v>
      </c>
      <c r="D645" s="1" t="s">
        <v>25</v>
      </c>
      <c r="E645" s="1" t="s">
        <v>26</v>
      </c>
      <c r="F645" s="1" t="s">
        <v>135</v>
      </c>
      <c r="G645" s="2">
        <v>46019</v>
      </c>
      <c r="H645" s="2">
        <v>46021</v>
      </c>
      <c r="I645" s="1" t="s">
        <v>173</v>
      </c>
      <c r="J645" s="1" t="s">
        <v>30</v>
      </c>
      <c r="K645" s="1" t="s">
        <v>128</v>
      </c>
      <c r="L645" s="1" t="s">
        <v>44</v>
      </c>
      <c r="M645" s="1" t="s">
        <v>2086</v>
      </c>
      <c r="N645">
        <v>134371.28</v>
      </c>
      <c r="O645">
        <v>57965.81</v>
      </c>
      <c r="P645">
        <v>45391.3</v>
      </c>
      <c r="Q645">
        <v>2</v>
      </c>
      <c r="R645">
        <v>81</v>
      </c>
      <c r="S645">
        <v>3.6</v>
      </c>
      <c r="T645" s="1" t="s">
        <v>46</v>
      </c>
      <c r="U645" s="1" t="s">
        <v>149</v>
      </c>
      <c r="V645" s="1" t="s">
        <v>75</v>
      </c>
      <c r="W645" s="1" t="s">
        <v>131</v>
      </c>
      <c r="X645">
        <v>237728.39</v>
      </c>
      <c r="Y645" s="1" t="s">
        <v>2082</v>
      </c>
      <c r="Z645" s="1" t="s">
        <v>2080</v>
      </c>
      <c r="AO645" t="str">
        <v>P00769</v>
      </c>
    </row>
    <row r="646" spans="1:41" x14ac:dyDescent="0.35">
      <c r="A646" s="1" t="s">
        <v>1757</v>
      </c>
      <c r="B646" s="1" t="s">
        <v>77</v>
      </c>
      <c r="C646">
        <v>26</v>
      </c>
      <c r="D646" s="1" t="s">
        <v>25</v>
      </c>
      <c r="E646" s="1" t="s">
        <v>112</v>
      </c>
      <c r="F646" s="1" t="s">
        <v>135</v>
      </c>
      <c r="G646" s="2">
        <v>45514</v>
      </c>
      <c r="H646" s="2">
        <v>45521</v>
      </c>
      <c r="I646" s="1" t="s">
        <v>173</v>
      </c>
      <c r="J646" s="1" t="s">
        <v>30</v>
      </c>
      <c r="K646" s="1" t="s">
        <v>91</v>
      </c>
      <c r="L646" s="1" t="s">
        <v>32</v>
      </c>
      <c r="M646" s="1" t="s">
        <v>2086</v>
      </c>
      <c r="N646">
        <v>404171.16</v>
      </c>
      <c r="O646">
        <v>35262.410000000003</v>
      </c>
      <c r="P646">
        <v>40187.42</v>
      </c>
      <c r="Q646">
        <v>7</v>
      </c>
      <c r="R646">
        <v>282</v>
      </c>
      <c r="S646">
        <v>2.2999999999999998</v>
      </c>
      <c r="T646" s="1" t="s">
        <v>46</v>
      </c>
      <c r="U646" s="1" t="s">
        <v>95</v>
      </c>
      <c r="V646" s="1" t="s">
        <v>130</v>
      </c>
      <c r="W646" s="1" t="s">
        <v>131</v>
      </c>
      <c r="X646">
        <v>479620.98999999993</v>
      </c>
      <c r="Y646" s="1" t="s">
        <v>2082</v>
      </c>
      <c r="Z646" s="1" t="s">
        <v>2080</v>
      </c>
      <c r="AO646" t="str">
        <v>P00770</v>
      </c>
    </row>
    <row r="647" spans="1:41" x14ac:dyDescent="0.35">
      <c r="A647" s="1" t="s">
        <v>1758</v>
      </c>
      <c r="B647" s="1" t="s">
        <v>294</v>
      </c>
      <c r="C647">
        <v>15</v>
      </c>
      <c r="D647" s="1" t="s">
        <v>119</v>
      </c>
      <c r="E647" s="1" t="s">
        <v>51</v>
      </c>
      <c r="F647" s="1" t="s">
        <v>108</v>
      </c>
      <c r="G647" s="2">
        <v>46182</v>
      </c>
      <c r="H647" s="2">
        <v>46184</v>
      </c>
      <c r="I647" s="1" t="s">
        <v>159</v>
      </c>
      <c r="J647" s="1" t="s">
        <v>152</v>
      </c>
      <c r="K647" s="1" t="s">
        <v>174</v>
      </c>
      <c r="L647" s="1" t="s">
        <v>32</v>
      </c>
      <c r="M647" s="1" t="s">
        <v>2090</v>
      </c>
      <c r="N647">
        <v>353344.68</v>
      </c>
      <c r="O647">
        <v>72229.72</v>
      </c>
      <c r="P647">
        <v>95097.68</v>
      </c>
      <c r="Q647">
        <v>2</v>
      </c>
      <c r="R647">
        <v>186</v>
      </c>
      <c r="S647">
        <v>3.4</v>
      </c>
      <c r="T647" s="1" t="s">
        <v>34</v>
      </c>
      <c r="U647" s="1" t="s">
        <v>95</v>
      </c>
      <c r="V647" s="1" t="s">
        <v>102</v>
      </c>
      <c r="W647" s="1" t="s">
        <v>131</v>
      </c>
      <c r="X647">
        <v>520672.08</v>
      </c>
      <c r="Y647" s="1" t="s">
        <v>2093</v>
      </c>
      <c r="Z647" s="1" t="s">
        <v>2080</v>
      </c>
      <c r="AO647" t="str">
        <v>P00774</v>
      </c>
    </row>
    <row r="648" spans="1:41" x14ac:dyDescent="0.35">
      <c r="A648" s="1" t="s">
        <v>1760</v>
      </c>
      <c r="B648" s="1" t="s">
        <v>185</v>
      </c>
      <c r="C648">
        <v>6</v>
      </c>
      <c r="D648" s="1" t="s">
        <v>119</v>
      </c>
      <c r="E648" s="1" t="s">
        <v>26</v>
      </c>
      <c r="F648" s="1" t="s">
        <v>193</v>
      </c>
      <c r="G648" s="2">
        <v>46079</v>
      </c>
      <c r="H648" s="2">
        <v>46081</v>
      </c>
      <c r="I648" s="1" t="s">
        <v>159</v>
      </c>
      <c r="J648" s="1" t="s">
        <v>147</v>
      </c>
      <c r="K648" s="1" t="s">
        <v>128</v>
      </c>
      <c r="L648" s="1" t="s">
        <v>66</v>
      </c>
      <c r="M648" s="1" t="s">
        <v>2090</v>
      </c>
      <c r="N648">
        <v>505022.29</v>
      </c>
      <c r="O648">
        <v>41724.449999999997</v>
      </c>
      <c r="P648">
        <v>30241.29</v>
      </c>
      <c r="Q648">
        <v>2</v>
      </c>
      <c r="R648">
        <v>194</v>
      </c>
      <c r="S648">
        <v>2.4</v>
      </c>
      <c r="T648" s="1" t="s">
        <v>34</v>
      </c>
      <c r="U648" s="1" t="s">
        <v>149</v>
      </c>
      <c r="V648" s="1" t="s">
        <v>102</v>
      </c>
      <c r="W648" s="1" t="s">
        <v>83</v>
      </c>
      <c r="X648">
        <v>576988.03</v>
      </c>
      <c r="Y648" s="1" t="s">
        <v>2093</v>
      </c>
      <c r="Z648" s="1" t="s">
        <v>2080</v>
      </c>
      <c r="AO648" t="str">
        <v>P00775</v>
      </c>
    </row>
    <row r="649" spans="1:41" x14ac:dyDescent="0.35">
      <c r="A649" s="1" t="s">
        <v>1761</v>
      </c>
      <c r="B649" s="1" t="s">
        <v>111</v>
      </c>
      <c r="C649">
        <v>39</v>
      </c>
      <c r="D649" s="1" t="s">
        <v>119</v>
      </c>
      <c r="E649" s="1" t="s">
        <v>26</v>
      </c>
      <c r="F649" s="1" t="s">
        <v>193</v>
      </c>
      <c r="G649" s="2">
        <v>45379</v>
      </c>
      <c r="H649" s="2">
        <v>45383</v>
      </c>
      <c r="I649" s="1" t="s">
        <v>53</v>
      </c>
      <c r="J649" s="1" t="s">
        <v>152</v>
      </c>
      <c r="K649" s="1" t="s">
        <v>174</v>
      </c>
      <c r="L649" s="1" t="s">
        <v>44</v>
      </c>
      <c r="M649" s="1" t="s">
        <v>2085</v>
      </c>
      <c r="N649">
        <v>309414.8</v>
      </c>
      <c r="O649">
        <v>28410.66</v>
      </c>
      <c r="P649">
        <v>1472.16</v>
      </c>
      <c r="Q649">
        <v>4</v>
      </c>
      <c r="R649">
        <v>100</v>
      </c>
      <c r="S649">
        <v>5</v>
      </c>
      <c r="T649" s="1" t="s">
        <v>34</v>
      </c>
      <c r="U649" s="1" t="s">
        <v>101</v>
      </c>
      <c r="V649" s="1" t="s">
        <v>102</v>
      </c>
      <c r="W649" s="1" t="s">
        <v>59</v>
      </c>
      <c r="X649">
        <v>339297.61999999994</v>
      </c>
      <c r="Y649" s="1" t="s">
        <v>2079</v>
      </c>
      <c r="Z649" s="1" t="s">
        <v>2080</v>
      </c>
      <c r="AO649" t="str">
        <v>P00776</v>
      </c>
    </row>
    <row r="650" spans="1:41" x14ac:dyDescent="0.35">
      <c r="A650" s="1" t="s">
        <v>1762</v>
      </c>
      <c r="B650" s="1" t="s">
        <v>1763</v>
      </c>
      <c r="C650">
        <v>60</v>
      </c>
      <c r="D650" s="1" t="s">
        <v>119</v>
      </c>
      <c r="E650" s="1" t="s">
        <v>107</v>
      </c>
      <c r="F650" s="1" t="s">
        <v>63</v>
      </c>
      <c r="G650" s="2">
        <v>45638</v>
      </c>
      <c r="H650" s="2">
        <v>45641</v>
      </c>
      <c r="I650" s="1" t="s">
        <v>127</v>
      </c>
      <c r="J650" s="1" t="s">
        <v>2081</v>
      </c>
      <c r="K650" s="1" t="s">
        <v>174</v>
      </c>
      <c r="L650" s="1" t="s">
        <v>32</v>
      </c>
      <c r="M650" s="1" t="s">
        <v>2078</v>
      </c>
      <c r="N650">
        <v>73625.87</v>
      </c>
      <c r="O650">
        <v>29343.48</v>
      </c>
      <c r="P650">
        <v>26264.69</v>
      </c>
      <c r="Q650">
        <v>3</v>
      </c>
      <c r="R650">
        <v>151</v>
      </c>
      <c r="S650">
        <v>3.7</v>
      </c>
      <c r="T650" s="1" t="s">
        <v>34</v>
      </c>
      <c r="U650" s="1" t="s">
        <v>101</v>
      </c>
      <c r="V650" s="1" t="s">
        <v>75</v>
      </c>
      <c r="W650" s="1" t="s">
        <v>59</v>
      </c>
      <c r="X650">
        <v>129234.04</v>
      </c>
      <c r="Y650" s="1" t="s">
        <v>2088</v>
      </c>
      <c r="Z650" s="1" t="s">
        <v>2080</v>
      </c>
      <c r="AO650" t="str">
        <v>P00778</v>
      </c>
    </row>
    <row r="651" spans="1:41" x14ac:dyDescent="0.35">
      <c r="A651" s="1" t="s">
        <v>1768</v>
      </c>
      <c r="B651" s="1" t="s">
        <v>1769</v>
      </c>
      <c r="C651">
        <v>84</v>
      </c>
      <c r="D651" s="1" t="s">
        <v>25</v>
      </c>
      <c r="E651" s="1" t="s">
        <v>2084</v>
      </c>
      <c r="F651" s="1" t="s">
        <v>63</v>
      </c>
      <c r="G651" s="2">
        <v>45976</v>
      </c>
      <c r="H651" s="2">
        <v>45979</v>
      </c>
      <c r="I651" s="1" t="s">
        <v>221</v>
      </c>
      <c r="J651" s="1" t="s">
        <v>152</v>
      </c>
      <c r="K651" s="1" t="s">
        <v>81</v>
      </c>
      <c r="L651" s="1" t="s">
        <v>66</v>
      </c>
      <c r="M651" s="1" t="s">
        <v>2090</v>
      </c>
      <c r="N651">
        <v>363227.92</v>
      </c>
      <c r="O651">
        <v>71088.539999999994</v>
      </c>
      <c r="P651">
        <v>56733.84</v>
      </c>
      <c r="Q651">
        <v>3</v>
      </c>
      <c r="R651">
        <v>182</v>
      </c>
      <c r="S651">
        <v>2.8</v>
      </c>
      <c r="T651" s="1" t="s">
        <v>34</v>
      </c>
      <c r="U651" s="1" t="s">
        <v>35</v>
      </c>
      <c r="V651" s="1" t="s">
        <v>102</v>
      </c>
      <c r="W651" s="1" t="s">
        <v>83</v>
      </c>
      <c r="X651">
        <v>491050.29999999993</v>
      </c>
      <c r="Y651" s="1" t="s">
        <v>2088</v>
      </c>
      <c r="Z651" s="1" t="s">
        <v>2080</v>
      </c>
      <c r="AO651" t="str">
        <v>P00779</v>
      </c>
    </row>
    <row r="652" spans="1:41" x14ac:dyDescent="0.35">
      <c r="A652" s="1" t="s">
        <v>1773</v>
      </c>
      <c r="B652" s="1" t="s">
        <v>1200</v>
      </c>
      <c r="C652">
        <v>67</v>
      </c>
      <c r="D652" s="1" t="s">
        <v>119</v>
      </c>
      <c r="E652" s="1" t="s">
        <v>26</v>
      </c>
      <c r="F652" s="1" t="s">
        <v>63</v>
      </c>
      <c r="G652" s="2">
        <v>45931</v>
      </c>
      <c r="H652" s="2">
        <v>45935</v>
      </c>
      <c r="I652" s="1" t="s">
        <v>273</v>
      </c>
      <c r="J652" s="1" t="s">
        <v>30</v>
      </c>
      <c r="K652" s="1" t="s">
        <v>91</v>
      </c>
      <c r="L652" s="1" t="s">
        <v>44</v>
      </c>
      <c r="M652" s="1" t="s">
        <v>2086</v>
      </c>
      <c r="N652">
        <v>0</v>
      </c>
      <c r="O652">
        <v>40235.96</v>
      </c>
      <c r="P652">
        <v>36699.85</v>
      </c>
      <c r="Q652">
        <v>4</v>
      </c>
      <c r="R652">
        <v>103</v>
      </c>
      <c r="S652">
        <v>4.3</v>
      </c>
      <c r="T652" s="1" t="s">
        <v>34</v>
      </c>
      <c r="U652" s="1" t="s">
        <v>95</v>
      </c>
      <c r="V652" s="1" t="s">
        <v>130</v>
      </c>
      <c r="W652" s="1" t="s">
        <v>83</v>
      </c>
      <c r="X652">
        <v>76935.81</v>
      </c>
      <c r="Y652" s="1" t="s">
        <v>2088</v>
      </c>
      <c r="Z652" s="1" t="s">
        <v>2080</v>
      </c>
      <c r="AO652" t="str">
        <v>P00780</v>
      </c>
    </row>
    <row r="653" spans="1:41" x14ac:dyDescent="0.35">
      <c r="A653" s="1" t="s">
        <v>1775</v>
      </c>
      <c r="B653" s="1" t="s">
        <v>347</v>
      </c>
      <c r="C653">
        <v>40</v>
      </c>
      <c r="D653" s="1" t="s">
        <v>119</v>
      </c>
      <c r="E653" s="1" t="s">
        <v>112</v>
      </c>
      <c r="F653" s="1" t="s">
        <v>41</v>
      </c>
      <c r="G653" s="2">
        <v>45646</v>
      </c>
      <c r="H653" s="2">
        <v>45648</v>
      </c>
      <c r="I653" s="1" t="s">
        <v>114</v>
      </c>
      <c r="J653" s="1" t="s">
        <v>2081</v>
      </c>
      <c r="K653" s="1" t="s">
        <v>55</v>
      </c>
      <c r="L653" s="1" t="s">
        <v>44</v>
      </c>
      <c r="M653" s="1" t="s">
        <v>2086</v>
      </c>
      <c r="N653">
        <v>190057.48</v>
      </c>
      <c r="O653">
        <v>54257.91</v>
      </c>
      <c r="P653">
        <v>57562.8</v>
      </c>
      <c r="Q653">
        <v>2</v>
      </c>
      <c r="R653">
        <v>111</v>
      </c>
      <c r="S653">
        <v>2</v>
      </c>
      <c r="T653" s="1" t="s">
        <v>46</v>
      </c>
      <c r="U653" s="1" t="s">
        <v>35</v>
      </c>
      <c r="V653" s="1" t="s">
        <v>75</v>
      </c>
      <c r="W653" s="1" t="s">
        <v>36</v>
      </c>
      <c r="X653">
        <v>301878.19</v>
      </c>
      <c r="Y653" s="1" t="s">
        <v>2079</v>
      </c>
      <c r="Z653" s="1" t="s">
        <v>2080</v>
      </c>
      <c r="AO653" t="str">
        <v>P00782</v>
      </c>
    </row>
    <row r="654" spans="1:41" x14ac:dyDescent="0.35">
      <c r="A654" s="1" t="s">
        <v>1779</v>
      </c>
      <c r="B654" s="1" t="s">
        <v>285</v>
      </c>
      <c r="C654">
        <v>0</v>
      </c>
      <c r="D654" s="1" t="s">
        <v>119</v>
      </c>
      <c r="E654" s="1" t="s">
        <v>86</v>
      </c>
      <c r="F654" s="1" t="s">
        <v>227</v>
      </c>
      <c r="G654" s="2">
        <v>45375</v>
      </c>
      <c r="H654" s="2">
        <v>45377</v>
      </c>
      <c r="I654" s="1" t="s">
        <v>221</v>
      </c>
      <c r="J654" s="1" t="s">
        <v>141</v>
      </c>
      <c r="K654" s="1" t="s">
        <v>128</v>
      </c>
      <c r="L654" s="1" t="s">
        <v>66</v>
      </c>
      <c r="M654" s="1" t="s">
        <v>2089</v>
      </c>
      <c r="N654">
        <v>196426.11</v>
      </c>
      <c r="O654">
        <v>21849.69</v>
      </c>
      <c r="P654">
        <v>56710.99</v>
      </c>
      <c r="Q654">
        <v>2</v>
      </c>
      <c r="R654">
        <v>83</v>
      </c>
      <c r="S654">
        <v>3.3</v>
      </c>
      <c r="T654" s="1" t="s">
        <v>46</v>
      </c>
      <c r="U654" s="1" t="s">
        <v>101</v>
      </c>
      <c r="V654" s="1" t="s">
        <v>130</v>
      </c>
      <c r="W654" s="1" t="s">
        <v>131</v>
      </c>
      <c r="X654">
        <v>274986.78999999998</v>
      </c>
      <c r="Y654" s="1" t="s">
        <v>2093</v>
      </c>
      <c r="Z654" s="1" t="s">
        <v>2080</v>
      </c>
      <c r="AO654" t="str">
        <v>P00783</v>
      </c>
    </row>
    <row r="655" spans="1:41" x14ac:dyDescent="0.35">
      <c r="A655" s="1" t="s">
        <v>1780</v>
      </c>
      <c r="B655" s="1" t="s">
        <v>1545</v>
      </c>
      <c r="C655">
        <v>22</v>
      </c>
      <c r="D655" s="1" t="s">
        <v>119</v>
      </c>
      <c r="E655" s="1" t="s">
        <v>86</v>
      </c>
      <c r="F655" s="1" t="s">
        <v>63</v>
      </c>
      <c r="G655" s="2">
        <v>45911</v>
      </c>
      <c r="H655" s="2">
        <v>45912</v>
      </c>
      <c r="I655" s="1" t="s">
        <v>53</v>
      </c>
      <c r="J655" s="1" t="s">
        <v>137</v>
      </c>
      <c r="K655" s="1" t="s">
        <v>163</v>
      </c>
      <c r="L655" s="1" t="s">
        <v>32</v>
      </c>
      <c r="M655" s="1" t="s">
        <v>2089</v>
      </c>
      <c r="N655">
        <v>286731.15000000002</v>
      </c>
      <c r="O655">
        <v>72897.69</v>
      </c>
      <c r="P655">
        <v>42074.239999999998</v>
      </c>
      <c r="Q655">
        <v>1</v>
      </c>
      <c r="R655">
        <v>119</v>
      </c>
      <c r="S655">
        <v>4.9000000000000004</v>
      </c>
      <c r="T655" s="1" t="s">
        <v>46</v>
      </c>
      <c r="U655" s="1" t="s">
        <v>149</v>
      </c>
      <c r="V655" s="1" t="s">
        <v>130</v>
      </c>
      <c r="W655" s="1" t="s">
        <v>12</v>
      </c>
      <c r="X655">
        <v>401703.08</v>
      </c>
      <c r="Y655" s="1" t="s">
        <v>2082</v>
      </c>
      <c r="Z655" s="1" t="s">
        <v>2080</v>
      </c>
      <c r="AO655" t="str">
        <v>P00785</v>
      </c>
    </row>
    <row r="656" spans="1:41" x14ac:dyDescent="0.35">
      <c r="A656" s="1" t="s">
        <v>1782</v>
      </c>
      <c r="B656" s="1" t="s">
        <v>181</v>
      </c>
      <c r="C656">
        <v>51</v>
      </c>
      <c r="D656" s="1" t="s">
        <v>25</v>
      </c>
      <c r="E656" s="1" t="s">
        <v>40</v>
      </c>
      <c r="F656" s="1" t="s">
        <v>135</v>
      </c>
      <c r="G656" s="2">
        <v>45483</v>
      </c>
      <c r="H656" s="2">
        <v>45484</v>
      </c>
      <c r="I656" s="1" t="s">
        <v>273</v>
      </c>
      <c r="J656" s="1" t="s">
        <v>141</v>
      </c>
      <c r="K656" s="1" t="s">
        <v>148</v>
      </c>
      <c r="L656" s="1" t="s">
        <v>32</v>
      </c>
      <c r="M656" s="1" t="s">
        <v>2087</v>
      </c>
      <c r="N656">
        <v>116331.39</v>
      </c>
      <c r="O656">
        <v>51620.61</v>
      </c>
      <c r="P656">
        <v>49542.09</v>
      </c>
      <c r="Q656">
        <v>1</v>
      </c>
      <c r="R656">
        <v>117</v>
      </c>
      <c r="S656">
        <v>2.7</v>
      </c>
      <c r="T656" s="1" t="s">
        <v>46</v>
      </c>
      <c r="U656" s="1" t="s">
        <v>149</v>
      </c>
      <c r="V656" s="1" t="s">
        <v>75</v>
      </c>
      <c r="W656" s="1" t="s">
        <v>59</v>
      </c>
      <c r="X656">
        <v>217494.09</v>
      </c>
      <c r="Y656" s="1" t="s">
        <v>2079</v>
      </c>
      <c r="Z656" s="1" t="s">
        <v>2080</v>
      </c>
      <c r="AO656" t="str">
        <v>P00787</v>
      </c>
    </row>
    <row r="657" spans="1:41" x14ac:dyDescent="0.35">
      <c r="A657" s="1" t="s">
        <v>1783</v>
      </c>
      <c r="B657" s="1" t="s">
        <v>1182</v>
      </c>
      <c r="C657">
        <v>88</v>
      </c>
      <c r="D657" s="1" t="s">
        <v>119</v>
      </c>
      <c r="E657" s="1" t="s">
        <v>107</v>
      </c>
      <c r="F657" s="1" t="s">
        <v>120</v>
      </c>
      <c r="G657" s="2">
        <v>45991</v>
      </c>
      <c r="H657" s="2">
        <v>45996</v>
      </c>
      <c r="I657" s="1" t="s">
        <v>100</v>
      </c>
      <c r="J657" s="1" t="s">
        <v>87</v>
      </c>
      <c r="K657" s="1" t="s">
        <v>148</v>
      </c>
      <c r="L657" s="1" t="s">
        <v>44</v>
      </c>
      <c r="M657" s="1" t="s">
        <v>2090</v>
      </c>
      <c r="N657">
        <v>78892.36</v>
      </c>
      <c r="O657">
        <v>21506.02</v>
      </c>
      <c r="P657">
        <v>51948.22</v>
      </c>
      <c r="Q657">
        <v>5</v>
      </c>
      <c r="R657">
        <v>153</v>
      </c>
      <c r="S657">
        <v>3</v>
      </c>
      <c r="T657" s="1" t="s">
        <v>46</v>
      </c>
      <c r="U657" s="1" t="s">
        <v>95</v>
      </c>
      <c r="V657" s="1" t="s">
        <v>75</v>
      </c>
      <c r="W657" s="1" t="s">
        <v>131</v>
      </c>
      <c r="X657">
        <v>152346.6</v>
      </c>
      <c r="Y657" s="1" t="s">
        <v>2088</v>
      </c>
      <c r="Z657" s="1" t="s">
        <v>2080</v>
      </c>
      <c r="AO657" t="str">
        <v>P00788</v>
      </c>
    </row>
    <row r="658" spans="1:41" x14ac:dyDescent="0.35">
      <c r="A658" s="1" t="s">
        <v>1784</v>
      </c>
      <c r="B658" s="1" t="s">
        <v>446</v>
      </c>
      <c r="C658">
        <v>72</v>
      </c>
      <c r="D658" s="1" t="s">
        <v>25</v>
      </c>
      <c r="E658" s="1" t="s">
        <v>86</v>
      </c>
      <c r="F658" s="1" t="s">
        <v>193</v>
      </c>
      <c r="G658" s="2">
        <v>46228</v>
      </c>
      <c r="H658" s="2">
        <v>46229</v>
      </c>
      <c r="I658" s="1" t="s">
        <v>29</v>
      </c>
      <c r="J658" s="1" t="s">
        <v>87</v>
      </c>
      <c r="K658" s="1" t="s">
        <v>81</v>
      </c>
      <c r="L658" s="1" t="s">
        <v>66</v>
      </c>
      <c r="M658" s="1" t="s">
        <v>2090</v>
      </c>
      <c r="N658">
        <v>326470.86</v>
      </c>
      <c r="O658">
        <v>0</v>
      </c>
      <c r="P658">
        <v>26772.94</v>
      </c>
      <c r="Q658">
        <v>1</v>
      </c>
      <c r="R658">
        <v>212</v>
      </c>
      <c r="S658">
        <v>5</v>
      </c>
      <c r="T658" s="1" t="s">
        <v>34</v>
      </c>
      <c r="U658" s="1" t="s">
        <v>95</v>
      </c>
      <c r="V658" s="1" t="s">
        <v>102</v>
      </c>
      <c r="W658" s="1" t="s">
        <v>131</v>
      </c>
      <c r="X658">
        <v>353243.8</v>
      </c>
      <c r="Y658" s="1" t="s">
        <v>2088</v>
      </c>
      <c r="Z658" s="1" t="s">
        <v>2080</v>
      </c>
      <c r="AO658" t="str">
        <v>P00789</v>
      </c>
    </row>
    <row r="659" spans="1:41" x14ac:dyDescent="0.35">
      <c r="A659" s="1" t="s">
        <v>1786</v>
      </c>
      <c r="B659" s="1" t="s">
        <v>543</v>
      </c>
      <c r="C659">
        <v>39</v>
      </c>
      <c r="D659" s="1" t="s">
        <v>25</v>
      </c>
      <c r="E659" s="1" t="s">
        <v>26</v>
      </c>
      <c r="F659" s="1" t="s">
        <v>41</v>
      </c>
      <c r="G659" s="2">
        <v>45999</v>
      </c>
      <c r="H659" s="2">
        <v>46005</v>
      </c>
      <c r="I659" s="1" t="s">
        <v>53</v>
      </c>
      <c r="J659" s="1" t="s">
        <v>152</v>
      </c>
      <c r="K659" s="1" t="s">
        <v>81</v>
      </c>
      <c r="L659" s="1" t="s">
        <v>66</v>
      </c>
      <c r="M659" s="1" t="s">
        <v>2086</v>
      </c>
      <c r="N659">
        <v>231618.24</v>
      </c>
      <c r="O659">
        <v>26726.85</v>
      </c>
      <c r="P659">
        <v>78847.19</v>
      </c>
      <c r="Q659">
        <v>6</v>
      </c>
      <c r="R659">
        <v>29</v>
      </c>
      <c r="S659">
        <v>2.7</v>
      </c>
      <c r="T659" s="1" t="s">
        <v>46</v>
      </c>
      <c r="U659" s="1" t="s">
        <v>95</v>
      </c>
      <c r="V659" s="1" t="s">
        <v>102</v>
      </c>
      <c r="W659" s="1" t="s">
        <v>83</v>
      </c>
      <c r="X659">
        <v>337192.28</v>
      </c>
      <c r="Y659" s="1" t="s">
        <v>2079</v>
      </c>
      <c r="Z659" s="1" t="s">
        <v>2083</v>
      </c>
      <c r="AO659" t="str">
        <v>P00790</v>
      </c>
    </row>
    <row r="660" spans="1:41" x14ac:dyDescent="0.35">
      <c r="A660" s="1" t="s">
        <v>1787</v>
      </c>
      <c r="B660" s="1" t="s">
        <v>468</v>
      </c>
      <c r="C660">
        <v>42</v>
      </c>
      <c r="D660" s="1" t="s">
        <v>119</v>
      </c>
      <c r="E660" s="1" t="s">
        <v>26</v>
      </c>
      <c r="F660" s="1" t="s">
        <v>227</v>
      </c>
      <c r="G660" s="2">
        <v>46183</v>
      </c>
      <c r="H660" s="2">
        <v>46189</v>
      </c>
      <c r="I660" s="1" t="s">
        <v>273</v>
      </c>
      <c r="J660" s="1" t="s">
        <v>115</v>
      </c>
      <c r="K660" s="1" t="s">
        <v>81</v>
      </c>
      <c r="L660" s="1" t="s">
        <v>66</v>
      </c>
      <c r="M660" s="1" t="s">
        <v>2090</v>
      </c>
      <c r="N660">
        <v>412985.43</v>
      </c>
      <c r="O660">
        <v>13212.19</v>
      </c>
      <c r="P660">
        <v>43356.65</v>
      </c>
      <c r="Q660">
        <v>6</v>
      </c>
      <c r="R660">
        <v>25</v>
      </c>
      <c r="S660">
        <v>3.7</v>
      </c>
      <c r="T660" s="1" t="s">
        <v>34</v>
      </c>
      <c r="U660" s="1" t="s">
        <v>149</v>
      </c>
      <c r="V660" s="1" t="s">
        <v>102</v>
      </c>
      <c r="W660" s="1" t="s">
        <v>59</v>
      </c>
      <c r="X660">
        <v>469554.27</v>
      </c>
      <c r="Y660" s="1" t="s">
        <v>2079</v>
      </c>
      <c r="Z660" s="1" t="s">
        <v>2083</v>
      </c>
      <c r="AO660" t="str">
        <v>P00791</v>
      </c>
    </row>
    <row r="661" spans="1:41" x14ac:dyDescent="0.35">
      <c r="A661" s="1" t="s">
        <v>1788</v>
      </c>
      <c r="B661" s="1" t="s">
        <v>389</v>
      </c>
      <c r="C661">
        <v>32</v>
      </c>
      <c r="D661" s="1" t="s">
        <v>119</v>
      </c>
      <c r="E661" s="1" t="s">
        <v>263</v>
      </c>
      <c r="F661" s="1" t="s">
        <v>108</v>
      </c>
      <c r="G661" s="2">
        <v>45454</v>
      </c>
      <c r="H661" s="2">
        <v>45455</v>
      </c>
      <c r="I661" s="1" t="s">
        <v>159</v>
      </c>
      <c r="J661" s="1" t="s">
        <v>137</v>
      </c>
      <c r="K661" s="1" t="s">
        <v>81</v>
      </c>
      <c r="L661" s="1" t="s">
        <v>66</v>
      </c>
      <c r="M661" s="1" t="s">
        <v>2090</v>
      </c>
      <c r="N661">
        <v>18924.46</v>
      </c>
      <c r="O661">
        <v>47348.08</v>
      </c>
      <c r="P661">
        <v>66497.679999999993</v>
      </c>
      <c r="Q661">
        <v>1</v>
      </c>
      <c r="R661">
        <v>0</v>
      </c>
      <c r="S661">
        <v>5</v>
      </c>
      <c r="T661" s="1" t="s">
        <v>34</v>
      </c>
      <c r="U661" s="1" t="s">
        <v>149</v>
      </c>
      <c r="V661" s="1" t="s">
        <v>102</v>
      </c>
      <c r="W661" s="1" t="s">
        <v>59</v>
      </c>
      <c r="X661">
        <v>132770.22</v>
      </c>
      <c r="Y661" s="1" t="s">
        <v>2082</v>
      </c>
      <c r="Z661" s="1" t="s">
        <v>2083</v>
      </c>
      <c r="AO661" t="str">
        <v>P00792</v>
      </c>
    </row>
    <row r="662" spans="1:41" x14ac:dyDescent="0.35">
      <c r="A662" s="1" t="s">
        <v>1790</v>
      </c>
      <c r="B662" s="1" t="s">
        <v>188</v>
      </c>
      <c r="C662">
        <v>44</v>
      </c>
      <c r="D662" s="1" t="s">
        <v>119</v>
      </c>
      <c r="E662" s="1" t="s">
        <v>40</v>
      </c>
      <c r="F662" s="1" t="s">
        <v>145</v>
      </c>
      <c r="G662" s="2">
        <v>45588</v>
      </c>
      <c r="H662" s="2">
        <v>45606</v>
      </c>
      <c r="I662" s="1" t="s">
        <v>159</v>
      </c>
      <c r="J662" s="1" t="s">
        <v>2081</v>
      </c>
      <c r="K662" s="1" t="s">
        <v>31</v>
      </c>
      <c r="L662" s="1" t="s">
        <v>44</v>
      </c>
      <c r="M662" s="1" t="s">
        <v>2090</v>
      </c>
      <c r="N662">
        <v>130244</v>
      </c>
      <c r="O662">
        <v>100608.26</v>
      </c>
      <c r="P662">
        <v>5430.95</v>
      </c>
      <c r="Q662">
        <v>18</v>
      </c>
      <c r="R662">
        <v>96</v>
      </c>
      <c r="S662">
        <v>3.9</v>
      </c>
      <c r="T662" s="1" t="s">
        <v>34</v>
      </c>
      <c r="U662" s="1" t="s">
        <v>95</v>
      </c>
      <c r="V662" s="1" t="s">
        <v>102</v>
      </c>
      <c r="W662" s="1" t="s">
        <v>83</v>
      </c>
      <c r="X662">
        <v>236283.21000000002</v>
      </c>
      <c r="Y662" s="1" t="s">
        <v>2079</v>
      </c>
      <c r="Z662" s="1" t="s">
        <v>2080</v>
      </c>
      <c r="AO662" t="str">
        <v>P00793</v>
      </c>
    </row>
    <row r="663" spans="1:41" x14ac:dyDescent="0.35">
      <c r="A663" s="1" t="s">
        <v>1791</v>
      </c>
      <c r="B663" s="1" t="s">
        <v>669</v>
      </c>
      <c r="C663">
        <v>50</v>
      </c>
      <c r="D663" s="1" t="s">
        <v>25</v>
      </c>
      <c r="E663" s="1" t="s">
        <v>177</v>
      </c>
      <c r="F663" s="1" t="s">
        <v>227</v>
      </c>
      <c r="G663" s="2">
        <v>45641</v>
      </c>
      <c r="H663" s="2">
        <v>45649</v>
      </c>
      <c r="I663" s="1" t="s">
        <v>159</v>
      </c>
      <c r="J663" s="1" t="s">
        <v>87</v>
      </c>
      <c r="K663" s="1" t="s">
        <v>148</v>
      </c>
      <c r="L663" s="1" t="s">
        <v>44</v>
      </c>
      <c r="M663" s="1" t="s">
        <v>2085</v>
      </c>
      <c r="N663">
        <v>150191.25</v>
      </c>
      <c r="O663">
        <v>6220.39</v>
      </c>
      <c r="P663">
        <v>34745.35</v>
      </c>
      <c r="Q663">
        <v>8</v>
      </c>
      <c r="R663">
        <v>19</v>
      </c>
      <c r="S663">
        <v>3.8</v>
      </c>
      <c r="T663" s="1" t="s">
        <v>34</v>
      </c>
      <c r="U663" s="1" t="s">
        <v>101</v>
      </c>
      <c r="V663" s="1" t="s">
        <v>130</v>
      </c>
      <c r="W663" s="1" t="s">
        <v>83</v>
      </c>
      <c r="X663">
        <v>191156.99000000002</v>
      </c>
      <c r="Y663" s="1" t="s">
        <v>2079</v>
      </c>
      <c r="Z663" s="1" t="s">
        <v>2083</v>
      </c>
      <c r="AO663" t="str">
        <v>P00794</v>
      </c>
    </row>
    <row r="664" spans="1:41" x14ac:dyDescent="0.35">
      <c r="A664" s="1" t="s">
        <v>1793</v>
      </c>
      <c r="B664" s="1" t="s">
        <v>1548</v>
      </c>
      <c r="C664">
        <v>10</v>
      </c>
      <c r="D664" s="1" t="s">
        <v>119</v>
      </c>
      <c r="E664" s="1" t="s">
        <v>2084</v>
      </c>
      <c r="F664" s="1" t="s">
        <v>193</v>
      </c>
      <c r="G664" s="2">
        <v>46097</v>
      </c>
      <c r="H664" s="2">
        <v>46099</v>
      </c>
      <c r="I664" s="1" t="s">
        <v>235</v>
      </c>
      <c r="J664" s="1" t="s">
        <v>87</v>
      </c>
      <c r="K664" s="1" t="s">
        <v>31</v>
      </c>
      <c r="L664" s="1" t="s">
        <v>32</v>
      </c>
      <c r="M664" s="1" t="s">
        <v>2085</v>
      </c>
      <c r="N664">
        <v>395720.41</v>
      </c>
      <c r="O664">
        <v>17558.189999999999</v>
      </c>
      <c r="P664">
        <v>6955.9</v>
      </c>
      <c r="Q664">
        <v>0</v>
      </c>
      <c r="R664">
        <v>82</v>
      </c>
      <c r="S664">
        <v>3.8</v>
      </c>
      <c r="T664" s="1" t="s">
        <v>46</v>
      </c>
      <c r="U664" s="1" t="s">
        <v>101</v>
      </c>
      <c r="V664" s="1" t="s">
        <v>130</v>
      </c>
      <c r="W664" s="1" t="s">
        <v>59</v>
      </c>
      <c r="X664">
        <v>420234.5</v>
      </c>
      <c r="Y664" s="1" t="s">
        <v>2093</v>
      </c>
      <c r="Z664" s="1" t="s">
        <v>2080</v>
      </c>
      <c r="AO664" t="str">
        <v>P00795</v>
      </c>
    </row>
    <row r="665" spans="1:41" x14ac:dyDescent="0.35">
      <c r="A665" s="1" t="s">
        <v>1795</v>
      </c>
      <c r="B665" s="1" t="s">
        <v>1037</v>
      </c>
      <c r="C665">
        <v>50</v>
      </c>
      <c r="D665" s="1" t="s">
        <v>25</v>
      </c>
      <c r="E665" s="1" t="s">
        <v>86</v>
      </c>
      <c r="F665" s="1" t="s">
        <v>145</v>
      </c>
      <c r="G665" s="2">
        <v>45443</v>
      </c>
      <c r="H665" s="2">
        <v>45444</v>
      </c>
      <c r="I665" s="1" t="s">
        <v>235</v>
      </c>
      <c r="J665" s="1" t="s">
        <v>137</v>
      </c>
      <c r="K665" s="1" t="s">
        <v>81</v>
      </c>
      <c r="L665" s="1" t="s">
        <v>32</v>
      </c>
      <c r="M665" s="1" t="s">
        <v>2087</v>
      </c>
      <c r="N665">
        <v>73397.94</v>
      </c>
      <c r="O665">
        <v>72775.72</v>
      </c>
      <c r="P665">
        <v>60718.82</v>
      </c>
      <c r="Q665">
        <v>1</v>
      </c>
      <c r="R665">
        <v>65</v>
      </c>
      <c r="S665">
        <v>2.7</v>
      </c>
      <c r="T665" s="1" t="s">
        <v>34</v>
      </c>
      <c r="U665" s="1" t="s">
        <v>101</v>
      </c>
      <c r="V665" s="1" t="s">
        <v>130</v>
      </c>
      <c r="W665" s="1" t="s">
        <v>59</v>
      </c>
      <c r="X665">
        <v>206892.48</v>
      </c>
      <c r="Y665" s="1" t="s">
        <v>2079</v>
      </c>
      <c r="Z665" s="1" t="s">
        <v>2080</v>
      </c>
      <c r="AO665" t="str">
        <v>P00798</v>
      </c>
    </row>
    <row r="666" spans="1:41" x14ac:dyDescent="0.35">
      <c r="A666" s="1" t="s">
        <v>1796</v>
      </c>
      <c r="B666" s="1" t="s">
        <v>1111</v>
      </c>
      <c r="C666">
        <v>56</v>
      </c>
      <c r="D666" s="1" t="s">
        <v>25</v>
      </c>
      <c r="E666" s="1" t="s">
        <v>86</v>
      </c>
      <c r="F666" s="1" t="s">
        <v>145</v>
      </c>
      <c r="G666" s="2">
        <v>45627</v>
      </c>
      <c r="H666" s="2">
        <v>45629</v>
      </c>
      <c r="I666" s="1" t="s">
        <v>277</v>
      </c>
      <c r="J666" s="1" t="s">
        <v>2081</v>
      </c>
      <c r="K666" s="1" t="s">
        <v>153</v>
      </c>
      <c r="L666" s="1" t="s">
        <v>66</v>
      </c>
      <c r="M666" s="1" t="s">
        <v>2090</v>
      </c>
      <c r="N666">
        <v>216430.82</v>
      </c>
      <c r="O666">
        <v>24571.03</v>
      </c>
      <c r="P666">
        <v>46751.11</v>
      </c>
      <c r="Q666">
        <v>2</v>
      </c>
      <c r="R666">
        <v>49</v>
      </c>
      <c r="S666">
        <v>3.3</v>
      </c>
      <c r="T666" s="1" t="s">
        <v>34</v>
      </c>
      <c r="U666" s="1" t="s">
        <v>101</v>
      </c>
      <c r="V666" s="1" t="s">
        <v>130</v>
      </c>
      <c r="W666" s="1" t="s">
        <v>131</v>
      </c>
      <c r="X666">
        <v>287752.96000000002</v>
      </c>
      <c r="Y666" s="1" t="s">
        <v>2079</v>
      </c>
      <c r="Z666" s="1" t="s">
        <v>2091</v>
      </c>
      <c r="AO666" t="str">
        <v>P00800</v>
      </c>
    </row>
    <row r="667" spans="1:41" x14ac:dyDescent="0.35">
      <c r="A667" s="1" t="s">
        <v>1797</v>
      </c>
      <c r="B667" s="1" t="s">
        <v>218</v>
      </c>
      <c r="C667">
        <v>64</v>
      </c>
      <c r="D667" s="1" t="s">
        <v>119</v>
      </c>
      <c r="E667" s="1" t="s">
        <v>26</v>
      </c>
      <c r="F667" s="1" t="s">
        <v>63</v>
      </c>
      <c r="G667" s="2">
        <v>45677</v>
      </c>
      <c r="H667" s="2">
        <v>45678</v>
      </c>
      <c r="I667" s="1" t="s">
        <v>29</v>
      </c>
      <c r="J667" s="1" t="s">
        <v>30</v>
      </c>
      <c r="K667" s="1" t="s">
        <v>163</v>
      </c>
      <c r="L667" s="1" t="s">
        <v>66</v>
      </c>
      <c r="M667" s="1" t="s">
        <v>2089</v>
      </c>
      <c r="N667">
        <v>261831.69</v>
      </c>
      <c r="O667">
        <v>10663.6</v>
      </c>
      <c r="P667">
        <v>101962.05</v>
      </c>
      <c r="Q667">
        <v>1</v>
      </c>
      <c r="R667">
        <v>101</v>
      </c>
      <c r="S667">
        <v>2.4</v>
      </c>
      <c r="T667" s="1" t="s">
        <v>46</v>
      </c>
      <c r="U667" s="1" t="s">
        <v>101</v>
      </c>
      <c r="V667" s="1" t="s">
        <v>75</v>
      </c>
      <c r="W667" s="1" t="s">
        <v>83</v>
      </c>
      <c r="X667">
        <v>374457.33999999997</v>
      </c>
      <c r="Y667" s="1" t="s">
        <v>2088</v>
      </c>
      <c r="Z667" s="1" t="s">
        <v>2080</v>
      </c>
      <c r="AO667" t="str">
        <v>P00801</v>
      </c>
    </row>
    <row r="668" spans="1:41" x14ac:dyDescent="0.35">
      <c r="A668" s="1" t="s">
        <v>1799</v>
      </c>
      <c r="B668" s="1" t="s">
        <v>697</v>
      </c>
      <c r="C668">
        <v>51</v>
      </c>
      <c r="D668" s="1" t="s">
        <v>119</v>
      </c>
      <c r="E668" s="1" t="s">
        <v>86</v>
      </c>
      <c r="F668" s="1" t="s">
        <v>63</v>
      </c>
      <c r="G668" s="2">
        <v>45402</v>
      </c>
      <c r="H668" s="2">
        <v>45407</v>
      </c>
      <c r="I668" s="1" t="s">
        <v>159</v>
      </c>
      <c r="J668" s="1" t="s">
        <v>87</v>
      </c>
      <c r="K668" s="1" t="s">
        <v>81</v>
      </c>
      <c r="L668" s="1" t="s">
        <v>44</v>
      </c>
      <c r="M668" s="1" t="s">
        <v>2087</v>
      </c>
      <c r="N668">
        <v>275241.2</v>
      </c>
      <c r="O668">
        <v>19356.11</v>
      </c>
      <c r="P668">
        <v>58514.87</v>
      </c>
      <c r="Q668">
        <v>5</v>
      </c>
      <c r="R668">
        <v>75</v>
      </c>
      <c r="S668">
        <v>4.4000000000000004</v>
      </c>
      <c r="T668" s="1" t="s">
        <v>34</v>
      </c>
      <c r="U668" s="1" t="s">
        <v>149</v>
      </c>
      <c r="V668" s="1" t="s">
        <v>102</v>
      </c>
      <c r="W668" s="1" t="s">
        <v>36</v>
      </c>
      <c r="X668">
        <v>353112.18</v>
      </c>
      <c r="Y668" s="1" t="s">
        <v>2079</v>
      </c>
      <c r="Z668" s="1" t="s">
        <v>2080</v>
      </c>
      <c r="AO668" t="str">
        <v>P00803</v>
      </c>
    </row>
    <row r="669" spans="1:41" x14ac:dyDescent="0.35">
      <c r="A669" s="1" t="s">
        <v>1801</v>
      </c>
      <c r="B669" s="1" t="s">
        <v>470</v>
      </c>
      <c r="C669">
        <v>37</v>
      </c>
      <c r="D669" s="1" t="s">
        <v>25</v>
      </c>
      <c r="E669" s="1" t="s">
        <v>177</v>
      </c>
      <c r="F669" s="1" t="s">
        <v>135</v>
      </c>
      <c r="G669" s="2">
        <v>45357</v>
      </c>
      <c r="H669" s="2">
        <v>45358</v>
      </c>
      <c r="I669" s="1" t="s">
        <v>127</v>
      </c>
      <c r="J669" s="1" t="s">
        <v>54</v>
      </c>
      <c r="K669" s="1" t="s">
        <v>163</v>
      </c>
      <c r="L669" s="1" t="s">
        <v>66</v>
      </c>
      <c r="M669" s="1" t="s">
        <v>2092</v>
      </c>
      <c r="N669">
        <v>239020.32</v>
      </c>
      <c r="O669">
        <v>28687.37</v>
      </c>
      <c r="P669">
        <v>40653.64</v>
      </c>
      <c r="Q669">
        <v>1</v>
      </c>
      <c r="R669">
        <v>98</v>
      </c>
      <c r="S669">
        <v>5</v>
      </c>
      <c r="T669" s="1" t="s">
        <v>34</v>
      </c>
      <c r="U669" s="1" t="s">
        <v>35</v>
      </c>
      <c r="V669" s="1" t="s">
        <v>102</v>
      </c>
      <c r="W669" s="1" t="s">
        <v>83</v>
      </c>
      <c r="X669">
        <v>308361.33</v>
      </c>
      <c r="Y669" s="1" t="s">
        <v>2079</v>
      </c>
      <c r="Z669" s="1" t="s">
        <v>2080</v>
      </c>
      <c r="AO669" t="str">
        <v>P00804</v>
      </c>
    </row>
    <row r="670" spans="1:41" x14ac:dyDescent="0.35">
      <c r="A670" s="1" t="s">
        <v>1802</v>
      </c>
      <c r="B670" s="1" t="s">
        <v>821</v>
      </c>
      <c r="C670">
        <v>30</v>
      </c>
      <c r="D670" s="1" t="s">
        <v>25</v>
      </c>
      <c r="E670" s="1" t="s">
        <v>177</v>
      </c>
      <c r="F670" s="1" t="s">
        <v>145</v>
      </c>
      <c r="G670" s="2">
        <v>45949</v>
      </c>
      <c r="H670" s="2">
        <v>45951</v>
      </c>
      <c r="I670" s="1" t="s">
        <v>221</v>
      </c>
      <c r="J670" s="1" t="s">
        <v>54</v>
      </c>
      <c r="K670" s="1" t="s">
        <v>31</v>
      </c>
      <c r="L670" s="1" t="s">
        <v>44</v>
      </c>
      <c r="M670" s="1" t="s">
        <v>2078</v>
      </c>
      <c r="N670">
        <v>180642.43</v>
      </c>
      <c r="O670">
        <v>44483.67</v>
      </c>
      <c r="P670">
        <v>87360.81</v>
      </c>
      <c r="Q670">
        <v>2</v>
      </c>
      <c r="R670">
        <v>47</v>
      </c>
      <c r="S670">
        <v>1.9</v>
      </c>
      <c r="T670" s="1" t="s">
        <v>34</v>
      </c>
      <c r="U670" s="1" t="s">
        <v>95</v>
      </c>
      <c r="V670" s="1" t="s">
        <v>130</v>
      </c>
      <c r="W670" s="1" t="s">
        <v>59</v>
      </c>
      <c r="X670">
        <v>312486.90999999997</v>
      </c>
      <c r="Y670" s="1" t="s">
        <v>2082</v>
      </c>
      <c r="Z670" s="1" t="s">
        <v>2091</v>
      </c>
      <c r="AO670" t="str">
        <v>P00805</v>
      </c>
    </row>
    <row r="671" spans="1:41" x14ac:dyDescent="0.35">
      <c r="A671" s="1" t="s">
        <v>1804</v>
      </c>
      <c r="B671" s="1" t="s">
        <v>871</v>
      </c>
      <c r="C671">
        <v>21</v>
      </c>
      <c r="D671" s="1" t="s">
        <v>25</v>
      </c>
      <c r="E671" s="1" t="s">
        <v>177</v>
      </c>
      <c r="F671" s="1" t="s">
        <v>145</v>
      </c>
      <c r="G671" s="2">
        <v>45516</v>
      </c>
      <c r="H671" s="2">
        <v>45520</v>
      </c>
      <c r="I671" s="1" t="s">
        <v>277</v>
      </c>
      <c r="J671" s="1" t="s">
        <v>54</v>
      </c>
      <c r="K671" s="1" t="s">
        <v>122</v>
      </c>
      <c r="L671" s="1" t="s">
        <v>66</v>
      </c>
      <c r="M671" s="1" t="s">
        <v>2086</v>
      </c>
      <c r="N671">
        <v>222858.4</v>
      </c>
      <c r="O671">
        <v>0</v>
      </c>
      <c r="P671">
        <v>0</v>
      </c>
      <c r="Q671">
        <v>4</v>
      </c>
      <c r="R671">
        <v>122</v>
      </c>
      <c r="S671">
        <v>1.9</v>
      </c>
      <c r="T671" s="1" t="s">
        <v>34</v>
      </c>
      <c r="U671" s="1" t="s">
        <v>95</v>
      </c>
      <c r="V671" s="1" t="s">
        <v>130</v>
      </c>
      <c r="W671" s="1" t="s">
        <v>59</v>
      </c>
      <c r="X671">
        <v>222858.4</v>
      </c>
      <c r="Y671" s="1" t="s">
        <v>2082</v>
      </c>
      <c r="Z671" s="1" t="s">
        <v>2080</v>
      </c>
      <c r="AO671" t="str">
        <v>P00806</v>
      </c>
    </row>
    <row r="672" spans="1:41" x14ac:dyDescent="0.35">
      <c r="A672" s="1" t="s">
        <v>1810</v>
      </c>
      <c r="B672" s="1" t="s">
        <v>1560</v>
      </c>
      <c r="C672">
        <v>21</v>
      </c>
      <c r="D672" s="1" t="s">
        <v>25</v>
      </c>
      <c r="E672" s="1" t="s">
        <v>192</v>
      </c>
      <c r="F672" s="1" t="s">
        <v>120</v>
      </c>
      <c r="G672" s="2">
        <v>45707</v>
      </c>
      <c r="H672" s="2">
        <v>45711</v>
      </c>
      <c r="I672" s="1" t="s">
        <v>53</v>
      </c>
      <c r="J672" s="1" t="s">
        <v>115</v>
      </c>
      <c r="K672" s="1" t="s">
        <v>148</v>
      </c>
      <c r="L672" s="1" t="s">
        <v>44</v>
      </c>
      <c r="M672" s="1" t="s">
        <v>2078</v>
      </c>
      <c r="N672">
        <v>23325.63</v>
      </c>
      <c r="O672">
        <v>32680.2</v>
      </c>
      <c r="P672">
        <v>35434.61</v>
      </c>
      <c r="Q672">
        <v>4</v>
      </c>
      <c r="R672">
        <v>141</v>
      </c>
      <c r="S672">
        <v>3.6</v>
      </c>
      <c r="T672" s="1" t="s">
        <v>34</v>
      </c>
      <c r="U672" s="1" t="s">
        <v>101</v>
      </c>
      <c r="V672" s="1" t="s">
        <v>130</v>
      </c>
      <c r="W672" s="1" t="s">
        <v>12</v>
      </c>
      <c r="X672">
        <v>91440.44</v>
      </c>
      <c r="Y672" s="1" t="s">
        <v>2082</v>
      </c>
      <c r="Z672" s="1" t="s">
        <v>2080</v>
      </c>
      <c r="AO672" t="str">
        <v>P00807</v>
      </c>
    </row>
    <row r="673" spans="1:41" x14ac:dyDescent="0.35">
      <c r="A673" s="1" t="s">
        <v>1812</v>
      </c>
      <c r="B673" s="1" t="s">
        <v>125</v>
      </c>
      <c r="C673">
        <v>7</v>
      </c>
      <c r="D673" s="1" t="s">
        <v>119</v>
      </c>
      <c r="E673" s="1" t="s">
        <v>112</v>
      </c>
      <c r="F673" s="1" t="s">
        <v>145</v>
      </c>
      <c r="G673" s="2">
        <v>45527</v>
      </c>
      <c r="H673" s="2">
        <v>45530</v>
      </c>
      <c r="I673" s="1" t="s">
        <v>273</v>
      </c>
      <c r="J673" s="1" t="s">
        <v>2081</v>
      </c>
      <c r="K673" s="1" t="s">
        <v>148</v>
      </c>
      <c r="L673" s="1" t="s">
        <v>32</v>
      </c>
      <c r="M673" s="1" t="s">
        <v>2078</v>
      </c>
      <c r="N673">
        <v>484381.17</v>
      </c>
      <c r="O673">
        <v>25893.95</v>
      </c>
      <c r="P673">
        <v>65927.61</v>
      </c>
      <c r="Q673">
        <v>3</v>
      </c>
      <c r="R673">
        <v>32</v>
      </c>
      <c r="S673">
        <v>4.0999999999999996</v>
      </c>
      <c r="T673" s="1" t="s">
        <v>34</v>
      </c>
      <c r="U673" s="1" t="s">
        <v>35</v>
      </c>
      <c r="V673" s="1" t="s">
        <v>130</v>
      </c>
      <c r="W673" s="1" t="s">
        <v>12</v>
      </c>
      <c r="X673">
        <v>576202.73</v>
      </c>
      <c r="Y673" s="1" t="s">
        <v>2093</v>
      </c>
      <c r="Z673" s="1" t="s">
        <v>2091</v>
      </c>
      <c r="AO673" t="str">
        <v>P00808</v>
      </c>
    </row>
    <row r="674" spans="1:41" x14ac:dyDescent="0.35">
      <c r="A674" s="1" t="s">
        <v>1813</v>
      </c>
      <c r="B674" s="1" t="s">
        <v>459</v>
      </c>
      <c r="C674">
        <v>52</v>
      </c>
      <c r="D674" s="1" t="s">
        <v>25</v>
      </c>
      <c r="E674" s="1" t="s">
        <v>107</v>
      </c>
      <c r="F674" s="1" t="s">
        <v>120</v>
      </c>
      <c r="G674" s="2">
        <v>45795</v>
      </c>
      <c r="H674" s="2">
        <v>45796</v>
      </c>
      <c r="I674" s="1" t="s">
        <v>257</v>
      </c>
      <c r="J674" s="1" t="s">
        <v>87</v>
      </c>
      <c r="K674" s="1" t="s">
        <v>81</v>
      </c>
      <c r="L674" s="1" t="s">
        <v>44</v>
      </c>
      <c r="M674" s="1" t="s">
        <v>2089</v>
      </c>
      <c r="N674">
        <v>170163.63</v>
      </c>
      <c r="O674">
        <v>30729.759999999998</v>
      </c>
      <c r="P674">
        <v>65939.22</v>
      </c>
      <c r="Q674">
        <v>1</v>
      </c>
      <c r="R674">
        <v>2</v>
      </c>
      <c r="S674">
        <v>2.8</v>
      </c>
      <c r="T674" s="1" t="s">
        <v>34</v>
      </c>
      <c r="U674" s="1" t="s">
        <v>95</v>
      </c>
      <c r="V674" s="1" t="s">
        <v>130</v>
      </c>
      <c r="W674" s="1" t="s">
        <v>36</v>
      </c>
      <c r="X674">
        <v>266832.61</v>
      </c>
      <c r="Y674" s="1" t="s">
        <v>2079</v>
      </c>
      <c r="Z674" s="1" t="s">
        <v>2083</v>
      </c>
      <c r="AO674" t="str">
        <v>P00809</v>
      </c>
    </row>
    <row r="675" spans="1:41" x14ac:dyDescent="0.35">
      <c r="A675" s="1" t="s">
        <v>1814</v>
      </c>
      <c r="B675" s="1" t="s">
        <v>1100</v>
      </c>
      <c r="C675">
        <v>89</v>
      </c>
      <c r="D675" s="1" t="s">
        <v>25</v>
      </c>
      <c r="E675" s="1" t="s">
        <v>112</v>
      </c>
      <c r="F675" s="1" t="s">
        <v>87</v>
      </c>
      <c r="G675" s="2">
        <v>45668</v>
      </c>
      <c r="H675" s="2">
        <v>45672</v>
      </c>
      <c r="I675" s="1" t="s">
        <v>173</v>
      </c>
      <c r="J675" s="1" t="s">
        <v>87</v>
      </c>
      <c r="K675" s="1" t="s">
        <v>153</v>
      </c>
      <c r="L675" s="1" t="s">
        <v>44</v>
      </c>
      <c r="M675" s="1" t="s">
        <v>2092</v>
      </c>
      <c r="N675">
        <v>200668.47</v>
      </c>
      <c r="O675">
        <v>44778.400000000001</v>
      </c>
      <c r="P675">
        <v>41790.86</v>
      </c>
      <c r="Q675">
        <v>4</v>
      </c>
      <c r="R675">
        <v>240</v>
      </c>
      <c r="S675">
        <v>1.4</v>
      </c>
      <c r="T675" s="1" t="s">
        <v>34</v>
      </c>
      <c r="U675" s="1" t="s">
        <v>95</v>
      </c>
      <c r="V675" s="1" t="s">
        <v>130</v>
      </c>
      <c r="W675" s="1" t="s">
        <v>131</v>
      </c>
      <c r="X675">
        <v>287237.73</v>
      </c>
      <c r="Y675" s="1" t="s">
        <v>2088</v>
      </c>
      <c r="Z675" s="1" t="s">
        <v>2080</v>
      </c>
      <c r="AO675" t="str">
        <v>P00810</v>
      </c>
    </row>
    <row r="676" spans="1:41" x14ac:dyDescent="0.35">
      <c r="A676" s="1" t="s">
        <v>1816</v>
      </c>
      <c r="B676" s="1" t="s">
        <v>1548</v>
      </c>
      <c r="C676">
        <v>7</v>
      </c>
      <c r="D676" s="1" t="s">
        <v>119</v>
      </c>
      <c r="E676" s="1" t="s">
        <v>112</v>
      </c>
      <c r="F676" s="1" t="s">
        <v>135</v>
      </c>
      <c r="G676" s="2">
        <v>45415</v>
      </c>
      <c r="H676" s="2">
        <v>45418</v>
      </c>
      <c r="I676" s="1" t="s">
        <v>273</v>
      </c>
      <c r="J676" s="1" t="s">
        <v>87</v>
      </c>
      <c r="K676" s="1" t="s">
        <v>55</v>
      </c>
      <c r="L676" s="1" t="s">
        <v>44</v>
      </c>
      <c r="M676" s="1" t="s">
        <v>2092</v>
      </c>
      <c r="N676">
        <v>0</v>
      </c>
      <c r="O676">
        <v>37436.550000000003</v>
      </c>
      <c r="P676">
        <v>49184.93</v>
      </c>
      <c r="Q676">
        <v>3</v>
      </c>
      <c r="R676">
        <v>73</v>
      </c>
      <c r="S676">
        <v>3.6</v>
      </c>
      <c r="T676" s="1" t="s">
        <v>34</v>
      </c>
      <c r="U676" s="1" t="s">
        <v>95</v>
      </c>
      <c r="V676" s="1" t="s">
        <v>75</v>
      </c>
      <c r="W676" s="1" t="s">
        <v>36</v>
      </c>
      <c r="X676">
        <v>86621.48000000001</v>
      </c>
      <c r="Y676" s="1" t="s">
        <v>2093</v>
      </c>
      <c r="Z676" s="1" t="s">
        <v>2080</v>
      </c>
      <c r="AO676" t="str">
        <v>P00811</v>
      </c>
    </row>
    <row r="677" spans="1:41" x14ac:dyDescent="0.35">
      <c r="A677" s="1" t="s">
        <v>1818</v>
      </c>
      <c r="B677" s="1" t="s">
        <v>564</v>
      </c>
      <c r="C677">
        <v>37</v>
      </c>
      <c r="D677" s="1" t="s">
        <v>119</v>
      </c>
      <c r="E677" s="1" t="s">
        <v>51</v>
      </c>
      <c r="F677" s="1" t="s">
        <v>41</v>
      </c>
      <c r="G677" s="2">
        <v>45678</v>
      </c>
      <c r="H677" s="2">
        <v>45705</v>
      </c>
      <c r="I677" s="1" t="s">
        <v>273</v>
      </c>
      <c r="J677" s="1" t="s">
        <v>87</v>
      </c>
      <c r="K677" s="1" t="s">
        <v>91</v>
      </c>
      <c r="L677" s="1" t="s">
        <v>44</v>
      </c>
      <c r="M677" s="1" t="s">
        <v>2078</v>
      </c>
      <c r="N677">
        <v>291417.40999999997</v>
      </c>
      <c r="O677">
        <v>13765.88</v>
      </c>
      <c r="P677">
        <v>53856.98</v>
      </c>
      <c r="Q677">
        <v>27</v>
      </c>
      <c r="R677">
        <v>77</v>
      </c>
      <c r="S677">
        <v>3.2</v>
      </c>
      <c r="T677" s="1" t="s">
        <v>34</v>
      </c>
      <c r="U677" s="1" t="s">
        <v>95</v>
      </c>
      <c r="V677" s="1" t="s">
        <v>75</v>
      </c>
      <c r="W677" s="1" t="s">
        <v>12</v>
      </c>
      <c r="X677">
        <v>359040.26999999996</v>
      </c>
      <c r="Y677" s="1" t="s">
        <v>2079</v>
      </c>
      <c r="Z677" s="1" t="s">
        <v>2080</v>
      </c>
      <c r="AO677" t="str">
        <v>P00812</v>
      </c>
    </row>
    <row r="678" spans="1:41" x14ac:dyDescent="0.35">
      <c r="A678" s="1" t="s">
        <v>1820</v>
      </c>
      <c r="B678" s="1" t="s">
        <v>634</v>
      </c>
      <c r="C678">
        <v>68</v>
      </c>
      <c r="D678" s="1" t="s">
        <v>25</v>
      </c>
      <c r="E678" s="1" t="s">
        <v>40</v>
      </c>
      <c r="F678" s="1" t="s">
        <v>227</v>
      </c>
      <c r="G678" s="2">
        <v>46184</v>
      </c>
      <c r="H678" s="2">
        <v>46195</v>
      </c>
      <c r="I678" s="1" t="s">
        <v>53</v>
      </c>
      <c r="J678" s="1" t="s">
        <v>2081</v>
      </c>
      <c r="K678" s="1" t="s">
        <v>148</v>
      </c>
      <c r="L678" s="1" t="s">
        <v>44</v>
      </c>
      <c r="M678" s="1" t="s">
        <v>2089</v>
      </c>
      <c r="N678">
        <v>239144.53</v>
      </c>
      <c r="O678">
        <v>0</v>
      </c>
      <c r="P678">
        <v>34169.72</v>
      </c>
      <c r="Q678">
        <v>11</v>
      </c>
      <c r="R678">
        <v>297</v>
      </c>
      <c r="S678">
        <v>3.4</v>
      </c>
      <c r="T678" s="1" t="s">
        <v>34</v>
      </c>
      <c r="U678" s="1" t="s">
        <v>95</v>
      </c>
      <c r="V678" s="1" t="s">
        <v>75</v>
      </c>
      <c r="W678" s="1" t="s">
        <v>59</v>
      </c>
      <c r="X678">
        <v>273314.25</v>
      </c>
      <c r="Y678" s="1" t="s">
        <v>2088</v>
      </c>
      <c r="Z678" s="1" t="s">
        <v>2080</v>
      </c>
      <c r="AO678" t="str">
        <v>P00813</v>
      </c>
    </row>
    <row r="679" spans="1:41" x14ac:dyDescent="0.35">
      <c r="A679" s="1" t="s">
        <v>1822</v>
      </c>
      <c r="B679" s="1" t="s">
        <v>644</v>
      </c>
      <c r="C679">
        <v>74</v>
      </c>
      <c r="D679" s="1" t="s">
        <v>25</v>
      </c>
      <c r="E679" s="1" t="s">
        <v>219</v>
      </c>
      <c r="F679" s="1" t="s">
        <v>227</v>
      </c>
      <c r="G679" s="2">
        <v>45459</v>
      </c>
      <c r="H679" s="2">
        <v>45465</v>
      </c>
      <c r="I679" s="1" t="s">
        <v>277</v>
      </c>
      <c r="J679" s="1" t="s">
        <v>152</v>
      </c>
      <c r="K679" s="1" t="s">
        <v>55</v>
      </c>
      <c r="L679" s="1" t="s">
        <v>44</v>
      </c>
      <c r="M679" s="1" t="s">
        <v>2085</v>
      </c>
      <c r="N679">
        <v>250654.95</v>
      </c>
      <c r="O679">
        <v>8954.4599999999991</v>
      </c>
      <c r="P679">
        <v>0</v>
      </c>
      <c r="Q679">
        <v>6</v>
      </c>
      <c r="R679">
        <v>146</v>
      </c>
      <c r="S679">
        <v>2.6</v>
      </c>
      <c r="T679" s="1" t="s">
        <v>46</v>
      </c>
      <c r="U679" s="1" t="s">
        <v>149</v>
      </c>
      <c r="V679" s="1" t="s">
        <v>75</v>
      </c>
      <c r="W679" s="1" t="s">
        <v>83</v>
      </c>
      <c r="X679">
        <v>259609.41</v>
      </c>
      <c r="Y679" s="1" t="s">
        <v>2088</v>
      </c>
      <c r="Z679" s="1" t="s">
        <v>2080</v>
      </c>
      <c r="AO679" t="str">
        <v>P00814</v>
      </c>
    </row>
    <row r="680" spans="1:41" x14ac:dyDescent="0.35">
      <c r="A680" s="1" t="s">
        <v>1824</v>
      </c>
      <c r="B680" s="1" t="s">
        <v>1737</v>
      </c>
      <c r="C680">
        <v>15</v>
      </c>
      <c r="D680" s="1" t="s">
        <v>25</v>
      </c>
      <c r="E680" s="1" t="s">
        <v>219</v>
      </c>
      <c r="F680" s="1" t="s">
        <v>87</v>
      </c>
      <c r="G680" s="2">
        <v>45847</v>
      </c>
      <c r="H680" s="2">
        <v>45850</v>
      </c>
      <c r="I680" s="1" t="s">
        <v>221</v>
      </c>
      <c r="J680" s="1" t="s">
        <v>90</v>
      </c>
      <c r="K680" s="1" t="s">
        <v>153</v>
      </c>
      <c r="L680" s="1" t="s">
        <v>32</v>
      </c>
      <c r="M680" s="1" t="s">
        <v>2085</v>
      </c>
      <c r="N680">
        <v>182866.74</v>
      </c>
      <c r="O680">
        <v>30842.98</v>
      </c>
      <c r="P680">
        <v>53057.81</v>
      </c>
      <c r="Q680">
        <v>3</v>
      </c>
      <c r="R680">
        <v>11</v>
      </c>
      <c r="S680">
        <v>5</v>
      </c>
      <c r="T680" s="1" t="s">
        <v>46</v>
      </c>
      <c r="U680" s="1" t="s">
        <v>149</v>
      </c>
      <c r="V680" s="1" t="s">
        <v>75</v>
      </c>
      <c r="W680" s="1" t="s">
        <v>83</v>
      </c>
      <c r="X680">
        <v>266767.53000000003</v>
      </c>
      <c r="Y680" s="1" t="s">
        <v>2093</v>
      </c>
      <c r="Z680" s="1" t="s">
        <v>2083</v>
      </c>
      <c r="AO680" t="str">
        <v>P00815</v>
      </c>
    </row>
    <row r="681" spans="1:41" x14ac:dyDescent="0.35">
      <c r="A681" s="1" t="s">
        <v>1826</v>
      </c>
      <c r="B681" s="1" t="s">
        <v>821</v>
      </c>
      <c r="C681">
        <v>6</v>
      </c>
      <c r="D681" s="1" t="s">
        <v>25</v>
      </c>
      <c r="E681" s="1" t="s">
        <v>192</v>
      </c>
      <c r="F681" s="1" t="s">
        <v>87</v>
      </c>
      <c r="G681" s="2">
        <v>45905</v>
      </c>
      <c r="H681" s="2">
        <v>45907</v>
      </c>
      <c r="I681" s="1" t="s">
        <v>277</v>
      </c>
      <c r="J681" s="1" t="s">
        <v>90</v>
      </c>
      <c r="K681" s="1" t="s">
        <v>55</v>
      </c>
      <c r="L681" s="1" t="s">
        <v>32</v>
      </c>
      <c r="M681" s="1" t="s">
        <v>2089</v>
      </c>
      <c r="N681">
        <v>204736.72</v>
      </c>
      <c r="O681">
        <v>30859.38</v>
      </c>
      <c r="P681">
        <v>49817.68</v>
      </c>
      <c r="Q681">
        <v>2</v>
      </c>
      <c r="R681">
        <v>197</v>
      </c>
      <c r="S681">
        <v>3.4</v>
      </c>
      <c r="T681" s="1" t="s">
        <v>46</v>
      </c>
      <c r="U681" s="1" t="s">
        <v>35</v>
      </c>
      <c r="V681" s="1" t="s">
        <v>75</v>
      </c>
      <c r="W681" s="1" t="s">
        <v>131</v>
      </c>
      <c r="X681">
        <v>285413.78000000003</v>
      </c>
      <c r="Y681" s="1" t="s">
        <v>2093</v>
      </c>
      <c r="Z681" s="1" t="s">
        <v>2080</v>
      </c>
      <c r="AO681" t="str">
        <v>P00816</v>
      </c>
    </row>
    <row r="682" spans="1:41" x14ac:dyDescent="0.35">
      <c r="A682" s="1" t="s">
        <v>1835</v>
      </c>
      <c r="B682" s="1" t="s">
        <v>787</v>
      </c>
      <c r="C682">
        <v>70</v>
      </c>
      <c r="D682" s="1" t="s">
        <v>25</v>
      </c>
      <c r="E682" s="1" t="s">
        <v>26</v>
      </c>
      <c r="F682" s="1" t="s">
        <v>227</v>
      </c>
      <c r="G682" s="2">
        <v>45843</v>
      </c>
      <c r="H682" s="2">
        <v>45845</v>
      </c>
      <c r="I682" s="1" t="s">
        <v>173</v>
      </c>
      <c r="J682" s="1" t="s">
        <v>141</v>
      </c>
      <c r="K682" s="1" t="s">
        <v>91</v>
      </c>
      <c r="L682" s="1" t="s">
        <v>44</v>
      </c>
      <c r="M682" s="1" t="s">
        <v>2086</v>
      </c>
      <c r="N682">
        <v>391924.23</v>
      </c>
      <c r="O682">
        <v>21629.93</v>
      </c>
      <c r="P682">
        <v>0</v>
      </c>
      <c r="Q682">
        <v>2</v>
      </c>
      <c r="R682">
        <v>52</v>
      </c>
      <c r="S682">
        <v>2.9</v>
      </c>
      <c r="T682" s="1" t="s">
        <v>34</v>
      </c>
      <c r="U682" s="1" t="s">
        <v>95</v>
      </c>
      <c r="V682" s="1" t="s">
        <v>75</v>
      </c>
      <c r="W682" s="1" t="s">
        <v>36</v>
      </c>
      <c r="X682">
        <v>413554.16</v>
      </c>
      <c r="Y682" s="1" t="s">
        <v>2088</v>
      </c>
      <c r="Z682" s="1" t="s">
        <v>2091</v>
      </c>
      <c r="AO682" t="str">
        <v>P00817</v>
      </c>
    </row>
    <row r="683" spans="1:41" x14ac:dyDescent="0.35">
      <c r="A683" s="1" t="s">
        <v>1836</v>
      </c>
      <c r="B683" s="1" t="s">
        <v>1837</v>
      </c>
      <c r="C683">
        <v>27</v>
      </c>
      <c r="D683" s="1" t="s">
        <v>25</v>
      </c>
      <c r="E683" s="1" t="s">
        <v>2084</v>
      </c>
      <c r="F683" s="1" t="s">
        <v>108</v>
      </c>
      <c r="G683" s="2">
        <v>45757</v>
      </c>
      <c r="H683" s="2">
        <v>45758</v>
      </c>
      <c r="I683" s="1" t="s">
        <v>173</v>
      </c>
      <c r="J683" s="1" t="s">
        <v>141</v>
      </c>
      <c r="K683" s="1" t="s">
        <v>122</v>
      </c>
      <c r="L683" s="1" t="s">
        <v>66</v>
      </c>
      <c r="M683" s="1" t="s">
        <v>2089</v>
      </c>
      <c r="N683">
        <v>128515.19</v>
      </c>
      <c r="O683">
        <v>20336.46</v>
      </c>
      <c r="P683">
        <v>25933.77</v>
      </c>
      <c r="Q683">
        <v>1</v>
      </c>
      <c r="R683">
        <v>110</v>
      </c>
      <c r="S683">
        <v>4.2</v>
      </c>
      <c r="T683" s="1" t="s">
        <v>34</v>
      </c>
      <c r="U683" s="1" t="s">
        <v>95</v>
      </c>
      <c r="V683" s="1" t="s">
        <v>130</v>
      </c>
      <c r="W683" s="1" t="s">
        <v>131</v>
      </c>
      <c r="X683">
        <v>174785.41999999998</v>
      </c>
      <c r="Y683" s="1" t="s">
        <v>2082</v>
      </c>
      <c r="Z683" s="1" t="s">
        <v>2080</v>
      </c>
      <c r="AO683" t="str">
        <v>P00819</v>
      </c>
    </row>
    <row r="684" spans="1:41" x14ac:dyDescent="0.35">
      <c r="A684" s="1" t="s">
        <v>1839</v>
      </c>
      <c r="B684" s="1" t="s">
        <v>533</v>
      </c>
      <c r="C684">
        <v>70</v>
      </c>
      <c r="D684" s="1" t="s">
        <v>25</v>
      </c>
      <c r="E684" s="1" t="s">
        <v>2084</v>
      </c>
      <c r="F684" s="1" t="s">
        <v>135</v>
      </c>
      <c r="G684" s="2">
        <v>45747</v>
      </c>
      <c r="H684" s="2">
        <v>45748</v>
      </c>
      <c r="I684" s="1" t="s">
        <v>53</v>
      </c>
      <c r="J684" s="1" t="s">
        <v>2081</v>
      </c>
      <c r="K684" s="1" t="s">
        <v>55</v>
      </c>
      <c r="L684" s="1" t="s">
        <v>32</v>
      </c>
      <c r="M684" s="1" t="s">
        <v>2086</v>
      </c>
      <c r="N684">
        <v>82791.28</v>
      </c>
      <c r="O684">
        <v>0</v>
      </c>
      <c r="P684">
        <v>56423.34</v>
      </c>
      <c r="Q684">
        <v>1</v>
      </c>
      <c r="R684">
        <v>33</v>
      </c>
      <c r="S684">
        <v>2.7</v>
      </c>
      <c r="T684" s="1" t="s">
        <v>34</v>
      </c>
      <c r="U684" s="1" t="s">
        <v>95</v>
      </c>
      <c r="V684" s="1" t="s">
        <v>75</v>
      </c>
      <c r="W684" s="1" t="s">
        <v>131</v>
      </c>
      <c r="X684">
        <v>139214.62</v>
      </c>
      <c r="Y684" s="1" t="s">
        <v>2088</v>
      </c>
      <c r="Z684" s="1" t="s">
        <v>2091</v>
      </c>
      <c r="AO684" t="str">
        <v>P00820</v>
      </c>
    </row>
    <row r="685" spans="1:41" x14ac:dyDescent="0.35">
      <c r="A685" s="1" t="s">
        <v>1841</v>
      </c>
      <c r="B685" s="1" t="s">
        <v>199</v>
      </c>
      <c r="C685">
        <v>73</v>
      </c>
      <c r="D685" s="1" t="s">
        <v>25</v>
      </c>
      <c r="E685" s="1" t="s">
        <v>26</v>
      </c>
      <c r="F685" s="1" t="s">
        <v>120</v>
      </c>
      <c r="G685" s="2">
        <v>45907</v>
      </c>
      <c r="H685" s="2">
        <v>45908</v>
      </c>
      <c r="I685" s="1" t="s">
        <v>277</v>
      </c>
      <c r="J685" s="1" t="s">
        <v>2081</v>
      </c>
      <c r="K685" s="1" t="s">
        <v>55</v>
      </c>
      <c r="L685" s="1" t="s">
        <v>32</v>
      </c>
      <c r="M685" s="1" t="s">
        <v>2090</v>
      </c>
      <c r="N685">
        <v>314121.08</v>
      </c>
      <c r="O685">
        <v>0</v>
      </c>
      <c r="P685">
        <v>636.69000000000005</v>
      </c>
      <c r="Q685">
        <v>1</v>
      </c>
      <c r="R685">
        <v>220</v>
      </c>
      <c r="S685">
        <v>2.7</v>
      </c>
      <c r="T685" s="1" t="s">
        <v>34</v>
      </c>
      <c r="U685" s="1" t="s">
        <v>101</v>
      </c>
      <c r="V685" s="1" t="s">
        <v>130</v>
      </c>
      <c r="W685" s="1" t="s">
        <v>131</v>
      </c>
      <c r="X685">
        <v>314757.77</v>
      </c>
      <c r="Y685" s="1" t="s">
        <v>2088</v>
      </c>
      <c r="Z685" s="1" t="s">
        <v>2080</v>
      </c>
      <c r="AO685" t="str">
        <v>P00821</v>
      </c>
    </row>
    <row r="686" spans="1:41" x14ac:dyDescent="0.35">
      <c r="A686" s="1" t="s">
        <v>1842</v>
      </c>
      <c r="B686" s="1" t="s">
        <v>446</v>
      </c>
      <c r="C686">
        <v>0</v>
      </c>
      <c r="D686" s="1" t="s">
        <v>25</v>
      </c>
      <c r="E686" s="1" t="s">
        <v>40</v>
      </c>
      <c r="F686" s="1" t="s">
        <v>227</v>
      </c>
      <c r="G686" s="2">
        <v>45889</v>
      </c>
      <c r="H686" s="2">
        <v>45890</v>
      </c>
      <c r="I686" s="1" t="s">
        <v>53</v>
      </c>
      <c r="J686" s="1" t="s">
        <v>2081</v>
      </c>
      <c r="K686" s="1" t="s">
        <v>55</v>
      </c>
      <c r="L686" s="1" t="s">
        <v>44</v>
      </c>
      <c r="M686" s="1" t="s">
        <v>57</v>
      </c>
      <c r="N686">
        <v>170891.05</v>
      </c>
      <c r="O686">
        <v>24307.01</v>
      </c>
      <c r="P686">
        <v>66464.789999999994</v>
      </c>
      <c r="Q686">
        <v>1</v>
      </c>
      <c r="R686">
        <v>0</v>
      </c>
      <c r="S686">
        <v>1.7</v>
      </c>
      <c r="T686" s="1" t="s">
        <v>46</v>
      </c>
      <c r="U686" s="1" t="s">
        <v>149</v>
      </c>
      <c r="V686" s="1" t="s">
        <v>102</v>
      </c>
      <c r="W686" s="1" t="s">
        <v>36</v>
      </c>
      <c r="X686">
        <v>261662.84999999998</v>
      </c>
      <c r="Y686" s="1" t="s">
        <v>2093</v>
      </c>
      <c r="Z686" s="1" t="s">
        <v>2083</v>
      </c>
      <c r="AO686" t="str">
        <v>P00824</v>
      </c>
    </row>
    <row r="687" spans="1:41" x14ac:dyDescent="0.35">
      <c r="A687" s="1" t="s">
        <v>1844</v>
      </c>
      <c r="B687" s="1" t="s">
        <v>616</v>
      </c>
      <c r="C687">
        <v>65</v>
      </c>
      <c r="D687" s="1" t="s">
        <v>25</v>
      </c>
      <c r="E687" s="1" t="s">
        <v>26</v>
      </c>
      <c r="F687" s="1" t="s">
        <v>41</v>
      </c>
      <c r="G687" s="2">
        <v>45669</v>
      </c>
      <c r="H687" s="2">
        <v>45673</v>
      </c>
      <c r="I687" s="1" t="s">
        <v>53</v>
      </c>
      <c r="J687" s="1" t="s">
        <v>2081</v>
      </c>
      <c r="K687" s="1" t="s">
        <v>128</v>
      </c>
      <c r="L687" s="1" t="s">
        <v>32</v>
      </c>
      <c r="M687" s="1" t="s">
        <v>57</v>
      </c>
      <c r="N687">
        <v>38.67</v>
      </c>
      <c r="O687">
        <v>57037.85</v>
      </c>
      <c r="P687">
        <v>46126.26</v>
      </c>
      <c r="Q687">
        <v>4</v>
      </c>
      <c r="R687">
        <v>176</v>
      </c>
      <c r="S687">
        <v>3.6</v>
      </c>
      <c r="T687" s="1" t="s">
        <v>34</v>
      </c>
      <c r="U687" s="1" t="s">
        <v>35</v>
      </c>
      <c r="V687" s="1" t="s">
        <v>75</v>
      </c>
      <c r="W687" s="1" t="s">
        <v>131</v>
      </c>
      <c r="X687">
        <v>103202.78</v>
      </c>
      <c r="Y687" s="1" t="s">
        <v>2088</v>
      </c>
      <c r="Z687" s="1" t="s">
        <v>2080</v>
      </c>
      <c r="AO687" t="str">
        <v>P00825</v>
      </c>
    </row>
    <row r="688" spans="1:41" x14ac:dyDescent="0.35">
      <c r="A688" s="1" t="s">
        <v>1845</v>
      </c>
      <c r="B688" s="1" t="s">
        <v>637</v>
      </c>
      <c r="C688">
        <v>39</v>
      </c>
      <c r="D688" s="1" t="s">
        <v>119</v>
      </c>
      <c r="E688" s="1" t="s">
        <v>192</v>
      </c>
      <c r="F688" s="1" t="s">
        <v>120</v>
      </c>
      <c r="G688" s="2">
        <v>45415</v>
      </c>
      <c r="H688" s="2">
        <v>45416</v>
      </c>
      <c r="I688" s="1" t="s">
        <v>100</v>
      </c>
      <c r="J688" s="1" t="s">
        <v>141</v>
      </c>
      <c r="K688" s="1" t="s">
        <v>31</v>
      </c>
      <c r="L688" s="1" t="s">
        <v>44</v>
      </c>
      <c r="M688" s="1" t="s">
        <v>57</v>
      </c>
      <c r="N688">
        <v>368420.13</v>
      </c>
      <c r="O688">
        <v>7656.35</v>
      </c>
      <c r="P688">
        <v>33361.050000000003</v>
      </c>
      <c r="Q688">
        <v>1</v>
      </c>
      <c r="R688">
        <v>81</v>
      </c>
      <c r="S688">
        <v>0</v>
      </c>
      <c r="T688" s="1" t="s">
        <v>34</v>
      </c>
      <c r="U688" s="1" t="s">
        <v>35</v>
      </c>
      <c r="V688" s="1" t="s">
        <v>75</v>
      </c>
      <c r="W688" s="1" t="s">
        <v>131</v>
      </c>
      <c r="X688">
        <v>409437.52999999997</v>
      </c>
      <c r="Y688" s="1" t="s">
        <v>2079</v>
      </c>
      <c r="Z688" s="1" t="s">
        <v>2080</v>
      </c>
      <c r="AO688" t="str">
        <v>P00826</v>
      </c>
    </row>
    <row r="689" spans="1:41" x14ac:dyDescent="0.35">
      <c r="A689" s="1" t="s">
        <v>1846</v>
      </c>
      <c r="B689" s="1" t="s">
        <v>275</v>
      </c>
      <c r="C689">
        <v>23</v>
      </c>
      <c r="D689" s="1" t="s">
        <v>25</v>
      </c>
      <c r="E689" s="1" t="s">
        <v>26</v>
      </c>
      <c r="F689" s="1" t="s">
        <v>227</v>
      </c>
      <c r="G689" s="2">
        <v>45428</v>
      </c>
      <c r="H689" s="2">
        <v>45438</v>
      </c>
      <c r="I689" s="1" t="s">
        <v>53</v>
      </c>
      <c r="J689" s="1" t="s">
        <v>54</v>
      </c>
      <c r="K689" s="1" t="s">
        <v>174</v>
      </c>
      <c r="L689" s="1" t="s">
        <v>44</v>
      </c>
      <c r="M689" s="1" t="s">
        <v>57</v>
      </c>
      <c r="N689">
        <v>290802.96000000002</v>
      </c>
      <c r="O689">
        <v>27832.47</v>
      </c>
      <c r="P689">
        <v>82728.570000000007</v>
      </c>
      <c r="Q689">
        <v>10</v>
      </c>
      <c r="R689">
        <v>125</v>
      </c>
      <c r="S689">
        <v>3.4</v>
      </c>
      <c r="T689" s="1" t="s">
        <v>46</v>
      </c>
      <c r="U689" s="1" t="s">
        <v>95</v>
      </c>
      <c r="V689" s="1" t="s">
        <v>130</v>
      </c>
      <c r="W689" s="1" t="s">
        <v>12</v>
      </c>
      <c r="X689">
        <v>401364.00000000006</v>
      </c>
      <c r="Y689" s="1" t="s">
        <v>2082</v>
      </c>
      <c r="Z689" s="1" t="s">
        <v>2080</v>
      </c>
      <c r="AO689" t="str">
        <v>P00827</v>
      </c>
    </row>
    <row r="690" spans="1:41" x14ac:dyDescent="0.35">
      <c r="A690" s="1" t="s">
        <v>1848</v>
      </c>
      <c r="B690" s="1" t="s">
        <v>810</v>
      </c>
      <c r="C690">
        <v>60</v>
      </c>
      <c r="D690" s="1" t="s">
        <v>25</v>
      </c>
      <c r="E690" s="1" t="s">
        <v>112</v>
      </c>
      <c r="F690" s="1" t="s">
        <v>120</v>
      </c>
      <c r="G690" s="2">
        <v>45781</v>
      </c>
      <c r="H690" s="2">
        <v>45782</v>
      </c>
      <c r="I690" s="1" t="s">
        <v>100</v>
      </c>
      <c r="J690" s="1" t="s">
        <v>115</v>
      </c>
      <c r="K690" s="1" t="s">
        <v>174</v>
      </c>
      <c r="L690" s="1" t="s">
        <v>44</v>
      </c>
      <c r="M690" s="1" t="s">
        <v>2086</v>
      </c>
      <c r="N690">
        <v>0</v>
      </c>
      <c r="O690">
        <v>46147.26</v>
      </c>
      <c r="P690">
        <v>12028.66</v>
      </c>
      <c r="Q690">
        <v>1</v>
      </c>
      <c r="R690">
        <v>188</v>
      </c>
      <c r="S690">
        <v>3.9</v>
      </c>
      <c r="T690" s="1" t="s">
        <v>46</v>
      </c>
      <c r="U690" s="1" t="s">
        <v>35</v>
      </c>
      <c r="V690" s="1" t="s">
        <v>102</v>
      </c>
      <c r="W690" s="1" t="s">
        <v>83</v>
      </c>
      <c r="X690">
        <v>58175.92</v>
      </c>
      <c r="Y690" s="1" t="s">
        <v>2088</v>
      </c>
      <c r="Z690" s="1" t="s">
        <v>2080</v>
      </c>
      <c r="AO690" t="str">
        <v>P00828</v>
      </c>
    </row>
    <row r="691" spans="1:41" x14ac:dyDescent="0.35">
      <c r="A691" s="1" t="s">
        <v>1850</v>
      </c>
      <c r="B691" s="1" t="s">
        <v>595</v>
      </c>
      <c r="C691">
        <v>44</v>
      </c>
      <c r="D691" s="1" t="s">
        <v>25</v>
      </c>
      <c r="E691" s="1" t="s">
        <v>26</v>
      </c>
      <c r="F691" s="1" t="s">
        <v>120</v>
      </c>
      <c r="G691" s="2">
        <v>45460</v>
      </c>
      <c r="H691" s="2">
        <v>45464</v>
      </c>
      <c r="I691" s="1" t="s">
        <v>173</v>
      </c>
      <c r="J691" s="1" t="s">
        <v>30</v>
      </c>
      <c r="K691" s="1" t="s">
        <v>128</v>
      </c>
      <c r="L691" s="1" t="s">
        <v>66</v>
      </c>
      <c r="M691" s="1" t="s">
        <v>2086</v>
      </c>
      <c r="N691">
        <v>0</v>
      </c>
      <c r="O691">
        <v>8481.77</v>
      </c>
      <c r="P691">
        <v>65171.68</v>
      </c>
      <c r="Q691">
        <v>4</v>
      </c>
      <c r="R691">
        <v>107</v>
      </c>
      <c r="S691">
        <v>5</v>
      </c>
      <c r="T691" s="1" t="s">
        <v>46</v>
      </c>
      <c r="U691" s="1" t="s">
        <v>35</v>
      </c>
      <c r="V691" s="1" t="s">
        <v>130</v>
      </c>
      <c r="W691" s="1" t="s">
        <v>83</v>
      </c>
      <c r="X691">
        <v>73653.45</v>
      </c>
      <c r="Y691" s="1" t="s">
        <v>2079</v>
      </c>
      <c r="Z691" s="1" t="s">
        <v>2080</v>
      </c>
      <c r="AO691" t="str">
        <v>P00829</v>
      </c>
    </row>
    <row r="692" spans="1:41" x14ac:dyDescent="0.35">
      <c r="A692" s="1" t="s">
        <v>1851</v>
      </c>
      <c r="B692" s="1" t="s">
        <v>1066</v>
      </c>
      <c r="C692">
        <v>21</v>
      </c>
      <c r="D692" s="1" t="s">
        <v>25</v>
      </c>
      <c r="E692" s="1" t="s">
        <v>177</v>
      </c>
      <c r="F692" s="1" t="s">
        <v>41</v>
      </c>
      <c r="G692" s="2">
        <v>46179</v>
      </c>
      <c r="H692" s="2">
        <v>46183</v>
      </c>
      <c r="I692" s="1" t="s">
        <v>173</v>
      </c>
      <c r="J692" s="1" t="s">
        <v>30</v>
      </c>
      <c r="K692" s="1" t="s">
        <v>128</v>
      </c>
      <c r="L692" s="1" t="s">
        <v>66</v>
      </c>
      <c r="M692" s="1" t="s">
        <v>2085</v>
      </c>
      <c r="N692">
        <v>108551.02</v>
      </c>
      <c r="O692">
        <v>32572.93</v>
      </c>
      <c r="P692">
        <v>0</v>
      </c>
      <c r="Q692">
        <v>4</v>
      </c>
      <c r="R692">
        <v>220</v>
      </c>
      <c r="S692">
        <v>4.3</v>
      </c>
      <c r="T692" s="1" t="s">
        <v>34</v>
      </c>
      <c r="U692" s="1" t="s">
        <v>101</v>
      </c>
      <c r="V692" s="1" t="s">
        <v>75</v>
      </c>
      <c r="W692" s="1" t="s">
        <v>83</v>
      </c>
      <c r="X692">
        <v>141123.95000000001</v>
      </c>
      <c r="Y692" s="1" t="s">
        <v>2082</v>
      </c>
      <c r="Z692" s="1" t="s">
        <v>2080</v>
      </c>
      <c r="AO692" t="str">
        <v>P00830</v>
      </c>
    </row>
    <row r="693" spans="1:41" x14ac:dyDescent="0.35">
      <c r="A693" s="1" t="s">
        <v>1853</v>
      </c>
      <c r="B693" s="1" t="s">
        <v>574</v>
      </c>
      <c r="C693">
        <v>8</v>
      </c>
      <c r="D693" s="1" t="s">
        <v>119</v>
      </c>
      <c r="E693" s="1" t="s">
        <v>219</v>
      </c>
      <c r="F693" s="1" t="s">
        <v>63</v>
      </c>
      <c r="G693" s="2">
        <v>45441</v>
      </c>
      <c r="H693" s="2">
        <v>45448</v>
      </c>
      <c r="I693" s="1" t="s">
        <v>273</v>
      </c>
      <c r="J693" s="1" t="s">
        <v>2081</v>
      </c>
      <c r="K693" s="1" t="s">
        <v>91</v>
      </c>
      <c r="L693" s="1" t="s">
        <v>66</v>
      </c>
      <c r="M693" s="1" t="s">
        <v>2085</v>
      </c>
      <c r="N693">
        <v>394239.12</v>
      </c>
      <c r="O693">
        <v>85787.47</v>
      </c>
      <c r="P693">
        <v>5373.65</v>
      </c>
      <c r="Q693">
        <v>7</v>
      </c>
      <c r="R693">
        <v>152</v>
      </c>
      <c r="S693">
        <v>3.7</v>
      </c>
      <c r="T693" s="1" t="s">
        <v>34</v>
      </c>
      <c r="U693" s="1" t="s">
        <v>35</v>
      </c>
      <c r="V693" s="1" t="s">
        <v>75</v>
      </c>
      <c r="W693" s="1" t="s">
        <v>83</v>
      </c>
      <c r="X693">
        <v>485400.24</v>
      </c>
      <c r="Y693" s="1" t="s">
        <v>2093</v>
      </c>
      <c r="Z693" s="1" t="s">
        <v>2080</v>
      </c>
      <c r="AO693" t="str">
        <v>P00831</v>
      </c>
    </row>
    <row r="694" spans="1:41" x14ac:dyDescent="0.35">
      <c r="A694" s="1" t="s">
        <v>1854</v>
      </c>
      <c r="B694" s="1" t="s">
        <v>1365</v>
      </c>
      <c r="C694">
        <v>53</v>
      </c>
      <c r="D694" s="1" t="s">
        <v>119</v>
      </c>
      <c r="E694" s="1" t="s">
        <v>219</v>
      </c>
      <c r="F694" s="1" t="s">
        <v>227</v>
      </c>
      <c r="G694" s="2">
        <v>45990</v>
      </c>
      <c r="H694" s="2">
        <v>45991</v>
      </c>
      <c r="I694" s="1" t="s">
        <v>221</v>
      </c>
      <c r="J694" s="1" t="s">
        <v>87</v>
      </c>
      <c r="K694" s="1" t="s">
        <v>91</v>
      </c>
      <c r="L694" s="1" t="s">
        <v>66</v>
      </c>
      <c r="M694" s="1" t="s">
        <v>2089</v>
      </c>
      <c r="N694">
        <v>336704.45</v>
      </c>
      <c r="O694">
        <v>14971.84</v>
      </c>
      <c r="P694">
        <v>79977.5</v>
      </c>
      <c r="Q694">
        <v>1</v>
      </c>
      <c r="R694">
        <v>0</v>
      </c>
      <c r="S694">
        <v>1.8</v>
      </c>
      <c r="T694" s="1" t="s">
        <v>34</v>
      </c>
      <c r="U694" s="1" t="s">
        <v>35</v>
      </c>
      <c r="V694" s="1" t="s">
        <v>75</v>
      </c>
      <c r="W694" s="1" t="s">
        <v>12</v>
      </c>
      <c r="X694">
        <v>431653.79000000004</v>
      </c>
      <c r="Y694" s="1" t="s">
        <v>2079</v>
      </c>
      <c r="Z694" s="1" t="s">
        <v>2083</v>
      </c>
      <c r="AO694" t="str">
        <v>P00832</v>
      </c>
    </row>
    <row r="695" spans="1:41" x14ac:dyDescent="0.35">
      <c r="A695" s="1" t="s">
        <v>1855</v>
      </c>
      <c r="B695" s="1" t="s">
        <v>38</v>
      </c>
      <c r="C695">
        <v>43</v>
      </c>
      <c r="D695" s="1" t="s">
        <v>25</v>
      </c>
      <c r="E695" s="1" t="s">
        <v>219</v>
      </c>
      <c r="F695" s="1" t="s">
        <v>63</v>
      </c>
      <c r="G695" s="2">
        <v>45871</v>
      </c>
      <c r="H695" s="2">
        <v>45874</v>
      </c>
      <c r="I695" s="1" t="s">
        <v>159</v>
      </c>
      <c r="J695" s="1" t="s">
        <v>87</v>
      </c>
      <c r="K695" s="1" t="s">
        <v>122</v>
      </c>
      <c r="L695" s="1" t="s">
        <v>32</v>
      </c>
      <c r="M695" s="1" t="s">
        <v>57</v>
      </c>
      <c r="N695">
        <v>119679.71</v>
      </c>
      <c r="O695">
        <v>50239.86</v>
      </c>
      <c r="P695">
        <v>60926.83</v>
      </c>
      <c r="Q695">
        <v>3</v>
      </c>
      <c r="R695">
        <v>159</v>
      </c>
      <c r="S695">
        <v>3.5</v>
      </c>
      <c r="T695" s="1" t="s">
        <v>34</v>
      </c>
      <c r="U695" s="1" t="s">
        <v>95</v>
      </c>
      <c r="V695" s="1" t="s">
        <v>75</v>
      </c>
      <c r="W695" s="1" t="s">
        <v>131</v>
      </c>
      <c r="X695">
        <v>230846.40000000002</v>
      </c>
      <c r="Y695" s="1" t="s">
        <v>2079</v>
      </c>
      <c r="Z695" s="1" t="s">
        <v>2080</v>
      </c>
      <c r="AO695" t="str">
        <v>P00833</v>
      </c>
    </row>
    <row r="696" spans="1:41" x14ac:dyDescent="0.35">
      <c r="A696" s="1" t="s">
        <v>1856</v>
      </c>
      <c r="B696" s="1" t="s">
        <v>1069</v>
      </c>
      <c r="C696">
        <v>33</v>
      </c>
      <c r="D696" s="1" t="s">
        <v>25</v>
      </c>
      <c r="E696" s="1" t="s">
        <v>2084</v>
      </c>
      <c r="F696" s="1" t="s">
        <v>108</v>
      </c>
      <c r="G696" s="2">
        <v>45486</v>
      </c>
      <c r="H696" s="2">
        <v>45490</v>
      </c>
      <c r="I696" s="1" t="s">
        <v>53</v>
      </c>
      <c r="J696" s="1" t="s">
        <v>90</v>
      </c>
      <c r="K696" s="1" t="s">
        <v>174</v>
      </c>
      <c r="L696" s="1" t="s">
        <v>32</v>
      </c>
      <c r="M696" s="1" t="s">
        <v>57</v>
      </c>
      <c r="N696">
        <v>507534.62</v>
      </c>
      <c r="O696">
        <v>9686.36</v>
      </c>
      <c r="P696">
        <v>108158.92</v>
      </c>
      <c r="Q696">
        <v>4</v>
      </c>
      <c r="R696">
        <v>97</v>
      </c>
      <c r="S696">
        <v>1.9</v>
      </c>
      <c r="T696" s="1" t="s">
        <v>34</v>
      </c>
      <c r="U696" s="1" t="s">
        <v>95</v>
      </c>
      <c r="V696" s="1" t="s">
        <v>130</v>
      </c>
      <c r="W696" s="1" t="s">
        <v>59</v>
      </c>
      <c r="X696">
        <v>625379.9</v>
      </c>
      <c r="Y696" s="1" t="s">
        <v>2082</v>
      </c>
      <c r="Z696" s="1" t="s">
        <v>2080</v>
      </c>
      <c r="AO696" t="str">
        <v>P00838</v>
      </c>
    </row>
    <row r="697" spans="1:41" x14ac:dyDescent="0.35">
      <c r="A697" s="1" t="s">
        <v>1857</v>
      </c>
      <c r="B697" s="1" t="s">
        <v>931</v>
      </c>
      <c r="C697">
        <v>45</v>
      </c>
      <c r="D697" s="1" t="s">
        <v>119</v>
      </c>
      <c r="E697" s="1" t="s">
        <v>86</v>
      </c>
      <c r="F697" s="1" t="s">
        <v>145</v>
      </c>
      <c r="G697" s="2">
        <v>46026</v>
      </c>
      <c r="H697" s="2">
        <v>46034</v>
      </c>
      <c r="I697" s="1" t="s">
        <v>235</v>
      </c>
      <c r="J697" s="1" t="s">
        <v>147</v>
      </c>
      <c r="K697" s="1" t="s">
        <v>153</v>
      </c>
      <c r="L697" s="1" t="s">
        <v>32</v>
      </c>
      <c r="M697" s="1" t="s">
        <v>57</v>
      </c>
      <c r="N697">
        <v>339157.37</v>
      </c>
      <c r="O697">
        <v>60596.4</v>
      </c>
      <c r="P697">
        <v>55138.67</v>
      </c>
      <c r="Q697">
        <v>8</v>
      </c>
      <c r="R697">
        <v>50</v>
      </c>
      <c r="S697">
        <v>5</v>
      </c>
      <c r="T697" s="1" t="s">
        <v>46</v>
      </c>
      <c r="U697" s="1" t="s">
        <v>35</v>
      </c>
      <c r="V697" s="1" t="s">
        <v>130</v>
      </c>
      <c r="W697" s="1" t="s">
        <v>59</v>
      </c>
      <c r="X697">
        <v>454892.44</v>
      </c>
      <c r="Y697" s="1" t="s">
        <v>2079</v>
      </c>
      <c r="Z697" s="1" t="s">
        <v>2091</v>
      </c>
      <c r="AO697" t="str">
        <v>P00839</v>
      </c>
    </row>
    <row r="698" spans="1:41" x14ac:dyDescent="0.35">
      <c r="A698" s="1" t="s">
        <v>1858</v>
      </c>
      <c r="B698" s="1" t="s">
        <v>983</v>
      </c>
      <c r="C698">
        <v>58</v>
      </c>
      <c r="D698" s="1" t="s">
        <v>119</v>
      </c>
      <c r="E698" s="1" t="s">
        <v>86</v>
      </c>
      <c r="F698" s="1" t="s">
        <v>193</v>
      </c>
      <c r="G698" s="2">
        <v>45855</v>
      </c>
      <c r="H698" s="2">
        <v>45858</v>
      </c>
      <c r="I698" s="1" t="s">
        <v>273</v>
      </c>
      <c r="J698" s="1" t="s">
        <v>30</v>
      </c>
      <c r="K698" s="1" t="s">
        <v>153</v>
      </c>
      <c r="L698" s="1" t="s">
        <v>44</v>
      </c>
      <c r="M698" s="1" t="s">
        <v>2086</v>
      </c>
      <c r="N698">
        <v>0</v>
      </c>
      <c r="O698">
        <v>41174.54</v>
      </c>
      <c r="P698">
        <v>25842.43</v>
      </c>
      <c r="Q698">
        <v>3</v>
      </c>
      <c r="R698">
        <v>218</v>
      </c>
      <c r="S698">
        <v>4.5</v>
      </c>
      <c r="T698" s="1" t="s">
        <v>46</v>
      </c>
      <c r="U698" s="1" t="s">
        <v>35</v>
      </c>
      <c r="V698" s="1" t="s">
        <v>75</v>
      </c>
      <c r="W698" s="1" t="s">
        <v>59</v>
      </c>
      <c r="X698">
        <v>67016.97</v>
      </c>
      <c r="Y698" s="1" t="s">
        <v>2079</v>
      </c>
      <c r="Z698" s="1" t="s">
        <v>2080</v>
      </c>
      <c r="AO698" t="str">
        <v>P00840</v>
      </c>
    </row>
    <row r="699" spans="1:41" x14ac:dyDescent="0.35">
      <c r="A699" s="1" t="s">
        <v>1861</v>
      </c>
      <c r="B699" s="1" t="s">
        <v>558</v>
      </c>
      <c r="C699">
        <v>25</v>
      </c>
      <c r="D699" s="1" t="s">
        <v>25</v>
      </c>
      <c r="E699" s="1" t="s">
        <v>40</v>
      </c>
      <c r="F699" s="1" t="s">
        <v>108</v>
      </c>
      <c r="G699" s="2">
        <v>45732</v>
      </c>
      <c r="H699" s="2">
        <v>45734</v>
      </c>
      <c r="I699" s="1" t="s">
        <v>29</v>
      </c>
      <c r="J699" s="1" t="s">
        <v>54</v>
      </c>
      <c r="K699" s="1" t="s">
        <v>174</v>
      </c>
      <c r="L699" s="1" t="s">
        <v>66</v>
      </c>
      <c r="M699" s="1" t="s">
        <v>2092</v>
      </c>
      <c r="N699">
        <v>225729.46</v>
      </c>
      <c r="O699">
        <v>40873.53</v>
      </c>
      <c r="P699">
        <v>33180.400000000001</v>
      </c>
      <c r="Q699">
        <v>2</v>
      </c>
      <c r="R699">
        <v>135</v>
      </c>
      <c r="S699">
        <v>4.0999999999999996</v>
      </c>
      <c r="T699" s="1" t="s">
        <v>46</v>
      </c>
      <c r="U699" s="1" t="s">
        <v>95</v>
      </c>
      <c r="V699" s="1" t="s">
        <v>102</v>
      </c>
      <c r="W699" s="1" t="s">
        <v>59</v>
      </c>
      <c r="X699">
        <v>299783.39</v>
      </c>
      <c r="Y699" s="1" t="s">
        <v>2082</v>
      </c>
      <c r="Z699" s="1" t="s">
        <v>2080</v>
      </c>
      <c r="AO699" t="str">
        <v>P00841</v>
      </c>
    </row>
    <row r="700" spans="1:41" x14ac:dyDescent="0.35">
      <c r="A700" s="1" t="s">
        <v>1865</v>
      </c>
      <c r="B700" s="1" t="s">
        <v>971</v>
      </c>
      <c r="C700">
        <v>18</v>
      </c>
      <c r="D700" s="1" t="s">
        <v>25</v>
      </c>
      <c r="E700" s="1" t="s">
        <v>86</v>
      </c>
      <c r="F700" s="1" t="s">
        <v>108</v>
      </c>
      <c r="G700" s="2">
        <v>46161</v>
      </c>
      <c r="H700" s="2">
        <v>46162</v>
      </c>
      <c r="I700" s="1" t="s">
        <v>257</v>
      </c>
      <c r="J700" s="1" t="s">
        <v>87</v>
      </c>
      <c r="K700" s="1" t="s">
        <v>122</v>
      </c>
      <c r="L700" s="1" t="s">
        <v>44</v>
      </c>
      <c r="M700" s="1" t="s">
        <v>2086</v>
      </c>
      <c r="N700">
        <v>131669.68</v>
      </c>
      <c r="O700">
        <v>6448.5</v>
      </c>
      <c r="P700">
        <v>28560.13</v>
      </c>
      <c r="Q700">
        <v>1</v>
      </c>
      <c r="R700">
        <v>78</v>
      </c>
      <c r="S700">
        <v>4.8</v>
      </c>
      <c r="T700" s="1" t="s">
        <v>46</v>
      </c>
      <c r="U700" s="1" t="s">
        <v>95</v>
      </c>
      <c r="V700" s="1" t="s">
        <v>102</v>
      </c>
      <c r="W700" s="1" t="s">
        <v>83</v>
      </c>
      <c r="X700">
        <v>166678.31</v>
      </c>
      <c r="Y700" s="1" t="s">
        <v>2082</v>
      </c>
      <c r="Z700" s="1" t="s">
        <v>2080</v>
      </c>
      <c r="AO700" t="str">
        <v>P00842</v>
      </c>
    </row>
    <row r="701" spans="1:41" x14ac:dyDescent="0.35">
      <c r="A701" s="1" t="s">
        <v>1867</v>
      </c>
      <c r="B701" s="1" t="s">
        <v>118</v>
      </c>
      <c r="C701">
        <v>8</v>
      </c>
      <c r="D701" s="1" t="s">
        <v>25</v>
      </c>
      <c r="E701" s="1" t="s">
        <v>26</v>
      </c>
      <c r="F701" s="1" t="s">
        <v>120</v>
      </c>
      <c r="G701" s="2">
        <v>46194</v>
      </c>
      <c r="H701" s="2">
        <v>46196</v>
      </c>
      <c r="I701" s="1" t="s">
        <v>257</v>
      </c>
      <c r="J701" s="1" t="s">
        <v>152</v>
      </c>
      <c r="K701" s="1" t="s">
        <v>122</v>
      </c>
      <c r="L701" s="1" t="s">
        <v>44</v>
      </c>
      <c r="M701" s="1" t="s">
        <v>2090</v>
      </c>
      <c r="N701">
        <v>379609.5</v>
      </c>
      <c r="O701">
        <v>9072.75</v>
      </c>
      <c r="P701">
        <v>43238.39</v>
      </c>
      <c r="Q701">
        <v>2</v>
      </c>
      <c r="R701">
        <v>128</v>
      </c>
      <c r="S701">
        <v>4</v>
      </c>
      <c r="T701" s="1" t="s">
        <v>34</v>
      </c>
      <c r="U701" s="1" t="s">
        <v>95</v>
      </c>
      <c r="V701" s="1" t="s">
        <v>102</v>
      </c>
      <c r="W701" s="1" t="s">
        <v>59</v>
      </c>
      <c r="X701">
        <v>431920.64000000001</v>
      </c>
      <c r="Y701" s="1" t="s">
        <v>2093</v>
      </c>
      <c r="Z701" s="1" t="s">
        <v>2080</v>
      </c>
      <c r="AO701" t="str">
        <v>P00843</v>
      </c>
    </row>
    <row r="702" spans="1:41" x14ac:dyDescent="0.35">
      <c r="A702" s="1" t="s">
        <v>1868</v>
      </c>
      <c r="B702" s="1" t="s">
        <v>451</v>
      </c>
      <c r="C702">
        <v>53</v>
      </c>
      <c r="D702" s="1" t="s">
        <v>25</v>
      </c>
      <c r="E702" s="1" t="s">
        <v>112</v>
      </c>
      <c r="F702" s="1" t="s">
        <v>227</v>
      </c>
      <c r="G702" s="2">
        <v>45705</v>
      </c>
      <c r="H702" s="2">
        <v>45711</v>
      </c>
      <c r="I702" s="1" t="s">
        <v>173</v>
      </c>
      <c r="J702" s="1" t="s">
        <v>115</v>
      </c>
      <c r="K702" s="1" t="s">
        <v>153</v>
      </c>
      <c r="L702" s="1" t="s">
        <v>32</v>
      </c>
      <c r="M702" s="1" t="s">
        <v>2090</v>
      </c>
      <c r="N702">
        <v>99416.66</v>
      </c>
      <c r="O702">
        <v>84464.05</v>
      </c>
      <c r="P702">
        <v>50830</v>
      </c>
      <c r="Q702">
        <v>6</v>
      </c>
      <c r="R702">
        <v>83</v>
      </c>
      <c r="S702">
        <v>5</v>
      </c>
      <c r="T702" s="1" t="s">
        <v>34</v>
      </c>
      <c r="U702" s="1" t="s">
        <v>101</v>
      </c>
      <c r="V702" s="1" t="s">
        <v>102</v>
      </c>
      <c r="W702" s="1" t="s">
        <v>59</v>
      </c>
      <c r="X702">
        <v>234710.71000000002</v>
      </c>
      <c r="Y702" s="1" t="s">
        <v>2079</v>
      </c>
      <c r="Z702" s="1" t="s">
        <v>2080</v>
      </c>
      <c r="AO702" t="str">
        <v>P00844</v>
      </c>
    </row>
    <row r="703" spans="1:41" x14ac:dyDescent="0.35">
      <c r="A703" s="1" t="s">
        <v>1870</v>
      </c>
      <c r="B703" s="1" t="s">
        <v>176</v>
      </c>
      <c r="C703">
        <v>51</v>
      </c>
      <c r="D703" s="1" t="s">
        <v>25</v>
      </c>
      <c r="E703" s="1" t="s">
        <v>219</v>
      </c>
      <c r="F703" s="1" t="s">
        <v>87</v>
      </c>
      <c r="G703" s="2">
        <v>45877</v>
      </c>
      <c r="H703" s="2">
        <v>45880</v>
      </c>
      <c r="I703" s="1" t="s">
        <v>273</v>
      </c>
      <c r="J703" s="1" t="s">
        <v>137</v>
      </c>
      <c r="K703" s="1" t="s">
        <v>128</v>
      </c>
      <c r="L703" s="1" t="s">
        <v>32</v>
      </c>
      <c r="M703" s="1" t="s">
        <v>2090</v>
      </c>
      <c r="N703">
        <v>568905.76</v>
      </c>
      <c r="O703">
        <v>23121.96</v>
      </c>
      <c r="P703">
        <v>35467.17</v>
      </c>
      <c r="Q703">
        <v>3</v>
      </c>
      <c r="R703">
        <v>103</v>
      </c>
      <c r="S703">
        <v>5</v>
      </c>
      <c r="T703" s="1" t="s">
        <v>34</v>
      </c>
      <c r="U703" s="1" t="s">
        <v>35</v>
      </c>
      <c r="V703" s="1" t="s">
        <v>102</v>
      </c>
      <c r="W703" s="1" t="s">
        <v>12</v>
      </c>
      <c r="X703">
        <v>627494.89</v>
      </c>
      <c r="Y703" s="1" t="s">
        <v>2079</v>
      </c>
      <c r="Z703" s="1" t="s">
        <v>2080</v>
      </c>
      <c r="AO703" t="str">
        <v>P00845</v>
      </c>
    </row>
    <row r="704" spans="1:41" x14ac:dyDescent="0.35">
      <c r="A704" s="1" t="s">
        <v>1871</v>
      </c>
      <c r="B704" s="1" t="s">
        <v>598</v>
      </c>
      <c r="C704">
        <v>0</v>
      </c>
      <c r="D704" s="1" t="s">
        <v>25</v>
      </c>
      <c r="E704" s="1" t="s">
        <v>51</v>
      </c>
      <c r="F704" s="1" t="s">
        <v>87</v>
      </c>
      <c r="G704" s="2">
        <v>46166</v>
      </c>
      <c r="H704" s="2">
        <v>46167</v>
      </c>
      <c r="I704" s="1" t="s">
        <v>173</v>
      </c>
      <c r="J704" s="1" t="s">
        <v>141</v>
      </c>
      <c r="K704" s="1" t="s">
        <v>163</v>
      </c>
      <c r="L704" s="1" t="s">
        <v>32</v>
      </c>
      <c r="M704" s="1" t="s">
        <v>57</v>
      </c>
      <c r="N704">
        <v>137803.85999999999</v>
      </c>
      <c r="O704">
        <v>0</v>
      </c>
      <c r="P704">
        <v>32255.06</v>
      </c>
      <c r="Q704">
        <v>1</v>
      </c>
      <c r="R704">
        <v>132</v>
      </c>
      <c r="S704">
        <v>2.5</v>
      </c>
      <c r="T704" s="1" t="s">
        <v>34</v>
      </c>
      <c r="U704" s="1" t="s">
        <v>149</v>
      </c>
      <c r="V704" s="1" t="s">
        <v>75</v>
      </c>
      <c r="W704" s="1" t="s">
        <v>12</v>
      </c>
      <c r="X704">
        <v>170058.91999999998</v>
      </c>
      <c r="Y704" s="1" t="s">
        <v>2093</v>
      </c>
      <c r="Z704" s="1" t="s">
        <v>2080</v>
      </c>
      <c r="AO704" t="str">
        <v>P00846</v>
      </c>
    </row>
    <row r="705" spans="1:41" x14ac:dyDescent="0.35">
      <c r="A705" s="1" t="s">
        <v>1873</v>
      </c>
      <c r="B705" s="1" t="s">
        <v>1718</v>
      </c>
      <c r="C705">
        <v>44</v>
      </c>
      <c r="D705" s="1" t="s">
        <v>119</v>
      </c>
      <c r="E705" s="1" t="s">
        <v>192</v>
      </c>
      <c r="F705" s="1" t="s">
        <v>108</v>
      </c>
      <c r="G705" s="2">
        <v>45738</v>
      </c>
      <c r="H705" s="2">
        <v>45739</v>
      </c>
      <c r="I705" s="1" t="s">
        <v>273</v>
      </c>
      <c r="J705" s="1" t="s">
        <v>2081</v>
      </c>
      <c r="K705" s="1" t="s">
        <v>163</v>
      </c>
      <c r="L705" s="1" t="s">
        <v>32</v>
      </c>
      <c r="M705" s="1" t="s">
        <v>57</v>
      </c>
      <c r="N705">
        <v>340756.09</v>
      </c>
      <c r="O705">
        <v>0</v>
      </c>
      <c r="P705">
        <v>69606.97</v>
      </c>
      <c r="Q705">
        <v>1</v>
      </c>
      <c r="R705">
        <v>156</v>
      </c>
      <c r="S705">
        <v>4.9000000000000004</v>
      </c>
      <c r="T705" s="1" t="s">
        <v>34</v>
      </c>
      <c r="U705" s="1" t="s">
        <v>35</v>
      </c>
      <c r="V705" s="1" t="s">
        <v>130</v>
      </c>
      <c r="W705" s="1" t="s">
        <v>83</v>
      </c>
      <c r="X705">
        <v>410363.06000000006</v>
      </c>
      <c r="Y705" s="1" t="s">
        <v>2079</v>
      </c>
      <c r="Z705" s="1" t="s">
        <v>2080</v>
      </c>
      <c r="AO705" t="str">
        <v>P00847</v>
      </c>
    </row>
    <row r="706" spans="1:41" x14ac:dyDescent="0.35">
      <c r="A706" s="1" t="s">
        <v>1874</v>
      </c>
      <c r="B706" s="1" t="s">
        <v>826</v>
      </c>
      <c r="C706">
        <v>91</v>
      </c>
      <c r="D706" s="1" t="s">
        <v>25</v>
      </c>
      <c r="E706" s="1" t="s">
        <v>86</v>
      </c>
      <c r="F706" s="1" t="s">
        <v>120</v>
      </c>
      <c r="G706" s="2">
        <v>45492</v>
      </c>
      <c r="H706" s="2">
        <v>45499</v>
      </c>
      <c r="I706" s="1" t="s">
        <v>127</v>
      </c>
      <c r="J706" s="1" t="s">
        <v>2081</v>
      </c>
      <c r="K706" s="1" t="s">
        <v>174</v>
      </c>
      <c r="L706" s="1" t="s">
        <v>32</v>
      </c>
      <c r="M706" s="1" t="s">
        <v>2078</v>
      </c>
      <c r="N706">
        <v>170147.11</v>
      </c>
      <c r="O706">
        <v>32739.29</v>
      </c>
      <c r="P706">
        <v>32506.85</v>
      </c>
      <c r="Q706">
        <v>7</v>
      </c>
      <c r="R706">
        <v>95</v>
      </c>
      <c r="S706">
        <v>5</v>
      </c>
      <c r="T706" s="1" t="s">
        <v>34</v>
      </c>
      <c r="U706" s="1" t="s">
        <v>35</v>
      </c>
      <c r="V706" s="1" t="s">
        <v>130</v>
      </c>
      <c r="W706" s="1" t="s">
        <v>83</v>
      </c>
      <c r="X706">
        <v>235393.25</v>
      </c>
      <c r="Y706" s="1" t="s">
        <v>2088</v>
      </c>
      <c r="Z706" s="1" t="s">
        <v>2080</v>
      </c>
      <c r="AO706" t="str">
        <v>P00848</v>
      </c>
    </row>
    <row r="707" spans="1:41" x14ac:dyDescent="0.35">
      <c r="A707" s="1" t="s">
        <v>1875</v>
      </c>
      <c r="B707" s="1" t="s">
        <v>350</v>
      </c>
      <c r="C707">
        <v>24</v>
      </c>
      <c r="D707" s="1" t="s">
        <v>119</v>
      </c>
      <c r="E707" s="1" t="s">
        <v>86</v>
      </c>
      <c r="F707" s="1" t="s">
        <v>120</v>
      </c>
      <c r="G707" s="2">
        <v>45467</v>
      </c>
      <c r="H707" s="2">
        <v>45468</v>
      </c>
      <c r="I707" s="1" t="s">
        <v>273</v>
      </c>
      <c r="J707" s="1" t="s">
        <v>54</v>
      </c>
      <c r="K707" s="1" t="s">
        <v>174</v>
      </c>
      <c r="L707" s="1" t="s">
        <v>44</v>
      </c>
      <c r="M707" s="1" t="s">
        <v>2086</v>
      </c>
      <c r="N707">
        <v>412805.33</v>
      </c>
      <c r="O707">
        <v>55500.91</v>
      </c>
      <c r="P707">
        <v>34106.050000000003</v>
      </c>
      <c r="Q707">
        <v>1</v>
      </c>
      <c r="R707">
        <v>159</v>
      </c>
      <c r="S707">
        <v>4.0999999999999996</v>
      </c>
      <c r="T707" s="1" t="s">
        <v>46</v>
      </c>
      <c r="U707" s="1" t="s">
        <v>149</v>
      </c>
      <c r="V707" s="1" t="s">
        <v>130</v>
      </c>
      <c r="W707" s="1" t="s">
        <v>83</v>
      </c>
      <c r="X707">
        <v>502412.29</v>
      </c>
      <c r="Y707" s="1" t="s">
        <v>2082</v>
      </c>
      <c r="Z707" s="1" t="s">
        <v>2080</v>
      </c>
      <c r="AO707" t="str">
        <v>P00849</v>
      </c>
    </row>
    <row r="708" spans="1:41" x14ac:dyDescent="0.35">
      <c r="A708" s="1" t="s">
        <v>1876</v>
      </c>
      <c r="B708" s="1" t="s">
        <v>459</v>
      </c>
      <c r="C708">
        <v>44</v>
      </c>
      <c r="D708" s="1" t="s">
        <v>119</v>
      </c>
      <c r="E708" s="1" t="s">
        <v>192</v>
      </c>
      <c r="F708" s="1" t="s">
        <v>227</v>
      </c>
      <c r="G708" s="2">
        <v>45543</v>
      </c>
      <c r="H708" s="2">
        <v>45552</v>
      </c>
      <c r="I708" s="1" t="s">
        <v>127</v>
      </c>
      <c r="J708" s="1" t="s">
        <v>87</v>
      </c>
      <c r="K708" s="1" t="s">
        <v>31</v>
      </c>
      <c r="L708" s="1" t="s">
        <v>32</v>
      </c>
      <c r="M708" s="1" t="s">
        <v>2086</v>
      </c>
      <c r="N708">
        <v>363588.5</v>
      </c>
      <c r="O708">
        <v>96050.3</v>
      </c>
      <c r="P708">
        <v>62942.97</v>
      </c>
      <c r="Q708">
        <v>9</v>
      </c>
      <c r="R708">
        <v>98</v>
      </c>
      <c r="S708">
        <v>4.5999999999999996</v>
      </c>
      <c r="T708" s="1" t="s">
        <v>46</v>
      </c>
      <c r="U708" s="1" t="s">
        <v>95</v>
      </c>
      <c r="V708" s="1" t="s">
        <v>75</v>
      </c>
      <c r="W708" s="1" t="s">
        <v>131</v>
      </c>
      <c r="X708">
        <v>522581.77</v>
      </c>
      <c r="Y708" s="1" t="s">
        <v>2079</v>
      </c>
      <c r="Z708" s="1" t="s">
        <v>2080</v>
      </c>
      <c r="AO708" t="str">
        <v>P00850</v>
      </c>
    </row>
    <row r="709" spans="1:41" x14ac:dyDescent="0.35">
      <c r="A709" s="1" t="s">
        <v>1877</v>
      </c>
      <c r="B709" s="1" t="s">
        <v>1878</v>
      </c>
      <c r="C709">
        <v>92</v>
      </c>
      <c r="D709" s="1" t="s">
        <v>119</v>
      </c>
      <c r="E709" s="1" t="s">
        <v>192</v>
      </c>
      <c r="F709" s="1" t="s">
        <v>41</v>
      </c>
      <c r="G709" s="2">
        <v>45846</v>
      </c>
      <c r="H709" s="2">
        <v>45848</v>
      </c>
      <c r="I709" s="1" t="s">
        <v>127</v>
      </c>
      <c r="J709" s="1" t="s">
        <v>152</v>
      </c>
      <c r="K709" s="1" t="s">
        <v>128</v>
      </c>
      <c r="L709" s="1" t="s">
        <v>32</v>
      </c>
      <c r="M709" s="1" t="s">
        <v>2086</v>
      </c>
      <c r="N709">
        <v>245209.95</v>
      </c>
      <c r="O709">
        <v>23176.67</v>
      </c>
      <c r="P709">
        <v>19929.330000000002</v>
      </c>
      <c r="Q709">
        <v>2</v>
      </c>
      <c r="R709">
        <v>177</v>
      </c>
      <c r="S709">
        <v>4.8</v>
      </c>
      <c r="T709" s="1" t="s">
        <v>46</v>
      </c>
      <c r="U709" s="1" t="s">
        <v>95</v>
      </c>
      <c r="V709" s="1" t="s">
        <v>75</v>
      </c>
      <c r="W709" s="1" t="s">
        <v>131</v>
      </c>
      <c r="X709">
        <v>288315.95</v>
      </c>
      <c r="Y709" s="1" t="s">
        <v>2088</v>
      </c>
      <c r="Z709" s="1" t="s">
        <v>2080</v>
      </c>
      <c r="AO709" t="str">
        <v>P00851</v>
      </c>
    </row>
    <row r="710" spans="1:41" x14ac:dyDescent="0.35">
      <c r="A710" s="1" t="s">
        <v>1880</v>
      </c>
      <c r="B710" s="1" t="s">
        <v>294</v>
      </c>
      <c r="C710">
        <v>55</v>
      </c>
      <c r="D710" s="1" t="s">
        <v>119</v>
      </c>
      <c r="E710" s="1" t="s">
        <v>157</v>
      </c>
      <c r="F710" s="1" t="s">
        <v>193</v>
      </c>
      <c r="G710" s="2">
        <v>45668</v>
      </c>
      <c r="H710" s="2">
        <v>45670</v>
      </c>
      <c r="I710" s="1" t="s">
        <v>273</v>
      </c>
      <c r="J710" s="1" t="s">
        <v>115</v>
      </c>
      <c r="K710" s="1" t="s">
        <v>128</v>
      </c>
      <c r="L710" s="1" t="s">
        <v>66</v>
      </c>
      <c r="M710" s="1" t="s">
        <v>2085</v>
      </c>
      <c r="N710">
        <v>8802.16</v>
      </c>
      <c r="O710">
        <v>34624.26</v>
      </c>
      <c r="P710">
        <v>58582.69</v>
      </c>
      <c r="Q710">
        <v>2</v>
      </c>
      <c r="R710">
        <v>223</v>
      </c>
      <c r="S710">
        <v>2.7</v>
      </c>
      <c r="T710" s="1" t="s">
        <v>34</v>
      </c>
      <c r="U710" s="1" t="s">
        <v>35</v>
      </c>
      <c r="V710" s="1" t="s">
        <v>75</v>
      </c>
      <c r="W710" s="1" t="s">
        <v>59</v>
      </c>
      <c r="X710">
        <v>102009.11</v>
      </c>
      <c r="Y710" s="1" t="s">
        <v>2079</v>
      </c>
      <c r="Z710" s="1" t="s">
        <v>2080</v>
      </c>
      <c r="AO710" t="str">
        <v>P00852</v>
      </c>
    </row>
    <row r="711" spans="1:41" x14ac:dyDescent="0.35">
      <c r="A711" s="1" t="s">
        <v>1881</v>
      </c>
      <c r="B711" s="1" t="s">
        <v>1882</v>
      </c>
      <c r="C711">
        <v>23</v>
      </c>
      <c r="D711" s="1" t="s">
        <v>119</v>
      </c>
      <c r="E711" s="1" t="s">
        <v>107</v>
      </c>
      <c r="F711" s="1" t="s">
        <v>87</v>
      </c>
      <c r="G711" s="2">
        <v>46068</v>
      </c>
      <c r="H711" s="2">
        <v>46069</v>
      </c>
      <c r="I711" s="1" t="s">
        <v>257</v>
      </c>
      <c r="J711" s="1" t="s">
        <v>147</v>
      </c>
      <c r="K711" s="1" t="s">
        <v>148</v>
      </c>
      <c r="L711" s="1" t="s">
        <v>32</v>
      </c>
      <c r="M711" s="1" t="s">
        <v>2090</v>
      </c>
      <c r="N711">
        <v>32880.410000000003</v>
      </c>
      <c r="O711">
        <v>63416.43</v>
      </c>
      <c r="P711">
        <v>91459.18</v>
      </c>
      <c r="Q711">
        <v>1</v>
      </c>
      <c r="R711">
        <v>119</v>
      </c>
      <c r="S711">
        <v>5</v>
      </c>
      <c r="T711" s="1" t="s">
        <v>34</v>
      </c>
      <c r="U711" s="1" t="s">
        <v>35</v>
      </c>
      <c r="V711" s="1" t="s">
        <v>75</v>
      </c>
      <c r="W711" s="1" t="s">
        <v>59</v>
      </c>
      <c r="X711">
        <v>187756.02</v>
      </c>
      <c r="Y711" s="1" t="s">
        <v>2082</v>
      </c>
      <c r="Z711" s="1" t="s">
        <v>2080</v>
      </c>
      <c r="AO711" t="str">
        <v>P00853</v>
      </c>
    </row>
    <row r="712" spans="1:41" x14ac:dyDescent="0.35">
      <c r="A712" s="1" t="s">
        <v>1884</v>
      </c>
      <c r="B712" s="1" t="s">
        <v>435</v>
      </c>
      <c r="C712">
        <v>40</v>
      </c>
      <c r="D712" s="1" t="s">
        <v>119</v>
      </c>
      <c r="E712" s="1" t="s">
        <v>157</v>
      </c>
      <c r="F712" s="1" t="s">
        <v>63</v>
      </c>
      <c r="G712" s="2">
        <v>46262</v>
      </c>
      <c r="H712" s="2">
        <v>46265</v>
      </c>
      <c r="I712" s="1" t="s">
        <v>173</v>
      </c>
      <c r="J712" s="1" t="s">
        <v>141</v>
      </c>
      <c r="K712" s="1" t="s">
        <v>122</v>
      </c>
      <c r="L712" s="1" t="s">
        <v>44</v>
      </c>
      <c r="M712" s="1" t="s">
        <v>2086</v>
      </c>
      <c r="N712">
        <v>173374.73</v>
      </c>
      <c r="O712">
        <v>22240.23</v>
      </c>
      <c r="P712">
        <v>0</v>
      </c>
      <c r="Q712">
        <v>3</v>
      </c>
      <c r="R712">
        <v>114</v>
      </c>
      <c r="S712">
        <v>3.6</v>
      </c>
      <c r="T712" s="1" t="s">
        <v>34</v>
      </c>
      <c r="U712" s="1" t="s">
        <v>35</v>
      </c>
      <c r="V712" s="1" t="s">
        <v>75</v>
      </c>
      <c r="W712" s="1" t="s">
        <v>12</v>
      </c>
      <c r="X712">
        <v>195614.96000000002</v>
      </c>
      <c r="Y712" s="1" t="s">
        <v>2079</v>
      </c>
      <c r="Z712" s="1" t="s">
        <v>2080</v>
      </c>
      <c r="AO712" t="str">
        <v>P00854</v>
      </c>
    </row>
    <row r="713" spans="1:41" x14ac:dyDescent="0.35">
      <c r="A713" s="1" t="s">
        <v>1885</v>
      </c>
      <c r="B713" s="1" t="s">
        <v>1720</v>
      </c>
      <c r="C713">
        <v>45</v>
      </c>
      <c r="D713" s="1" t="s">
        <v>25</v>
      </c>
      <c r="E713" s="1" t="s">
        <v>112</v>
      </c>
      <c r="F713" s="1" t="s">
        <v>63</v>
      </c>
      <c r="G713" s="2">
        <v>45652</v>
      </c>
      <c r="H713" s="2">
        <v>45657</v>
      </c>
      <c r="I713" s="1" t="s">
        <v>173</v>
      </c>
      <c r="J713" s="1" t="s">
        <v>147</v>
      </c>
      <c r="K713" s="1" t="s">
        <v>148</v>
      </c>
      <c r="L713" s="1" t="s">
        <v>44</v>
      </c>
      <c r="M713" s="1" t="s">
        <v>2078</v>
      </c>
      <c r="N713">
        <v>197221.48</v>
      </c>
      <c r="O713">
        <v>8220.17</v>
      </c>
      <c r="P713">
        <v>47164.6</v>
      </c>
      <c r="Q713">
        <v>5</v>
      </c>
      <c r="R713">
        <v>150</v>
      </c>
      <c r="S713">
        <v>2.2000000000000002</v>
      </c>
      <c r="T713" s="1" t="s">
        <v>34</v>
      </c>
      <c r="U713" s="1" t="s">
        <v>95</v>
      </c>
      <c r="V713" s="1" t="s">
        <v>130</v>
      </c>
      <c r="W713" s="1" t="s">
        <v>36</v>
      </c>
      <c r="X713">
        <v>252606.25000000003</v>
      </c>
      <c r="Y713" s="1" t="s">
        <v>2079</v>
      </c>
      <c r="Z713" s="1" t="s">
        <v>2080</v>
      </c>
      <c r="AO713" t="str">
        <v>P00856</v>
      </c>
    </row>
    <row r="714" spans="1:41" x14ac:dyDescent="0.35">
      <c r="A714" s="1" t="s">
        <v>1887</v>
      </c>
      <c r="B714" s="1" t="s">
        <v>1350</v>
      </c>
      <c r="C714">
        <v>48</v>
      </c>
      <c r="D714" s="1" t="s">
        <v>25</v>
      </c>
      <c r="E714" s="1" t="s">
        <v>2084</v>
      </c>
      <c r="F714" s="1" t="s">
        <v>63</v>
      </c>
      <c r="G714" s="2">
        <v>45763</v>
      </c>
      <c r="H714" s="2">
        <v>45766</v>
      </c>
      <c r="I714" s="1" t="s">
        <v>173</v>
      </c>
      <c r="J714" s="1" t="s">
        <v>141</v>
      </c>
      <c r="K714" s="1" t="s">
        <v>55</v>
      </c>
      <c r="L714" s="1" t="s">
        <v>32</v>
      </c>
      <c r="M714" s="1" t="s">
        <v>2086</v>
      </c>
      <c r="N714">
        <v>119470.93</v>
      </c>
      <c r="O714">
        <v>15303.59</v>
      </c>
      <c r="P714">
        <v>51918.33</v>
      </c>
      <c r="Q714">
        <v>3</v>
      </c>
      <c r="R714">
        <v>9</v>
      </c>
      <c r="S714">
        <v>4.2</v>
      </c>
      <c r="T714" s="1" t="s">
        <v>34</v>
      </c>
      <c r="U714" s="1" t="s">
        <v>95</v>
      </c>
      <c r="V714" s="1" t="s">
        <v>130</v>
      </c>
      <c r="W714" s="1" t="s">
        <v>131</v>
      </c>
      <c r="X714">
        <v>186692.84999999998</v>
      </c>
      <c r="Y714" s="1" t="s">
        <v>2079</v>
      </c>
      <c r="Z714" s="1" t="s">
        <v>2083</v>
      </c>
      <c r="AO714" t="str">
        <v>P00858</v>
      </c>
    </row>
    <row r="715" spans="1:41" x14ac:dyDescent="0.35">
      <c r="A715" s="1" t="s">
        <v>1890</v>
      </c>
      <c r="B715" s="1" t="s">
        <v>333</v>
      </c>
      <c r="C715">
        <v>53</v>
      </c>
      <c r="D715" s="1" t="s">
        <v>119</v>
      </c>
      <c r="E715" s="1" t="s">
        <v>112</v>
      </c>
      <c r="F715" s="1" t="s">
        <v>87</v>
      </c>
      <c r="G715" s="2">
        <v>45491</v>
      </c>
      <c r="H715" s="2">
        <v>45492</v>
      </c>
      <c r="I715" s="1" t="s">
        <v>277</v>
      </c>
      <c r="J715" s="1" t="s">
        <v>115</v>
      </c>
      <c r="K715" s="1" t="s">
        <v>174</v>
      </c>
      <c r="L715" s="1" t="s">
        <v>32</v>
      </c>
      <c r="M715" s="1" t="s">
        <v>2087</v>
      </c>
      <c r="N715">
        <v>97781.54</v>
      </c>
      <c r="O715">
        <v>24825.39</v>
      </c>
      <c r="P715">
        <v>14069.24</v>
      </c>
      <c r="Q715">
        <v>1</v>
      </c>
      <c r="R715">
        <v>156</v>
      </c>
      <c r="S715">
        <v>2.6</v>
      </c>
      <c r="T715" s="1" t="s">
        <v>34</v>
      </c>
      <c r="U715" s="1" t="s">
        <v>95</v>
      </c>
      <c r="V715" s="1" t="s">
        <v>75</v>
      </c>
      <c r="W715" s="1" t="s">
        <v>83</v>
      </c>
      <c r="X715">
        <v>136676.16999999998</v>
      </c>
      <c r="Y715" s="1" t="s">
        <v>2079</v>
      </c>
      <c r="Z715" s="1" t="s">
        <v>2080</v>
      </c>
      <c r="AO715" t="str">
        <v>P00859</v>
      </c>
    </row>
    <row r="716" spans="1:41" x14ac:dyDescent="0.35">
      <c r="A716" s="1" t="s">
        <v>1891</v>
      </c>
      <c r="B716" s="1" t="s">
        <v>285</v>
      </c>
      <c r="C716">
        <v>35</v>
      </c>
      <c r="D716" s="1" t="s">
        <v>119</v>
      </c>
      <c r="E716" s="1" t="s">
        <v>157</v>
      </c>
      <c r="F716" s="1" t="s">
        <v>120</v>
      </c>
      <c r="G716" s="2">
        <v>46239</v>
      </c>
      <c r="H716" s="2">
        <v>46243</v>
      </c>
      <c r="I716" s="1" t="s">
        <v>53</v>
      </c>
      <c r="J716" s="1" t="s">
        <v>2081</v>
      </c>
      <c r="K716" s="1" t="s">
        <v>122</v>
      </c>
      <c r="L716" s="1" t="s">
        <v>32</v>
      </c>
      <c r="M716" s="1" t="s">
        <v>2085</v>
      </c>
      <c r="N716">
        <v>203973.87</v>
      </c>
      <c r="O716">
        <v>33693.9</v>
      </c>
      <c r="P716">
        <v>22145.26</v>
      </c>
      <c r="Q716">
        <v>4</v>
      </c>
      <c r="R716">
        <v>110</v>
      </c>
      <c r="S716">
        <v>5</v>
      </c>
      <c r="T716" s="1" t="s">
        <v>34</v>
      </c>
      <c r="U716" s="1" t="s">
        <v>95</v>
      </c>
      <c r="V716" s="1" t="s">
        <v>75</v>
      </c>
      <c r="W716" s="1" t="s">
        <v>83</v>
      </c>
      <c r="X716">
        <v>259813.03</v>
      </c>
      <c r="Y716" s="1" t="s">
        <v>2082</v>
      </c>
      <c r="Z716" s="1" t="s">
        <v>2080</v>
      </c>
      <c r="AO716" t="str">
        <v>P00860</v>
      </c>
    </row>
    <row r="717" spans="1:41" x14ac:dyDescent="0.35">
      <c r="A717" s="1" t="s">
        <v>1893</v>
      </c>
      <c r="B717" s="1" t="s">
        <v>1155</v>
      </c>
      <c r="C717">
        <v>68</v>
      </c>
      <c r="D717" s="1" t="s">
        <v>119</v>
      </c>
      <c r="E717" s="1" t="s">
        <v>40</v>
      </c>
      <c r="F717" s="1" t="s">
        <v>108</v>
      </c>
      <c r="G717" s="2">
        <v>45895</v>
      </c>
      <c r="H717" s="2">
        <v>45896</v>
      </c>
      <c r="I717" s="1" t="s">
        <v>273</v>
      </c>
      <c r="J717" s="1" t="s">
        <v>115</v>
      </c>
      <c r="K717" s="1" t="s">
        <v>91</v>
      </c>
      <c r="L717" s="1" t="s">
        <v>66</v>
      </c>
      <c r="M717" s="1" t="s">
        <v>2085</v>
      </c>
      <c r="N717">
        <v>429733.67</v>
      </c>
      <c r="O717">
        <v>9596.1299999999992</v>
      </c>
      <c r="P717">
        <v>1348.36</v>
      </c>
      <c r="Q717">
        <v>1</v>
      </c>
      <c r="R717">
        <v>117</v>
      </c>
      <c r="S717">
        <v>3</v>
      </c>
      <c r="T717" s="1" t="s">
        <v>34</v>
      </c>
      <c r="U717" s="1" t="s">
        <v>95</v>
      </c>
      <c r="V717" s="1" t="s">
        <v>75</v>
      </c>
      <c r="W717" s="1" t="s">
        <v>131</v>
      </c>
      <c r="X717">
        <v>440678.16</v>
      </c>
      <c r="Y717" s="1" t="s">
        <v>2088</v>
      </c>
      <c r="Z717" s="1" t="s">
        <v>2080</v>
      </c>
      <c r="AO717" t="str">
        <v>P00861</v>
      </c>
    </row>
    <row r="718" spans="1:41" x14ac:dyDescent="0.35">
      <c r="A718" s="1" t="s">
        <v>1894</v>
      </c>
      <c r="B718" s="1" t="s">
        <v>237</v>
      </c>
      <c r="C718">
        <v>43</v>
      </c>
      <c r="D718" s="1" t="s">
        <v>25</v>
      </c>
      <c r="E718" s="1" t="s">
        <v>40</v>
      </c>
      <c r="F718" s="1" t="s">
        <v>41</v>
      </c>
      <c r="G718" s="2">
        <v>46156</v>
      </c>
      <c r="H718" s="2">
        <v>46167</v>
      </c>
      <c r="I718" s="1" t="s">
        <v>277</v>
      </c>
      <c r="J718" s="1" t="s">
        <v>115</v>
      </c>
      <c r="K718" s="1" t="s">
        <v>55</v>
      </c>
      <c r="L718" s="1" t="s">
        <v>66</v>
      </c>
      <c r="M718" s="1" t="s">
        <v>2089</v>
      </c>
      <c r="N718">
        <v>107692.08</v>
      </c>
      <c r="O718">
        <v>1321.01</v>
      </c>
      <c r="P718">
        <v>77697.149999999994</v>
      </c>
      <c r="Q718">
        <v>11</v>
      </c>
      <c r="R718">
        <v>52</v>
      </c>
      <c r="S718">
        <v>3.8</v>
      </c>
      <c r="T718" s="1" t="s">
        <v>46</v>
      </c>
      <c r="U718" s="1" t="s">
        <v>35</v>
      </c>
      <c r="V718" s="1" t="s">
        <v>75</v>
      </c>
      <c r="W718" s="1" t="s">
        <v>131</v>
      </c>
      <c r="X718">
        <v>186710.24</v>
      </c>
      <c r="Y718" s="1" t="s">
        <v>2079</v>
      </c>
      <c r="Z718" s="1" t="s">
        <v>2091</v>
      </c>
      <c r="AO718" t="str">
        <v>P00862</v>
      </c>
    </row>
    <row r="719" spans="1:41" x14ac:dyDescent="0.35">
      <c r="A719" s="1" t="s">
        <v>1897</v>
      </c>
      <c r="B719" s="1" t="s">
        <v>815</v>
      </c>
      <c r="C719">
        <v>34</v>
      </c>
      <c r="D719" s="1" t="s">
        <v>25</v>
      </c>
      <c r="E719" s="1" t="s">
        <v>26</v>
      </c>
      <c r="F719" s="1" t="s">
        <v>87</v>
      </c>
      <c r="G719" s="2">
        <v>45894</v>
      </c>
      <c r="H719" s="2">
        <v>45897</v>
      </c>
      <c r="I719" s="1" t="s">
        <v>257</v>
      </c>
      <c r="J719" s="1" t="s">
        <v>2081</v>
      </c>
      <c r="K719" s="1" t="s">
        <v>31</v>
      </c>
      <c r="L719" s="1" t="s">
        <v>32</v>
      </c>
      <c r="M719" s="1" t="s">
        <v>2078</v>
      </c>
      <c r="N719">
        <v>13134.26</v>
      </c>
      <c r="O719">
        <v>36440.019999999997</v>
      </c>
      <c r="P719">
        <v>101765.75</v>
      </c>
      <c r="Q719">
        <v>3</v>
      </c>
      <c r="R719">
        <v>28</v>
      </c>
      <c r="S719">
        <v>2.7</v>
      </c>
      <c r="T719" s="1" t="s">
        <v>34</v>
      </c>
      <c r="U719" s="1" t="s">
        <v>149</v>
      </c>
      <c r="V719" s="1" t="s">
        <v>102</v>
      </c>
      <c r="W719" s="1" t="s">
        <v>131</v>
      </c>
      <c r="X719">
        <v>151340.03</v>
      </c>
      <c r="Y719" s="1" t="s">
        <v>2082</v>
      </c>
      <c r="Z719" s="1" t="s">
        <v>2083</v>
      </c>
      <c r="AO719" t="str">
        <v>P00863</v>
      </c>
    </row>
    <row r="720" spans="1:41" x14ac:dyDescent="0.35">
      <c r="A720" s="1" t="s">
        <v>1901</v>
      </c>
      <c r="B720" s="1" t="s">
        <v>1617</v>
      </c>
      <c r="C720">
        <v>62</v>
      </c>
      <c r="D720" s="1" t="s">
        <v>119</v>
      </c>
      <c r="E720" s="1" t="s">
        <v>112</v>
      </c>
      <c r="F720" s="1" t="s">
        <v>120</v>
      </c>
      <c r="G720" s="2">
        <v>45332</v>
      </c>
      <c r="H720" s="2">
        <v>45335</v>
      </c>
      <c r="I720" s="1" t="s">
        <v>100</v>
      </c>
      <c r="J720" s="1" t="s">
        <v>137</v>
      </c>
      <c r="K720" s="1" t="s">
        <v>128</v>
      </c>
      <c r="L720" s="1" t="s">
        <v>44</v>
      </c>
      <c r="M720" s="1" t="s">
        <v>2090</v>
      </c>
      <c r="N720">
        <v>44832.12</v>
      </c>
      <c r="O720">
        <v>0</v>
      </c>
      <c r="P720">
        <v>92383.14</v>
      </c>
      <c r="Q720">
        <v>3</v>
      </c>
      <c r="R720">
        <v>49</v>
      </c>
      <c r="S720">
        <v>5</v>
      </c>
      <c r="T720" s="1" t="s">
        <v>34</v>
      </c>
      <c r="U720" s="1" t="s">
        <v>95</v>
      </c>
      <c r="V720" s="1" t="s">
        <v>75</v>
      </c>
      <c r="W720" s="1" t="s">
        <v>131</v>
      </c>
      <c r="X720">
        <v>137215.26</v>
      </c>
      <c r="Y720" s="1" t="s">
        <v>2088</v>
      </c>
      <c r="Z720" s="1" t="s">
        <v>2091</v>
      </c>
      <c r="AO720" t="str">
        <v>P00864</v>
      </c>
    </row>
    <row r="721" spans="1:41" x14ac:dyDescent="0.35">
      <c r="A721" s="1" t="s">
        <v>1903</v>
      </c>
      <c r="B721" s="1" t="s">
        <v>321</v>
      </c>
      <c r="C721">
        <v>39</v>
      </c>
      <c r="D721" s="1" t="s">
        <v>25</v>
      </c>
      <c r="E721" s="1" t="s">
        <v>112</v>
      </c>
      <c r="F721" s="1" t="s">
        <v>193</v>
      </c>
      <c r="G721" s="2">
        <v>46086</v>
      </c>
      <c r="H721" s="2">
        <v>46088</v>
      </c>
      <c r="I721" s="1" t="s">
        <v>257</v>
      </c>
      <c r="J721" s="1" t="s">
        <v>87</v>
      </c>
      <c r="K721" s="1" t="s">
        <v>153</v>
      </c>
      <c r="L721" s="1" t="s">
        <v>44</v>
      </c>
      <c r="M721" s="1" t="s">
        <v>2086</v>
      </c>
      <c r="N721">
        <v>281377.78000000003</v>
      </c>
      <c r="O721">
        <v>7900.03</v>
      </c>
      <c r="P721">
        <v>48974.91</v>
      </c>
      <c r="Q721">
        <v>2</v>
      </c>
      <c r="R721">
        <v>66</v>
      </c>
      <c r="S721">
        <v>2</v>
      </c>
      <c r="T721" s="1" t="s">
        <v>46</v>
      </c>
      <c r="U721" s="1" t="s">
        <v>35</v>
      </c>
      <c r="V721" s="1" t="s">
        <v>102</v>
      </c>
      <c r="W721" s="1" t="s">
        <v>131</v>
      </c>
      <c r="X721">
        <v>338252.72000000009</v>
      </c>
      <c r="Y721" s="1" t="s">
        <v>2079</v>
      </c>
      <c r="Z721" s="1" t="s">
        <v>2080</v>
      </c>
      <c r="AO721" t="str">
        <v>P00865</v>
      </c>
    </row>
    <row r="722" spans="1:41" x14ac:dyDescent="0.35">
      <c r="A722" s="1" t="s">
        <v>1907</v>
      </c>
      <c r="B722" s="1" t="s">
        <v>1155</v>
      </c>
      <c r="C722">
        <v>4</v>
      </c>
      <c r="D722" s="1" t="s">
        <v>119</v>
      </c>
      <c r="E722" s="1" t="s">
        <v>2084</v>
      </c>
      <c r="F722" s="1" t="s">
        <v>227</v>
      </c>
      <c r="G722" s="2">
        <v>45367</v>
      </c>
      <c r="H722" s="2">
        <v>45369</v>
      </c>
      <c r="I722" s="1" t="s">
        <v>235</v>
      </c>
      <c r="J722" s="1" t="s">
        <v>90</v>
      </c>
      <c r="K722" s="1" t="s">
        <v>31</v>
      </c>
      <c r="L722" s="1" t="s">
        <v>44</v>
      </c>
      <c r="M722" s="1" t="s">
        <v>2090</v>
      </c>
      <c r="N722">
        <v>493408.43</v>
      </c>
      <c r="O722">
        <v>28472.560000000001</v>
      </c>
      <c r="P722">
        <v>22536.01</v>
      </c>
      <c r="Q722">
        <v>2</v>
      </c>
      <c r="R722">
        <v>126</v>
      </c>
      <c r="S722">
        <v>0.2</v>
      </c>
      <c r="T722" s="1" t="s">
        <v>34</v>
      </c>
      <c r="U722" s="1" t="s">
        <v>149</v>
      </c>
      <c r="V722" s="1" t="s">
        <v>75</v>
      </c>
      <c r="W722" s="1" t="s">
        <v>131</v>
      </c>
      <c r="X722">
        <v>544417</v>
      </c>
      <c r="Y722" s="1" t="s">
        <v>2093</v>
      </c>
      <c r="Z722" s="1" t="s">
        <v>2080</v>
      </c>
      <c r="AO722" t="str">
        <v>P00866</v>
      </c>
    </row>
    <row r="723" spans="1:41" x14ac:dyDescent="0.35">
      <c r="A723" s="1" t="s">
        <v>1908</v>
      </c>
      <c r="B723" s="1" t="s">
        <v>480</v>
      </c>
      <c r="C723">
        <v>71</v>
      </c>
      <c r="D723" s="1" t="s">
        <v>25</v>
      </c>
      <c r="E723" s="1" t="s">
        <v>112</v>
      </c>
      <c r="F723" s="1" t="s">
        <v>227</v>
      </c>
      <c r="G723" s="2">
        <v>45452</v>
      </c>
      <c r="H723" s="2">
        <v>45455</v>
      </c>
      <c r="I723" s="1" t="s">
        <v>221</v>
      </c>
      <c r="J723" s="1" t="s">
        <v>141</v>
      </c>
      <c r="K723" s="1" t="s">
        <v>148</v>
      </c>
      <c r="L723" s="1" t="s">
        <v>44</v>
      </c>
      <c r="M723" s="1" t="s">
        <v>2087</v>
      </c>
      <c r="N723">
        <v>371619.99</v>
      </c>
      <c r="O723">
        <v>3090.47</v>
      </c>
      <c r="P723">
        <v>24786.3</v>
      </c>
      <c r="Q723">
        <v>3</v>
      </c>
      <c r="R723">
        <v>166</v>
      </c>
      <c r="S723">
        <v>0.2</v>
      </c>
      <c r="T723" s="1" t="s">
        <v>34</v>
      </c>
      <c r="U723" s="1" t="s">
        <v>149</v>
      </c>
      <c r="V723" s="1" t="s">
        <v>75</v>
      </c>
      <c r="W723" s="1" t="s">
        <v>131</v>
      </c>
      <c r="X723">
        <v>399496.75999999995</v>
      </c>
      <c r="Y723" s="1" t="s">
        <v>2088</v>
      </c>
      <c r="Z723" s="1" t="s">
        <v>2080</v>
      </c>
      <c r="AO723" t="str">
        <v>P00867</v>
      </c>
    </row>
    <row r="724" spans="1:41" x14ac:dyDescent="0.35">
      <c r="A724" s="1" t="s">
        <v>1909</v>
      </c>
      <c r="B724" s="1" t="s">
        <v>196</v>
      </c>
      <c r="C724">
        <v>11</v>
      </c>
      <c r="D724" s="1" t="s">
        <v>25</v>
      </c>
      <c r="E724" s="1" t="s">
        <v>2084</v>
      </c>
      <c r="F724" s="1" t="s">
        <v>120</v>
      </c>
      <c r="G724" s="2">
        <v>46016</v>
      </c>
      <c r="H724" s="2">
        <v>46018</v>
      </c>
      <c r="I724" s="1" t="s">
        <v>100</v>
      </c>
      <c r="J724" s="1" t="s">
        <v>141</v>
      </c>
      <c r="K724" s="1" t="s">
        <v>148</v>
      </c>
      <c r="L724" s="1" t="s">
        <v>44</v>
      </c>
      <c r="M724" s="1" t="s">
        <v>2078</v>
      </c>
      <c r="N724">
        <v>153282.47</v>
      </c>
      <c r="O724">
        <v>22529.5</v>
      </c>
      <c r="P724">
        <v>34252.67</v>
      </c>
      <c r="Q724">
        <v>2</v>
      </c>
      <c r="R724">
        <v>53</v>
      </c>
      <c r="S724">
        <v>2.2999999999999998</v>
      </c>
      <c r="T724" s="1" t="s">
        <v>34</v>
      </c>
      <c r="U724" s="1" t="s">
        <v>149</v>
      </c>
      <c r="V724" s="1" t="s">
        <v>75</v>
      </c>
      <c r="W724" s="1" t="s">
        <v>131</v>
      </c>
      <c r="X724">
        <v>210064.64000000001</v>
      </c>
      <c r="Y724" s="1" t="s">
        <v>2093</v>
      </c>
      <c r="Z724" s="1" t="s">
        <v>2091</v>
      </c>
      <c r="AO724" t="str">
        <v>P00868</v>
      </c>
    </row>
    <row r="725" spans="1:41" x14ac:dyDescent="0.35">
      <c r="A725" s="1" t="s">
        <v>1910</v>
      </c>
      <c r="B725" s="1" t="s">
        <v>1413</v>
      </c>
      <c r="C725">
        <v>84</v>
      </c>
      <c r="D725" s="1" t="s">
        <v>25</v>
      </c>
      <c r="E725" s="1" t="s">
        <v>192</v>
      </c>
      <c r="F725" s="1" t="s">
        <v>87</v>
      </c>
      <c r="G725" s="2">
        <v>46221</v>
      </c>
      <c r="H725" s="2">
        <v>46236</v>
      </c>
      <c r="I725" s="1" t="s">
        <v>53</v>
      </c>
      <c r="J725" s="1" t="s">
        <v>2081</v>
      </c>
      <c r="K725" s="1" t="s">
        <v>148</v>
      </c>
      <c r="L725" s="1" t="s">
        <v>44</v>
      </c>
      <c r="M725" s="1" t="s">
        <v>2085</v>
      </c>
      <c r="N725">
        <v>57310.79</v>
      </c>
      <c r="O725">
        <v>69552.92</v>
      </c>
      <c r="P725">
        <v>33016.04</v>
      </c>
      <c r="Q725">
        <v>15</v>
      </c>
      <c r="R725">
        <v>104</v>
      </c>
      <c r="S725">
        <v>3.6</v>
      </c>
      <c r="T725" s="1" t="s">
        <v>34</v>
      </c>
      <c r="U725" s="1" t="s">
        <v>35</v>
      </c>
      <c r="V725" s="1" t="s">
        <v>102</v>
      </c>
      <c r="W725" s="1" t="s">
        <v>83</v>
      </c>
      <c r="X725">
        <v>159879.75</v>
      </c>
      <c r="Y725" s="1" t="s">
        <v>2088</v>
      </c>
      <c r="Z725" s="1" t="s">
        <v>2080</v>
      </c>
      <c r="AO725" t="str">
        <v>P00869</v>
      </c>
    </row>
    <row r="726" spans="1:41" x14ac:dyDescent="0.35">
      <c r="A726" s="1" t="s">
        <v>1912</v>
      </c>
      <c r="B726" s="1" t="s">
        <v>97</v>
      </c>
      <c r="C726">
        <v>64</v>
      </c>
      <c r="D726" s="1" t="s">
        <v>119</v>
      </c>
      <c r="E726" s="1" t="s">
        <v>192</v>
      </c>
      <c r="F726" s="1" t="s">
        <v>87</v>
      </c>
      <c r="G726" s="2">
        <v>45988</v>
      </c>
      <c r="H726" s="2">
        <v>45989</v>
      </c>
      <c r="I726" s="1" t="s">
        <v>53</v>
      </c>
      <c r="J726" s="1" t="s">
        <v>90</v>
      </c>
      <c r="K726" s="1" t="s">
        <v>81</v>
      </c>
      <c r="L726" s="1" t="s">
        <v>32</v>
      </c>
      <c r="M726" s="1" t="s">
        <v>2092</v>
      </c>
      <c r="N726">
        <v>237624.11</v>
      </c>
      <c r="O726">
        <v>18086.21</v>
      </c>
      <c r="P726">
        <v>5862.32</v>
      </c>
      <c r="Q726">
        <v>1</v>
      </c>
      <c r="R726">
        <v>27</v>
      </c>
      <c r="S726">
        <v>1.6</v>
      </c>
      <c r="T726" s="1" t="s">
        <v>34</v>
      </c>
      <c r="U726" s="1" t="s">
        <v>95</v>
      </c>
      <c r="V726" s="1" t="s">
        <v>102</v>
      </c>
      <c r="W726" s="1" t="s">
        <v>83</v>
      </c>
      <c r="X726">
        <v>261572.63999999998</v>
      </c>
      <c r="Y726" s="1" t="s">
        <v>2088</v>
      </c>
      <c r="Z726" s="1" t="s">
        <v>2083</v>
      </c>
      <c r="AO726" t="str">
        <v>P00870</v>
      </c>
    </row>
    <row r="727" spans="1:41" x14ac:dyDescent="0.35">
      <c r="A727" s="1" t="s">
        <v>1913</v>
      </c>
      <c r="B727" s="1" t="s">
        <v>288</v>
      </c>
      <c r="C727">
        <v>16</v>
      </c>
      <c r="D727" s="1" t="s">
        <v>25</v>
      </c>
      <c r="E727" s="1" t="s">
        <v>192</v>
      </c>
      <c r="F727" s="1" t="s">
        <v>87</v>
      </c>
      <c r="G727" s="2">
        <v>46102</v>
      </c>
      <c r="H727" s="2">
        <v>46105</v>
      </c>
      <c r="I727" s="1" t="s">
        <v>273</v>
      </c>
      <c r="J727" s="1" t="s">
        <v>90</v>
      </c>
      <c r="K727" s="1" t="s">
        <v>91</v>
      </c>
      <c r="L727" s="1" t="s">
        <v>32</v>
      </c>
      <c r="M727" s="1" t="s">
        <v>2086</v>
      </c>
      <c r="N727">
        <v>182821.53</v>
      </c>
      <c r="O727">
        <v>64252.55</v>
      </c>
      <c r="P727">
        <v>80978.990000000005</v>
      </c>
      <c r="Q727">
        <v>3</v>
      </c>
      <c r="R727">
        <v>92</v>
      </c>
      <c r="S727">
        <v>3.6</v>
      </c>
      <c r="T727" s="1" t="s">
        <v>34</v>
      </c>
      <c r="U727" s="1" t="s">
        <v>35</v>
      </c>
      <c r="V727" s="1" t="s">
        <v>130</v>
      </c>
      <c r="W727" s="1" t="s">
        <v>83</v>
      </c>
      <c r="X727">
        <v>328053.07</v>
      </c>
      <c r="Y727" s="1" t="s">
        <v>2093</v>
      </c>
      <c r="Z727" s="1" t="s">
        <v>2080</v>
      </c>
      <c r="AO727" t="str">
        <v>P00871</v>
      </c>
    </row>
    <row r="728" spans="1:41" x14ac:dyDescent="0.35">
      <c r="A728" s="1" t="s">
        <v>1916</v>
      </c>
      <c r="B728" s="1" t="s">
        <v>1069</v>
      </c>
      <c r="C728">
        <v>35</v>
      </c>
      <c r="D728" s="1" t="s">
        <v>119</v>
      </c>
      <c r="E728" s="1" t="s">
        <v>51</v>
      </c>
      <c r="F728" s="1" t="s">
        <v>41</v>
      </c>
      <c r="G728" s="2">
        <v>45308</v>
      </c>
      <c r="H728" s="2">
        <v>45311</v>
      </c>
      <c r="I728" s="1" t="s">
        <v>159</v>
      </c>
      <c r="J728" s="1" t="s">
        <v>54</v>
      </c>
      <c r="K728" s="1" t="s">
        <v>148</v>
      </c>
      <c r="L728" s="1" t="s">
        <v>32</v>
      </c>
      <c r="M728" s="1" t="s">
        <v>2087</v>
      </c>
      <c r="N728">
        <v>194235.46</v>
      </c>
      <c r="O728">
        <v>0</v>
      </c>
      <c r="P728">
        <v>38346.559999999998</v>
      </c>
      <c r="Q728">
        <v>3</v>
      </c>
      <c r="R728">
        <v>167</v>
      </c>
      <c r="S728">
        <v>2.9</v>
      </c>
      <c r="T728" s="1" t="s">
        <v>34</v>
      </c>
      <c r="U728" s="1" t="s">
        <v>35</v>
      </c>
      <c r="V728" s="1" t="s">
        <v>130</v>
      </c>
      <c r="W728" s="1" t="s">
        <v>131</v>
      </c>
      <c r="X728">
        <v>232582.02</v>
      </c>
      <c r="Y728" s="1" t="s">
        <v>2082</v>
      </c>
      <c r="Z728" s="1" t="s">
        <v>2080</v>
      </c>
      <c r="AO728" t="str">
        <v>P00872</v>
      </c>
    </row>
    <row r="729" spans="1:41" x14ac:dyDescent="0.35">
      <c r="A729" s="1" t="s">
        <v>1919</v>
      </c>
      <c r="B729" s="1" t="s">
        <v>85</v>
      </c>
      <c r="C729">
        <v>53</v>
      </c>
      <c r="D729" s="1" t="s">
        <v>25</v>
      </c>
      <c r="E729" s="1" t="s">
        <v>86</v>
      </c>
      <c r="F729" s="1" t="s">
        <v>135</v>
      </c>
      <c r="G729" s="2">
        <v>45847</v>
      </c>
      <c r="H729" s="2">
        <v>45849</v>
      </c>
      <c r="I729" s="1" t="s">
        <v>127</v>
      </c>
      <c r="J729" s="1" t="s">
        <v>147</v>
      </c>
      <c r="K729" s="1" t="s">
        <v>148</v>
      </c>
      <c r="L729" s="1" t="s">
        <v>32</v>
      </c>
      <c r="M729" s="1" t="s">
        <v>57</v>
      </c>
      <c r="N729">
        <v>295237.68</v>
      </c>
      <c r="O729">
        <v>46057.53</v>
      </c>
      <c r="P729">
        <v>0</v>
      </c>
      <c r="Q729">
        <v>2</v>
      </c>
      <c r="R729">
        <v>170</v>
      </c>
      <c r="S729">
        <v>3</v>
      </c>
      <c r="T729" s="1" t="s">
        <v>46</v>
      </c>
      <c r="U729" s="1" t="s">
        <v>95</v>
      </c>
      <c r="V729" s="1" t="s">
        <v>102</v>
      </c>
      <c r="W729" s="1" t="s">
        <v>131</v>
      </c>
      <c r="X729">
        <v>341295.20999999996</v>
      </c>
      <c r="Y729" s="1" t="s">
        <v>2079</v>
      </c>
      <c r="Z729" s="1" t="s">
        <v>2080</v>
      </c>
      <c r="AO729" t="str">
        <v>P00874</v>
      </c>
    </row>
    <row r="730" spans="1:41" x14ac:dyDescent="0.35">
      <c r="A730" s="1" t="s">
        <v>1920</v>
      </c>
      <c r="B730" s="1" t="s">
        <v>826</v>
      </c>
      <c r="C730">
        <v>92</v>
      </c>
      <c r="D730" s="1" t="s">
        <v>119</v>
      </c>
      <c r="E730" s="1" t="s">
        <v>86</v>
      </c>
      <c r="F730" s="1" t="s">
        <v>227</v>
      </c>
      <c r="G730" s="2">
        <v>45784</v>
      </c>
      <c r="H730" s="2">
        <v>45786</v>
      </c>
      <c r="I730" s="1" t="s">
        <v>221</v>
      </c>
      <c r="J730" s="1" t="s">
        <v>152</v>
      </c>
      <c r="K730" s="1" t="s">
        <v>163</v>
      </c>
      <c r="L730" s="1" t="s">
        <v>44</v>
      </c>
      <c r="M730" s="1" t="s">
        <v>2092</v>
      </c>
      <c r="N730">
        <v>262262.27</v>
      </c>
      <c r="O730">
        <v>20341.939999999999</v>
      </c>
      <c r="P730">
        <v>0</v>
      </c>
      <c r="Q730">
        <v>2</v>
      </c>
      <c r="R730">
        <v>199</v>
      </c>
      <c r="S730">
        <v>2</v>
      </c>
      <c r="T730" s="1" t="s">
        <v>34</v>
      </c>
      <c r="U730" s="1" t="s">
        <v>95</v>
      </c>
      <c r="V730" s="1" t="s">
        <v>130</v>
      </c>
      <c r="W730" s="1" t="s">
        <v>131</v>
      </c>
      <c r="X730">
        <v>282604.21000000002</v>
      </c>
      <c r="Y730" s="1" t="s">
        <v>2088</v>
      </c>
      <c r="Z730" s="1" t="s">
        <v>2080</v>
      </c>
      <c r="AO730" t="str">
        <v>P00875</v>
      </c>
    </row>
    <row r="731" spans="1:41" x14ac:dyDescent="0.35">
      <c r="A731" s="1" t="s">
        <v>1922</v>
      </c>
      <c r="B731" s="1" t="s">
        <v>191</v>
      </c>
      <c r="C731">
        <v>35</v>
      </c>
      <c r="D731" s="1" t="s">
        <v>25</v>
      </c>
      <c r="E731" s="1" t="s">
        <v>26</v>
      </c>
      <c r="F731" s="1" t="s">
        <v>227</v>
      </c>
      <c r="G731" s="2">
        <v>46238</v>
      </c>
      <c r="H731" s="2">
        <v>46239</v>
      </c>
      <c r="I731" s="1" t="s">
        <v>273</v>
      </c>
      <c r="J731" s="1" t="s">
        <v>2081</v>
      </c>
      <c r="K731" s="1" t="s">
        <v>122</v>
      </c>
      <c r="L731" s="1" t="s">
        <v>44</v>
      </c>
      <c r="M731" s="1" t="s">
        <v>57</v>
      </c>
      <c r="N731">
        <v>418297.65</v>
      </c>
      <c r="O731">
        <v>49331</v>
      </c>
      <c r="P731">
        <v>40264.870000000003</v>
      </c>
      <c r="Q731">
        <v>1</v>
      </c>
      <c r="R731">
        <v>118</v>
      </c>
      <c r="S731">
        <v>2.9</v>
      </c>
      <c r="T731" s="1" t="s">
        <v>46</v>
      </c>
      <c r="U731" s="1" t="s">
        <v>95</v>
      </c>
      <c r="V731" s="1" t="s">
        <v>130</v>
      </c>
      <c r="W731" s="1" t="s">
        <v>83</v>
      </c>
      <c r="X731">
        <v>507893.52</v>
      </c>
      <c r="Y731" s="1" t="s">
        <v>2082</v>
      </c>
      <c r="Z731" s="1" t="s">
        <v>2080</v>
      </c>
      <c r="AO731" t="str">
        <v>P00876</v>
      </c>
    </row>
    <row r="732" spans="1:41" x14ac:dyDescent="0.35">
      <c r="A732" s="1" t="s">
        <v>1924</v>
      </c>
      <c r="B732" s="1" t="s">
        <v>569</v>
      </c>
      <c r="C732">
        <v>44</v>
      </c>
      <c r="D732" s="1" t="s">
        <v>25</v>
      </c>
      <c r="E732" s="1" t="s">
        <v>26</v>
      </c>
      <c r="F732" s="1" t="s">
        <v>145</v>
      </c>
      <c r="G732" s="2">
        <v>46054</v>
      </c>
      <c r="H732" s="2">
        <v>46057</v>
      </c>
      <c r="I732" s="1" t="s">
        <v>53</v>
      </c>
      <c r="J732" s="1" t="s">
        <v>115</v>
      </c>
      <c r="K732" s="1" t="s">
        <v>122</v>
      </c>
      <c r="L732" s="1" t="s">
        <v>44</v>
      </c>
      <c r="M732" s="1" t="s">
        <v>2085</v>
      </c>
      <c r="N732">
        <v>355627.79</v>
      </c>
      <c r="O732">
        <v>54179.45</v>
      </c>
      <c r="P732">
        <v>59819.32</v>
      </c>
      <c r="Q732">
        <v>3</v>
      </c>
      <c r="R732">
        <v>67</v>
      </c>
      <c r="S732">
        <v>4.7</v>
      </c>
      <c r="T732" s="1" t="s">
        <v>46</v>
      </c>
      <c r="U732" s="1" t="s">
        <v>95</v>
      </c>
      <c r="V732" s="1" t="s">
        <v>130</v>
      </c>
      <c r="W732" s="1" t="s">
        <v>83</v>
      </c>
      <c r="X732">
        <v>469626.56</v>
      </c>
      <c r="Y732" s="1" t="s">
        <v>2079</v>
      </c>
      <c r="Z732" s="1" t="s">
        <v>2080</v>
      </c>
      <c r="AO732" t="str">
        <v>P00877</v>
      </c>
    </row>
    <row r="733" spans="1:41" x14ac:dyDescent="0.35">
      <c r="A733" s="1" t="s">
        <v>1925</v>
      </c>
      <c r="B733" s="1" t="s">
        <v>1021</v>
      </c>
      <c r="C733">
        <v>19</v>
      </c>
      <c r="D733" s="1" t="s">
        <v>119</v>
      </c>
      <c r="E733" s="1" t="s">
        <v>2084</v>
      </c>
      <c r="F733" s="1" t="s">
        <v>145</v>
      </c>
      <c r="G733" s="2">
        <v>45717</v>
      </c>
      <c r="H733" s="2">
        <v>45719</v>
      </c>
      <c r="I733" s="1" t="s">
        <v>53</v>
      </c>
      <c r="J733" s="1" t="s">
        <v>87</v>
      </c>
      <c r="K733" s="1" t="s">
        <v>163</v>
      </c>
      <c r="L733" s="1" t="s">
        <v>44</v>
      </c>
      <c r="M733" s="1" t="s">
        <v>57</v>
      </c>
      <c r="N733">
        <v>163539.71</v>
      </c>
      <c r="O733">
        <v>32113.17</v>
      </c>
      <c r="P733">
        <v>72306.47</v>
      </c>
      <c r="Q733">
        <v>2</v>
      </c>
      <c r="R733">
        <v>81</v>
      </c>
      <c r="S733">
        <v>2.9</v>
      </c>
      <c r="T733" s="1" t="s">
        <v>46</v>
      </c>
      <c r="U733" s="1" t="s">
        <v>35</v>
      </c>
      <c r="V733" s="1" t="s">
        <v>102</v>
      </c>
      <c r="W733" s="1" t="s">
        <v>83</v>
      </c>
      <c r="X733">
        <v>267959.34999999998</v>
      </c>
      <c r="Y733" s="1" t="s">
        <v>2082</v>
      </c>
      <c r="Z733" s="1" t="s">
        <v>2080</v>
      </c>
      <c r="AO733" t="str">
        <v>P00879</v>
      </c>
    </row>
    <row r="734" spans="1:41" x14ac:dyDescent="0.35">
      <c r="A734" s="1" t="s">
        <v>1926</v>
      </c>
      <c r="B734" s="1" t="s">
        <v>1100</v>
      </c>
      <c r="C734">
        <v>45</v>
      </c>
      <c r="D734" s="1" t="s">
        <v>25</v>
      </c>
      <c r="E734" s="1" t="s">
        <v>40</v>
      </c>
      <c r="F734" s="1" t="s">
        <v>63</v>
      </c>
      <c r="G734" s="2">
        <v>46147</v>
      </c>
      <c r="H734" s="2">
        <v>46150</v>
      </c>
      <c r="I734" s="1" t="s">
        <v>273</v>
      </c>
      <c r="J734" s="1" t="s">
        <v>2081</v>
      </c>
      <c r="K734" s="1" t="s">
        <v>148</v>
      </c>
      <c r="L734" s="1" t="s">
        <v>44</v>
      </c>
      <c r="M734" s="1" t="s">
        <v>57</v>
      </c>
      <c r="N734">
        <v>246017.27</v>
      </c>
      <c r="O734">
        <v>52996.79</v>
      </c>
      <c r="P734">
        <v>75567.7</v>
      </c>
      <c r="Q734">
        <v>3</v>
      </c>
      <c r="R734">
        <v>50</v>
      </c>
      <c r="S734">
        <v>2.9</v>
      </c>
      <c r="T734" s="1" t="s">
        <v>46</v>
      </c>
      <c r="U734" s="1" t="s">
        <v>95</v>
      </c>
      <c r="V734" s="1" t="s">
        <v>102</v>
      </c>
      <c r="W734" s="1" t="s">
        <v>12</v>
      </c>
      <c r="X734">
        <v>374581.76000000001</v>
      </c>
      <c r="Y734" s="1" t="s">
        <v>2079</v>
      </c>
      <c r="Z734" s="1" t="s">
        <v>2091</v>
      </c>
      <c r="AO734" t="str">
        <v>P00881</v>
      </c>
    </row>
    <row r="735" spans="1:41" x14ac:dyDescent="0.35">
      <c r="A735" s="1" t="s">
        <v>1927</v>
      </c>
      <c r="B735" s="1" t="s">
        <v>583</v>
      </c>
      <c r="C735">
        <v>58</v>
      </c>
      <c r="D735" s="1" t="s">
        <v>25</v>
      </c>
      <c r="E735" s="1" t="s">
        <v>107</v>
      </c>
      <c r="F735" s="1" t="s">
        <v>227</v>
      </c>
      <c r="G735" s="2">
        <v>45368</v>
      </c>
      <c r="H735" s="2">
        <v>45369</v>
      </c>
      <c r="I735" s="1" t="s">
        <v>114</v>
      </c>
      <c r="J735" s="1" t="s">
        <v>115</v>
      </c>
      <c r="K735" s="1" t="s">
        <v>148</v>
      </c>
      <c r="L735" s="1" t="s">
        <v>44</v>
      </c>
      <c r="M735" s="1" t="s">
        <v>2087</v>
      </c>
      <c r="N735">
        <v>422834.82</v>
      </c>
      <c r="O735">
        <v>22122.95</v>
      </c>
      <c r="P735">
        <v>37757.08</v>
      </c>
      <c r="Q735">
        <v>1</v>
      </c>
      <c r="R735">
        <v>205</v>
      </c>
      <c r="S735">
        <v>4.4000000000000004</v>
      </c>
      <c r="T735" s="1" t="s">
        <v>46</v>
      </c>
      <c r="U735" s="1" t="s">
        <v>149</v>
      </c>
      <c r="V735" s="1" t="s">
        <v>75</v>
      </c>
      <c r="W735" s="1" t="s">
        <v>83</v>
      </c>
      <c r="X735">
        <v>482714.85000000003</v>
      </c>
      <c r="Y735" s="1" t="s">
        <v>2079</v>
      </c>
      <c r="Z735" s="1" t="s">
        <v>2080</v>
      </c>
      <c r="AO735" t="str">
        <v>P00882</v>
      </c>
    </row>
    <row r="736" spans="1:41" x14ac:dyDescent="0.35">
      <c r="A736" s="1" t="s">
        <v>1929</v>
      </c>
      <c r="B736" s="1" t="s">
        <v>904</v>
      </c>
      <c r="C736">
        <v>16</v>
      </c>
      <c r="D736" s="1" t="s">
        <v>25</v>
      </c>
      <c r="E736" s="1" t="s">
        <v>157</v>
      </c>
      <c r="F736" s="1" t="s">
        <v>135</v>
      </c>
      <c r="G736" s="2">
        <v>45633</v>
      </c>
      <c r="H736" s="2">
        <v>45637</v>
      </c>
      <c r="I736" s="1" t="s">
        <v>159</v>
      </c>
      <c r="J736" s="1" t="s">
        <v>90</v>
      </c>
      <c r="K736" s="1" t="s">
        <v>128</v>
      </c>
      <c r="L736" s="1" t="s">
        <v>44</v>
      </c>
      <c r="M736" s="1" t="s">
        <v>2092</v>
      </c>
      <c r="N736">
        <v>315021.93</v>
      </c>
      <c r="O736">
        <v>6771.59</v>
      </c>
      <c r="P736">
        <v>10979.39</v>
      </c>
      <c r="Q736">
        <v>4</v>
      </c>
      <c r="R736">
        <v>68</v>
      </c>
      <c r="S736">
        <v>2.9</v>
      </c>
      <c r="T736" s="1" t="s">
        <v>46</v>
      </c>
      <c r="U736" s="1" t="s">
        <v>95</v>
      </c>
      <c r="V736" s="1" t="s">
        <v>75</v>
      </c>
      <c r="W736" s="1" t="s">
        <v>83</v>
      </c>
      <c r="X736">
        <v>332772.91000000003</v>
      </c>
      <c r="Y736" s="1" t="s">
        <v>2093</v>
      </c>
      <c r="Z736" s="1" t="s">
        <v>2080</v>
      </c>
      <c r="AO736" t="str">
        <v>P00884</v>
      </c>
    </row>
    <row r="737" spans="1:41" x14ac:dyDescent="0.35">
      <c r="A737" s="1" t="s">
        <v>1933</v>
      </c>
      <c r="B737" s="1" t="s">
        <v>206</v>
      </c>
      <c r="C737">
        <v>41</v>
      </c>
      <c r="D737" s="1" t="s">
        <v>25</v>
      </c>
      <c r="E737" s="1" t="s">
        <v>263</v>
      </c>
      <c r="F737" s="1" t="s">
        <v>135</v>
      </c>
      <c r="G737" s="2">
        <v>45707</v>
      </c>
      <c r="H737" s="2">
        <v>45712</v>
      </c>
      <c r="I737" s="1" t="s">
        <v>257</v>
      </c>
      <c r="J737" s="1" t="s">
        <v>87</v>
      </c>
      <c r="K737" s="1" t="s">
        <v>122</v>
      </c>
      <c r="L737" s="1" t="s">
        <v>32</v>
      </c>
      <c r="M737" s="1" t="s">
        <v>2078</v>
      </c>
      <c r="N737">
        <v>224028.58</v>
      </c>
      <c r="O737">
        <v>25372.560000000001</v>
      </c>
      <c r="P737">
        <v>81363.88</v>
      </c>
      <c r="Q737">
        <v>5</v>
      </c>
      <c r="R737">
        <v>2</v>
      </c>
      <c r="S737">
        <v>4.5</v>
      </c>
      <c r="T737" s="1" t="s">
        <v>46</v>
      </c>
      <c r="U737" s="1" t="s">
        <v>35</v>
      </c>
      <c r="V737" s="1" t="s">
        <v>130</v>
      </c>
      <c r="W737" s="1" t="s">
        <v>83</v>
      </c>
      <c r="X737">
        <v>330765.02</v>
      </c>
      <c r="Y737" s="1" t="s">
        <v>2079</v>
      </c>
      <c r="Z737" s="1" t="s">
        <v>2083</v>
      </c>
      <c r="AO737" t="str">
        <v>P00885</v>
      </c>
    </row>
    <row r="738" spans="1:41" x14ac:dyDescent="0.35">
      <c r="A738" s="1" t="s">
        <v>1934</v>
      </c>
      <c r="B738" s="1" t="s">
        <v>394</v>
      </c>
      <c r="C738">
        <v>58</v>
      </c>
      <c r="D738" s="1" t="s">
        <v>119</v>
      </c>
      <c r="E738" s="1" t="s">
        <v>263</v>
      </c>
      <c r="F738" s="1" t="s">
        <v>63</v>
      </c>
      <c r="G738" s="2">
        <v>45709</v>
      </c>
      <c r="H738" s="2">
        <v>45715</v>
      </c>
      <c r="I738" s="1" t="s">
        <v>159</v>
      </c>
      <c r="J738" s="1" t="s">
        <v>137</v>
      </c>
      <c r="K738" s="1" t="s">
        <v>174</v>
      </c>
      <c r="L738" s="1" t="s">
        <v>32</v>
      </c>
      <c r="M738" s="1" t="s">
        <v>2089</v>
      </c>
      <c r="N738">
        <v>545457.85</v>
      </c>
      <c r="O738">
        <v>16776.330000000002</v>
      </c>
      <c r="P738">
        <v>73719.14</v>
      </c>
      <c r="Q738">
        <v>6</v>
      </c>
      <c r="R738">
        <v>87</v>
      </c>
      <c r="S738">
        <v>5</v>
      </c>
      <c r="T738" s="1" t="s">
        <v>46</v>
      </c>
      <c r="U738" s="1" t="s">
        <v>101</v>
      </c>
      <c r="V738" s="1" t="s">
        <v>130</v>
      </c>
      <c r="W738" s="1" t="s">
        <v>59</v>
      </c>
      <c r="X738">
        <v>635953.31999999995</v>
      </c>
      <c r="Y738" s="1" t="s">
        <v>2079</v>
      </c>
      <c r="Z738" s="1" t="s">
        <v>2080</v>
      </c>
      <c r="AO738" t="str">
        <v>P00886</v>
      </c>
    </row>
    <row r="739" spans="1:41" x14ac:dyDescent="0.35">
      <c r="A739" s="1" t="s">
        <v>1935</v>
      </c>
      <c r="B739" s="1" t="s">
        <v>333</v>
      </c>
      <c r="C739">
        <v>34</v>
      </c>
      <c r="D739" s="1" t="s">
        <v>25</v>
      </c>
      <c r="E739" s="1" t="s">
        <v>157</v>
      </c>
      <c r="F739" s="1" t="s">
        <v>227</v>
      </c>
      <c r="G739" s="2">
        <v>45567</v>
      </c>
      <c r="H739" s="2">
        <v>45570</v>
      </c>
      <c r="I739" s="1" t="s">
        <v>273</v>
      </c>
      <c r="J739" s="1" t="s">
        <v>2081</v>
      </c>
      <c r="K739" s="1" t="s">
        <v>148</v>
      </c>
      <c r="L739" s="1" t="s">
        <v>32</v>
      </c>
      <c r="M739" s="1" t="s">
        <v>2090</v>
      </c>
      <c r="N739">
        <v>402850.11</v>
      </c>
      <c r="O739">
        <v>17710.95</v>
      </c>
      <c r="P739">
        <v>2618.23</v>
      </c>
      <c r="Q739">
        <v>3</v>
      </c>
      <c r="R739">
        <v>56</v>
      </c>
      <c r="S739">
        <v>4.5</v>
      </c>
      <c r="T739" s="1" t="s">
        <v>46</v>
      </c>
      <c r="U739" s="1" t="s">
        <v>35</v>
      </c>
      <c r="V739" s="1" t="s">
        <v>130</v>
      </c>
      <c r="W739" s="1" t="s">
        <v>59</v>
      </c>
      <c r="X739">
        <v>423179.29</v>
      </c>
      <c r="Y739" s="1" t="s">
        <v>2082</v>
      </c>
      <c r="Z739" s="1" t="s">
        <v>2091</v>
      </c>
      <c r="AO739" t="str">
        <v>P00887</v>
      </c>
    </row>
    <row r="740" spans="1:41" x14ac:dyDescent="0.35">
      <c r="A740" s="1" t="s">
        <v>1936</v>
      </c>
      <c r="B740" s="1" t="s">
        <v>598</v>
      </c>
      <c r="C740">
        <v>45</v>
      </c>
      <c r="D740" s="1" t="s">
        <v>25</v>
      </c>
      <c r="E740" s="1" t="s">
        <v>177</v>
      </c>
      <c r="F740" s="1" t="s">
        <v>227</v>
      </c>
      <c r="G740" s="2">
        <v>45979</v>
      </c>
      <c r="H740" s="2">
        <v>45987</v>
      </c>
      <c r="I740" s="1" t="s">
        <v>53</v>
      </c>
      <c r="J740" s="1" t="s">
        <v>30</v>
      </c>
      <c r="K740" s="1" t="s">
        <v>31</v>
      </c>
      <c r="L740" s="1" t="s">
        <v>32</v>
      </c>
      <c r="M740" s="1" t="s">
        <v>2089</v>
      </c>
      <c r="N740">
        <v>404547.59</v>
      </c>
      <c r="O740">
        <v>0</v>
      </c>
      <c r="P740">
        <v>31702.1</v>
      </c>
      <c r="Q740">
        <v>8</v>
      </c>
      <c r="R740">
        <v>73</v>
      </c>
      <c r="S740">
        <v>3.6</v>
      </c>
      <c r="T740" s="1" t="s">
        <v>46</v>
      </c>
      <c r="U740" s="1" t="s">
        <v>35</v>
      </c>
      <c r="V740" s="1" t="s">
        <v>130</v>
      </c>
      <c r="W740" s="1" t="s">
        <v>83</v>
      </c>
      <c r="X740">
        <v>436249.69</v>
      </c>
      <c r="Y740" s="1" t="s">
        <v>2079</v>
      </c>
      <c r="Z740" s="1" t="s">
        <v>2080</v>
      </c>
      <c r="AO740" t="str">
        <v>P00888</v>
      </c>
    </row>
    <row r="741" spans="1:41" x14ac:dyDescent="0.35">
      <c r="A741" s="1" t="s">
        <v>1938</v>
      </c>
      <c r="B741" s="1" t="s">
        <v>713</v>
      </c>
      <c r="C741">
        <v>58</v>
      </c>
      <c r="D741" s="1" t="s">
        <v>25</v>
      </c>
      <c r="E741" s="1" t="s">
        <v>157</v>
      </c>
      <c r="F741" s="1" t="s">
        <v>227</v>
      </c>
      <c r="G741" s="2">
        <v>45306</v>
      </c>
      <c r="H741" s="2">
        <v>45309</v>
      </c>
      <c r="I741" s="1" t="s">
        <v>159</v>
      </c>
      <c r="J741" s="1" t="s">
        <v>137</v>
      </c>
      <c r="K741" s="1" t="s">
        <v>163</v>
      </c>
      <c r="L741" s="1" t="s">
        <v>32</v>
      </c>
      <c r="M741" s="1" t="s">
        <v>2078</v>
      </c>
      <c r="N741">
        <v>157727.04000000001</v>
      </c>
      <c r="O741">
        <v>33475.72</v>
      </c>
      <c r="P741">
        <v>43646.31</v>
      </c>
      <c r="Q741">
        <v>3</v>
      </c>
      <c r="R741">
        <v>25</v>
      </c>
      <c r="S741">
        <v>3.6</v>
      </c>
      <c r="T741" s="1" t="s">
        <v>46</v>
      </c>
      <c r="U741" s="1" t="s">
        <v>35</v>
      </c>
      <c r="V741" s="1" t="s">
        <v>102</v>
      </c>
      <c r="W741" s="1" t="s">
        <v>83</v>
      </c>
      <c r="X741">
        <v>234849.07</v>
      </c>
      <c r="Y741" s="1" t="s">
        <v>2079</v>
      </c>
      <c r="Z741" s="1" t="s">
        <v>2083</v>
      </c>
      <c r="AO741" t="str">
        <v>P00889</v>
      </c>
    </row>
    <row r="742" spans="1:41" x14ac:dyDescent="0.35">
      <c r="A742" s="1" t="s">
        <v>1941</v>
      </c>
      <c r="B742" s="1" t="s">
        <v>1103</v>
      </c>
      <c r="C742">
        <v>92</v>
      </c>
      <c r="D742" s="1" t="s">
        <v>119</v>
      </c>
      <c r="E742" s="1" t="s">
        <v>26</v>
      </c>
      <c r="F742" s="1" t="s">
        <v>63</v>
      </c>
      <c r="G742" s="2">
        <v>45353</v>
      </c>
      <c r="H742" s="2">
        <v>45354</v>
      </c>
      <c r="I742" s="1" t="s">
        <v>159</v>
      </c>
      <c r="J742" s="1" t="s">
        <v>115</v>
      </c>
      <c r="K742" s="1" t="s">
        <v>55</v>
      </c>
      <c r="L742" s="1" t="s">
        <v>66</v>
      </c>
      <c r="M742" s="1" t="s">
        <v>2078</v>
      </c>
      <c r="N742">
        <v>74681.210000000006</v>
      </c>
      <c r="O742">
        <v>0</v>
      </c>
      <c r="P742">
        <v>67034.3</v>
      </c>
      <c r="Q742">
        <v>1</v>
      </c>
      <c r="R742">
        <v>0</v>
      </c>
      <c r="S742">
        <v>3.4</v>
      </c>
      <c r="T742" s="1" t="s">
        <v>34</v>
      </c>
      <c r="U742" s="1" t="s">
        <v>95</v>
      </c>
      <c r="V742" s="1" t="s">
        <v>102</v>
      </c>
      <c r="W742" s="1" t="s">
        <v>131</v>
      </c>
      <c r="X742">
        <v>141715.51</v>
      </c>
      <c r="Y742" s="1" t="s">
        <v>2088</v>
      </c>
      <c r="Z742" s="1" t="s">
        <v>2083</v>
      </c>
      <c r="AO742" t="str">
        <v>P00891</v>
      </c>
    </row>
    <row r="743" spans="1:41" x14ac:dyDescent="0.35">
      <c r="A743" s="1" t="s">
        <v>1943</v>
      </c>
      <c r="B743" s="1" t="s">
        <v>883</v>
      </c>
      <c r="C743">
        <v>9</v>
      </c>
      <c r="D743" s="1" t="s">
        <v>119</v>
      </c>
      <c r="E743" s="1" t="s">
        <v>112</v>
      </c>
      <c r="F743" s="1" t="s">
        <v>227</v>
      </c>
      <c r="G743" s="2">
        <v>45521</v>
      </c>
      <c r="H743" s="2">
        <v>45535</v>
      </c>
      <c r="I743" s="1" t="s">
        <v>29</v>
      </c>
      <c r="J743" s="1" t="s">
        <v>115</v>
      </c>
      <c r="K743" s="1" t="s">
        <v>91</v>
      </c>
      <c r="L743" s="1" t="s">
        <v>44</v>
      </c>
      <c r="M743" s="1" t="s">
        <v>2087</v>
      </c>
      <c r="N743">
        <v>0</v>
      </c>
      <c r="O743">
        <v>0</v>
      </c>
      <c r="P743">
        <v>71950.789999999994</v>
      </c>
      <c r="Q743">
        <v>14</v>
      </c>
      <c r="R743">
        <v>179</v>
      </c>
      <c r="S743">
        <v>3</v>
      </c>
      <c r="T743" s="1" t="s">
        <v>46</v>
      </c>
      <c r="U743" s="1" t="s">
        <v>95</v>
      </c>
      <c r="V743" s="1" t="s">
        <v>130</v>
      </c>
      <c r="W743" s="1" t="s">
        <v>131</v>
      </c>
      <c r="X743">
        <v>71950.789999999994</v>
      </c>
      <c r="Y743" s="1" t="s">
        <v>2093</v>
      </c>
      <c r="Z743" s="1" t="s">
        <v>2080</v>
      </c>
      <c r="AO743" t="str">
        <v>P00893</v>
      </c>
    </row>
    <row r="744" spans="1:41" x14ac:dyDescent="0.35">
      <c r="A744" s="1" t="s">
        <v>1944</v>
      </c>
      <c r="B744" s="1" t="s">
        <v>1287</v>
      </c>
      <c r="C744">
        <v>73</v>
      </c>
      <c r="D744" s="1" t="s">
        <v>119</v>
      </c>
      <c r="E744" s="1" t="s">
        <v>157</v>
      </c>
      <c r="F744" s="1" t="s">
        <v>63</v>
      </c>
      <c r="G744" s="2">
        <v>45813</v>
      </c>
      <c r="H744" s="2">
        <v>45818</v>
      </c>
      <c r="I744" s="1" t="s">
        <v>173</v>
      </c>
      <c r="J744" s="1" t="s">
        <v>54</v>
      </c>
      <c r="K744" s="1" t="s">
        <v>153</v>
      </c>
      <c r="L744" s="1" t="s">
        <v>44</v>
      </c>
      <c r="M744" s="1" t="s">
        <v>57</v>
      </c>
      <c r="N744">
        <v>470228.5</v>
      </c>
      <c r="O744">
        <v>23841.62</v>
      </c>
      <c r="P744">
        <v>0</v>
      </c>
      <c r="Q744">
        <v>5</v>
      </c>
      <c r="R744">
        <v>33</v>
      </c>
      <c r="S744">
        <v>3.1</v>
      </c>
      <c r="T744" s="1" t="s">
        <v>34</v>
      </c>
      <c r="U744" s="1" t="s">
        <v>95</v>
      </c>
      <c r="V744" s="1" t="s">
        <v>130</v>
      </c>
      <c r="W744" s="1" t="s">
        <v>36</v>
      </c>
      <c r="X744">
        <v>494070.12</v>
      </c>
      <c r="Y744" s="1" t="s">
        <v>2088</v>
      </c>
      <c r="Z744" s="1" t="s">
        <v>2091</v>
      </c>
      <c r="AO744" t="str">
        <v>P00894</v>
      </c>
    </row>
    <row r="745" spans="1:41" x14ac:dyDescent="0.35">
      <c r="A745" s="1" t="s">
        <v>1945</v>
      </c>
      <c r="B745" s="1" t="s">
        <v>976</v>
      </c>
      <c r="C745">
        <v>38</v>
      </c>
      <c r="D745" s="1" t="s">
        <v>119</v>
      </c>
      <c r="E745" s="1" t="s">
        <v>157</v>
      </c>
      <c r="F745" s="1" t="s">
        <v>145</v>
      </c>
      <c r="G745" s="2">
        <v>45976</v>
      </c>
      <c r="H745" s="2">
        <v>45978</v>
      </c>
      <c r="I745" s="1" t="s">
        <v>273</v>
      </c>
      <c r="J745" s="1" t="s">
        <v>147</v>
      </c>
      <c r="K745" s="1" t="s">
        <v>148</v>
      </c>
      <c r="L745" s="1" t="s">
        <v>66</v>
      </c>
      <c r="M745" s="1" t="s">
        <v>2086</v>
      </c>
      <c r="N745">
        <v>376645.24</v>
      </c>
      <c r="O745">
        <v>61860.71</v>
      </c>
      <c r="P745">
        <v>39849.79</v>
      </c>
      <c r="Q745">
        <v>2</v>
      </c>
      <c r="R745">
        <v>177</v>
      </c>
      <c r="S745">
        <v>4.2</v>
      </c>
      <c r="T745" s="1" t="s">
        <v>46</v>
      </c>
      <c r="U745" s="1" t="s">
        <v>95</v>
      </c>
      <c r="V745" s="1" t="s">
        <v>102</v>
      </c>
      <c r="W745" s="1" t="s">
        <v>36</v>
      </c>
      <c r="X745">
        <v>478355.74</v>
      </c>
      <c r="Y745" s="1" t="s">
        <v>2079</v>
      </c>
      <c r="Z745" s="1" t="s">
        <v>2080</v>
      </c>
      <c r="AO745" t="str">
        <v>P00895</v>
      </c>
    </row>
    <row r="746" spans="1:41" x14ac:dyDescent="0.35">
      <c r="A746" s="1" t="s">
        <v>1947</v>
      </c>
      <c r="B746" s="1" t="s">
        <v>891</v>
      </c>
      <c r="C746">
        <v>70</v>
      </c>
      <c r="D746" s="1" t="s">
        <v>25</v>
      </c>
      <c r="E746" s="1" t="s">
        <v>2084</v>
      </c>
      <c r="F746" s="1" t="s">
        <v>41</v>
      </c>
      <c r="G746" s="2">
        <v>46069</v>
      </c>
      <c r="H746" s="2">
        <v>46073</v>
      </c>
      <c r="I746" s="1" t="s">
        <v>257</v>
      </c>
      <c r="J746" s="1" t="s">
        <v>115</v>
      </c>
      <c r="K746" s="1" t="s">
        <v>174</v>
      </c>
      <c r="L746" s="1" t="s">
        <v>44</v>
      </c>
      <c r="M746" s="1" t="s">
        <v>2089</v>
      </c>
      <c r="N746">
        <v>216584.2</v>
      </c>
      <c r="O746">
        <v>0</v>
      </c>
      <c r="P746">
        <v>70275.42</v>
      </c>
      <c r="Q746">
        <v>4</v>
      </c>
      <c r="R746">
        <v>151</v>
      </c>
      <c r="S746">
        <v>1.2</v>
      </c>
      <c r="T746" s="1" t="s">
        <v>46</v>
      </c>
      <c r="U746" s="1" t="s">
        <v>35</v>
      </c>
      <c r="V746" s="1" t="s">
        <v>102</v>
      </c>
      <c r="W746" s="1" t="s">
        <v>59</v>
      </c>
      <c r="X746">
        <v>286859.62</v>
      </c>
      <c r="Y746" s="1" t="s">
        <v>2088</v>
      </c>
      <c r="Z746" s="1" t="s">
        <v>2080</v>
      </c>
      <c r="AO746" t="str">
        <v>P00896</v>
      </c>
    </row>
    <row r="747" spans="1:41" x14ac:dyDescent="0.35">
      <c r="A747" s="1" t="s">
        <v>1948</v>
      </c>
      <c r="B747" s="1" t="s">
        <v>1287</v>
      </c>
      <c r="C747">
        <v>8</v>
      </c>
      <c r="D747" s="1" t="s">
        <v>25</v>
      </c>
      <c r="E747" s="1" t="s">
        <v>177</v>
      </c>
      <c r="F747" s="1" t="s">
        <v>108</v>
      </c>
      <c r="G747" s="2">
        <v>45853</v>
      </c>
      <c r="H747" s="2">
        <v>45856</v>
      </c>
      <c r="I747" s="1" t="s">
        <v>159</v>
      </c>
      <c r="J747" s="1" t="s">
        <v>30</v>
      </c>
      <c r="K747" s="1" t="s">
        <v>122</v>
      </c>
      <c r="L747" s="1" t="s">
        <v>44</v>
      </c>
      <c r="M747" s="1" t="s">
        <v>2089</v>
      </c>
      <c r="N747">
        <v>126948.85</v>
      </c>
      <c r="O747">
        <v>7429.78</v>
      </c>
      <c r="P747">
        <v>69277.94</v>
      </c>
      <c r="Q747">
        <v>3</v>
      </c>
      <c r="R747">
        <v>103</v>
      </c>
      <c r="S747">
        <v>2</v>
      </c>
      <c r="T747" s="1" t="s">
        <v>34</v>
      </c>
      <c r="U747" s="1" t="s">
        <v>95</v>
      </c>
      <c r="V747" s="1" t="s">
        <v>102</v>
      </c>
      <c r="W747" s="1" t="s">
        <v>131</v>
      </c>
      <c r="X747">
        <v>203656.57</v>
      </c>
      <c r="Y747" s="1" t="s">
        <v>2093</v>
      </c>
      <c r="Z747" s="1" t="s">
        <v>2080</v>
      </c>
      <c r="AO747" t="str">
        <v>P00897</v>
      </c>
    </row>
    <row r="748" spans="1:41" x14ac:dyDescent="0.35">
      <c r="A748" s="1" t="s">
        <v>1950</v>
      </c>
      <c r="B748" s="1" t="s">
        <v>1951</v>
      </c>
      <c r="C748">
        <v>11</v>
      </c>
      <c r="D748" s="1" t="s">
        <v>25</v>
      </c>
      <c r="E748" s="1" t="s">
        <v>263</v>
      </c>
      <c r="F748" s="1" t="s">
        <v>120</v>
      </c>
      <c r="G748" s="2">
        <v>45413</v>
      </c>
      <c r="H748" s="2">
        <v>45418</v>
      </c>
      <c r="I748" s="1" t="s">
        <v>257</v>
      </c>
      <c r="J748" s="1" t="s">
        <v>141</v>
      </c>
      <c r="K748" s="1" t="s">
        <v>91</v>
      </c>
      <c r="L748" s="1" t="s">
        <v>44</v>
      </c>
      <c r="M748" s="1" t="s">
        <v>2087</v>
      </c>
      <c r="N748">
        <v>266215.93</v>
      </c>
      <c r="O748">
        <v>9649.73</v>
      </c>
      <c r="P748">
        <v>34029.69</v>
      </c>
      <c r="Q748">
        <v>5</v>
      </c>
      <c r="R748">
        <v>132</v>
      </c>
      <c r="S748">
        <v>4.4000000000000004</v>
      </c>
      <c r="T748" s="1" t="s">
        <v>46</v>
      </c>
      <c r="U748" s="1" t="s">
        <v>149</v>
      </c>
      <c r="V748" s="1" t="s">
        <v>130</v>
      </c>
      <c r="W748" s="1" t="s">
        <v>131</v>
      </c>
      <c r="X748">
        <v>309895.34999999998</v>
      </c>
      <c r="Y748" s="1" t="s">
        <v>2093</v>
      </c>
      <c r="Z748" s="1" t="s">
        <v>2080</v>
      </c>
      <c r="AO748" t="str">
        <v>P00898</v>
      </c>
    </row>
    <row r="749" spans="1:41" x14ac:dyDescent="0.35">
      <c r="A749" s="1" t="s">
        <v>1952</v>
      </c>
      <c r="B749" s="1" t="s">
        <v>1425</v>
      </c>
      <c r="C749">
        <v>41</v>
      </c>
      <c r="D749" s="1" t="s">
        <v>119</v>
      </c>
      <c r="E749" s="1" t="s">
        <v>26</v>
      </c>
      <c r="F749" s="1" t="s">
        <v>227</v>
      </c>
      <c r="G749" s="2">
        <v>45576</v>
      </c>
      <c r="H749" s="2">
        <v>45584</v>
      </c>
      <c r="I749" s="1" t="s">
        <v>173</v>
      </c>
      <c r="J749" s="1" t="s">
        <v>141</v>
      </c>
      <c r="K749" s="1" t="s">
        <v>122</v>
      </c>
      <c r="L749" s="1" t="s">
        <v>44</v>
      </c>
      <c r="M749" s="1" t="s">
        <v>2090</v>
      </c>
      <c r="N749">
        <v>262903.12</v>
      </c>
      <c r="O749">
        <v>19056.57</v>
      </c>
      <c r="P749">
        <v>50459.7</v>
      </c>
      <c r="Q749">
        <v>8</v>
      </c>
      <c r="R749">
        <v>127</v>
      </c>
      <c r="S749">
        <v>3.6</v>
      </c>
      <c r="T749" s="1" t="s">
        <v>46</v>
      </c>
      <c r="U749" s="1" t="s">
        <v>149</v>
      </c>
      <c r="V749" s="1" t="s">
        <v>130</v>
      </c>
      <c r="W749" s="1" t="s">
        <v>131</v>
      </c>
      <c r="X749">
        <v>332419.39</v>
      </c>
      <c r="Y749" s="1" t="s">
        <v>2079</v>
      </c>
      <c r="Z749" s="1" t="s">
        <v>2080</v>
      </c>
      <c r="AO749" t="str">
        <v>P00899</v>
      </c>
    </row>
    <row r="750" spans="1:41" x14ac:dyDescent="0.35">
      <c r="A750" s="1" t="s">
        <v>1953</v>
      </c>
      <c r="B750" s="1" t="s">
        <v>800</v>
      </c>
      <c r="C750">
        <v>50</v>
      </c>
      <c r="D750" s="1" t="s">
        <v>119</v>
      </c>
      <c r="E750" s="1" t="s">
        <v>112</v>
      </c>
      <c r="F750" s="1" t="s">
        <v>227</v>
      </c>
      <c r="G750" s="2">
        <v>45338</v>
      </c>
      <c r="H750" s="2">
        <v>45339</v>
      </c>
      <c r="I750" s="1" t="s">
        <v>159</v>
      </c>
      <c r="J750" s="1" t="s">
        <v>30</v>
      </c>
      <c r="K750" s="1" t="s">
        <v>163</v>
      </c>
      <c r="L750" s="1" t="s">
        <v>66</v>
      </c>
      <c r="M750" s="1" t="s">
        <v>2090</v>
      </c>
      <c r="N750">
        <v>271038.61</v>
      </c>
      <c r="O750">
        <v>12995.66</v>
      </c>
      <c r="P750">
        <v>6468.39</v>
      </c>
      <c r="Q750">
        <v>1</v>
      </c>
      <c r="R750">
        <v>205</v>
      </c>
      <c r="S750">
        <v>4.3</v>
      </c>
      <c r="T750" s="1" t="s">
        <v>34</v>
      </c>
      <c r="U750" s="1" t="s">
        <v>149</v>
      </c>
      <c r="V750" s="1" t="s">
        <v>130</v>
      </c>
      <c r="W750" s="1" t="s">
        <v>83</v>
      </c>
      <c r="X750">
        <v>290502.65999999997</v>
      </c>
      <c r="Y750" s="1" t="s">
        <v>2079</v>
      </c>
      <c r="Z750" s="1" t="s">
        <v>2080</v>
      </c>
      <c r="AO750" t="str">
        <v>P00900</v>
      </c>
    </row>
    <row r="751" spans="1:41" x14ac:dyDescent="0.35">
      <c r="A751" s="1" t="s">
        <v>1955</v>
      </c>
      <c r="B751" s="1" t="s">
        <v>723</v>
      </c>
      <c r="C751">
        <v>17</v>
      </c>
      <c r="D751" s="1" t="s">
        <v>119</v>
      </c>
      <c r="E751" s="1" t="s">
        <v>177</v>
      </c>
      <c r="F751" s="1" t="s">
        <v>227</v>
      </c>
      <c r="G751" s="2">
        <v>45598</v>
      </c>
      <c r="H751" s="2">
        <v>45600</v>
      </c>
      <c r="I751" s="1" t="s">
        <v>221</v>
      </c>
      <c r="J751" s="1" t="s">
        <v>30</v>
      </c>
      <c r="K751" s="1" t="s">
        <v>163</v>
      </c>
      <c r="L751" s="1" t="s">
        <v>44</v>
      </c>
      <c r="M751" s="1" t="s">
        <v>2086</v>
      </c>
      <c r="N751">
        <v>104945.92</v>
      </c>
      <c r="O751">
        <v>62564.76</v>
      </c>
      <c r="P751">
        <v>49129.86</v>
      </c>
      <c r="Q751">
        <v>2</v>
      </c>
      <c r="R751">
        <v>53</v>
      </c>
      <c r="S751">
        <v>4.4000000000000004</v>
      </c>
      <c r="T751" s="1" t="s">
        <v>34</v>
      </c>
      <c r="U751" s="1" t="s">
        <v>149</v>
      </c>
      <c r="V751" s="1" t="s">
        <v>102</v>
      </c>
      <c r="W751" s="1" t="s">
        <v>36</v>
      </c>
      <c r="X751">
        <v>216640.53999999998</v>
      </c>
      <c r="Y751" s="1" t="s">
        <v>2093</v>
      </c>
      <c r="Z751" s="1" t="s">
        <v>2091</v>
      </c>
      <c r="AO751" t="str">
        <v>P00902</v>
      </c>
    </row>
    <row r="752" spans="1:41" x14ac:dyDescent="0.35">
      <c r="A752" s="1" t="s">
        <v>1956</v>
      </c>
      <c r="B752" s="1" t="s">
        <v>716</v>
      </c>
      <c r="C752">
        <v>76</v>
      </c>
      <c r="D752" s="1" t="s">
        <v>119</v>
      </c>
      <c r="E752" s="1" t="s">
        <v>26</v>
      </c>
      <c r="F752" s="1" t="s">
        <v>120</v>
      </c>
      <c r="G752" s="2">
        <v>45366</v>
      </c>
      <c r="H752" s="2">
        <v>45367</v>
      </c>
      <c r="I752" s="1" t="s">
        <v>273</v>
      </c>
      <c r="J752" s="1" t="s">
        <v>30</v>
      </c>
      <c r="K752" s="1" t="s">
        <v>55</v>
      </c>
      <c r="L752" s="1" t="s">
        <v>44</v>
      </c>
      <c r="M752" s="1" t="s">
        <v>2078</v>
      </c>
      <c r="N752">
        <v>409392.07</v>
      </c>
      <c r="O752">
        <v>18335.650000000001</v>
      </c>
      <c r="P752">
        <v>26139.89</v>
      </c>
      <c r="Q752">
        <v>1</v>
      </c>
      <c r="R752">
        <v>0</v>
      </c>
      <c r="S752">
        <v>1.8</v>
      </c>
      <c r="T752" s="1" t="s">
        <v>34</v>
      </c>
      <c r="U752" s="1" t="s">
        <v>35</v>
      </c>
      <c r="V752" s="1" t="s">
        <v>102</v>
      </c>
      <c r="W752" s="1" t="s">
        <v>83</v>
      </c>
      <c r="X752">
        <v>453867.61000000004</v>
      </c>
      <c r="Y752" s="1" t="s">
        <v>2088</v>
      </c>
      <c r="Z752" s="1" t="s">
        <v>2083</v>
      </c>
      <c r="AO752" t="str">
        <v>P00903</v>
      </c>
    </row>
    <row r="753" spans="1:41" x14ac:dyDescent="0.35">
      <c r="A753" s="1" t="s">
        <v>1958</v>
      </c>
      <c r="B753" s="1" t="s">
        <v>1045</v>
      </c>
      <c r="C753">
        <v>45</v>
      </c>
      <c r="D753" s="1" t="s">
        <v>25</v>
      </c>
      <c r="E753" s="1" t="s">
        <v>263</v>
      </c>
      <c r="F753" s="1" t="s">
        <v>227</v>
      </c>
      <c r="G753" s="2">
        <v>46105</v>
      </c>
      <c r="H753" s="2">
        <v>46106</v>
      </c>
      <c r="I753" s="1" t="s">
        <v>29</v>
      </c>
      <c r="J753" s="1" t="s">
        <v>90</v>
      </c>
      <c r="K753" s="1" t="s">
        <v>31</v>
      </c>
      <c r="L753" s="1" t="s">
        <v>44</v>
      </c>
      <c r="M753" s="1" t="s">
        <v>2089</v>
      </c>
      <c r="N753">
        <v>174327.28</v>
      </c>
      <c r="O753">
        <v>0</v>
      </c>
      <c r="P753">
        <v>36565.08</v>
      </c>
      <c r="Q753">
        <v>1</v>
      </c>
      <c r="R753">
        <v>132</v>
      </c>
      <c r="S753">
        <v>4.4000000000000004</v>
      </c>
      <c r="T753" s="1" t="s">
        <v>34</v>
      </c>
      <c r="U753" s="1" t="s">
        <v>35</v>
      </c>
      <c r="V753" s="1" t="s">
        <v>75</v>
      </c>
      <c r="W753" s="1" t="s">
        <v>131</v>
      </c>
      <c r="X753">
        <v>210892.36</v>
      </c>
      <c r="Y753" s="1" t="s">
        <v>2079</v>
      </c>
      <c r="Z753" s="1" t="s">
        <v>2080</v>
      </c>
      <c r="AO753" t="str">
        <v>P00904</v>
      </c>
    </row>
    <row r="754" spans="1:41" x14ac:dyDescent="0.35">
      <c r="A754" s="1" t="s">
        <v>1959</v>
      </c>
      <c r="B754" s="1" t="s">
        <v>1960</v>
      </c>
      <c r="C754">
        <v>40</v>
      </c>
      <c r="D754" s="1" t="s">
        <v>25</v>
      </c>
      <c r="E754" s="1" t="s">
        <v>157</v>
      </c>
      <c r="F754" s="1" t="s">
        <v>145</v>
      </c>
      <c r="G754" s="2">
        <v>45347</v>
      </c>
      <c r="H754" s="2">
        <v>45348</v>
      </c>
      <c r="I754" s="1" t="s">
        <v>29</v>
      </c>
      <c r="J754" s="1" t="s">
        <v>115</v>
      </c>
      <c r="K754" s="1" t="s">
        <v>148</v>
      </c>
      <c r="L754" s="1" t="s">
        <v>32</v>
      </c>
      <c r="M754" s="1" t="s">
        <v>57</v>
      </c>
      <c r="N754">
        <v>26332.29</v>
      </c>
      <c r="O754">
        <v>52543.22</v>
      </c>
      <c r="P754">
        <v>68524.39</v>
      </c>
      <c r="Q754">
        <v>1</v>
      </c>
      <c r="R754">
        <v>27</v>
      </c>
      <c r="S754">
        <v>2.7</v>
      </c>
      <c r="T754" s="1" t="s">
        <v>46</v>
      </c>
      <c r="U754" s="1" t="s">
        <v>149</v>
      </c>
      <c r="V754" s="1" t="s">
        <v>130</v>
      </c>
      <c r="W754" s="1" t="s">
        <v>131</v>
      </c>
      <c r="X754">
        <v>147399.90000000002</v>
      </c>
      <c r="Y754" s="1" t="s">
        <v>2079</v>
      </c>
      <c r="Z754" s="1" t="s">
        <v>2083</v>
      </c>
      <c r="AO754" t="str">
        <v>P00905</v>
      </c>
    </row>
    <row r="755" spans="1:41" x14ac:dyDescent="0.35">
      <c r="A755" s="1" t="s">
        <v>1961</v>
      </c>
      <c r="B755" s="1" t="s">
        <v>456</v>
      </c>
      <c r="C755">
        <v>0</v>
      </c>
      <c r="D755" s="1" t="s">
        <v>25</v>
      </c>
      <c r="E755" s="1" t="s">
        <v>40</v>
      </c>
      <c r="F755" s="1" t="s">
        <v>145</v>
      </c>
      <c r="G755" s="2">
        <v>45913</v>
      </c>
      <c r="H755" s="2">
        <v>45915</v>
      </c>
      <c r="I755" s="1" t="s">
        <v>221</v>
      </c>
      <c r="J755" s="1" t="s">
        <v>152</v>
      </c>
      <c r="K755" s="1" t="s">
        <v>174</v>
      </c>
      <c r="L755" s="1" t="s">
        <v>32</v>
      </c>
      <c r="M755" s="1" t="s">
        <v>57</v>
      </c>
      <c r="N755">
        <v>267035.53999999998</v>
      </c>
      <c r="O755">
        <v>23178.89</v>
      </c>
      <c r="P755">
        <v>74105.25</v>
      </c>
      <c r="Q755">
        <v>2</v>
      </c>
      <c r="R755">
        <v>12</v>
      </c>
      <c r="S755">
        <v>2.9</v>
      </c>
      <c r="T755" s="1" t="s">
        <v>46</v>
      </c>
      <c r="U755" s="1" t="s">
        <v>95</v>
      </c>
      <c r="V755" s="1" t="s">
        <v>102</v>
      </c>
      <c r="W755" s="1" t="s">
        <v>131</v>
      </c>
      <c r="X755">
        <v>364319.68</v>
      </c>
      <c r="Y755" s="1" t="s">
        <v>2093</v>
      </c>
      <c r="Z755" s="1" t="s">
        <v>2083</v>
      </c>
      <c r="AO755" t="str">
        <v>P00906</v>
      </c>
    </row>
    <row r="756" spans="1:41" x14ac:dyDescent="0.35">
      <c r="A756" s="1" t="s">
        <v>1963</v>
      </c>
      <c r="B756" s="1" t="s">
        <v>181</v>
      </c>
      <c r="C756">
        <v>20</v>
      </c>
      <c r="D756" s="1" t="s">
        <v>25</v>
      </c>
      <c r="E756" s="1" t="s">
        <v>40</v>
      </c>
      <c r="F756" s="1" t="s">
        <v>135</v>
      </c>
      <c r="G756" s="2">
        <v>45517</v>
      </c>
      <c r="H756" s="2">
        <v>45518</v>
      </c>
      <c r="I756" s="1" t="s">
        <v>53</v>
      </c>
      <c r="J756" s="1" t="s">
        <v>87</v>
      </c>
      <c r="K756" s="1" t="s">
        <v>128</v>
      </c>
      <c r="L756" s="1" t="s">
        <v>32</v>
      </c>
      <c r="M756" s="1" t="s">
        <v>2089</v>
      </c>
      <c r="N756">
        <v>54522.52</v>
      </c>
      <c r="O756">
        <v>54899.34</v>
      </c>
      <c r="P756">
        <v>24052.14</v>
      </c>
      <c r="Q756">
        <v>1</v>
      </c>
      <c r="R756">
        <v>104</v>
      </c>
      <c r="S756">
        <v>3.1</v>
      </c>
      <c r="T756" s="1" t="s">
        <v>46</v>
      </c>
      <c r="U756" s="1" t="s">
        <v>35</v>
      </c>
      <c r="V756" s="1" t="s">
        <v>102</v>
      </c>
      <c r="W756" s="1" t="s">
        <v>131</v>
      </c>
      <c r="X756">
        <v>133474</v>
      </c>
      <c r="Y756" s="1" t="s">
        <v>2082</v>
      </c>
      <c r="Z756" s="1" t="s">
        <v>2080</v>
      </c>
      <c r="AO756" t="str">
        <v>P00908</v>
      </c>
    </row>
    <row r="757" spans="1:41" x14ac:dyDescent="0.35">
      <c r="A757" s="1" t="s">
        <v>1965</v>
      </c>
      <c r="B757" s="1" t="s">
        <v>1413</v>
      </c>
      <c r="C757">
        <v>39</v>
      </c>
      <c r="D757" s="1" t="s">
        <v>119</v>
      </c>
      <c r="E757" s="1" t="s">
        <v>26</v>
      </c>
      <c r="F757" s="1" t="s">
        <v>120</v>
      </c>
      <c r="G757" s="2">
        <v>45972</v>
      </c>
      <c r="H757" s="2">
        <v>45973</v>
      </c>
      <c r="I757" s="1" t="s">
        <v>235</v>
      </c>
      <c r="J757" s="1" t="s">
        <v>147</v>
      </c>
      <c r="K757" s="1" t="s">
        <v>148</v>
      </c>
      <c r="L757" s="1" t="s">
        <v>32</v>
      </c>
      <c r="M757" s="1" t="s">
        <v>2089</v>
      </c>
      <c r="N757">
        <v>303874.46999999997</v>
      </c>
      <c r="O757">
        <v>0</v>
      </c>
      <c r="P757">
        <v>69273.38</v>
      </c>
      <c r="Q757">
        <v>1</v>
      </c>
      <c r="R757">
        <v>31</v>
      </c>
      <c r="S757">
        <v>3.1</v>
      </c>
      <c r="T757" s="1" t="s">
        <v>46</v>
      </c>
      <c r="U757" s="1" t="s">
        <v>35</v>
      </c>
      <c r="V757" s="1" t="s">
        <v>75</v>
      </c>
      <c r="W757" s="1" t="s">
        <v>59</v>
      </c>
      <c r="X757">
        <v>373147.85</v>
      </c>
      <c r="Y757" s="1" t="s">
        <v>2079</v>
      </c>
      <c r="Z757" s="1" t="s">
        <v>2091</v>
      </c>
      <c r="AO757" t="str">
        <v>P00909</v>
      </c>
    </row>
    <row r="758" spans="1:41" x14ac:dyDescent="0.35">
      <c r="A758" s="1" t="s">
        <v>1966</v>
      </c>
      <c r="B758" s="1" t="s">
        <v>580</v>
      </c>
      <c r="C758">
        <v>28</v>
      </c>
      <c r="D758" s="1" t="s">
        <v>119</v>
      </c>
      <c r="E758" s="1" t="s">
        <v>177</v>
      </c>
      <c r="F758" s="1" t="s">
        <v>227</v>
      </c>
      <c r="G758" s="2">
        <v>46058</v>
      </c>
      <c r="H758" s="2">
        <v>46062</v>
      </c>
      <c r="I758" s="1" t="s">
        <v>235</v>
      </c>
      <c r="J758" s="1" t="s">
        <v>115</v>
      </c>
      <c r="K758" s="1" t="s">
        <v>148</v>
      </c>
      <c r="L758" s="1" t="s">
        <v>44</v>
      </c>
      <c r="M758" s="1" t="s">
        <v>2089</v>
      </c>
      <c r="N758">
        <v>225260.48</v>
      </c>
      <c r="O758">
        <v>22132.73</v>
      </c>
      <c r="P758">
        <v>48881.04</v>
      </c>
      <c r="Q758">
        <v>4</v>
      </c>
      <c r="R758">
        <v>0</v>
      </c>
      <c r="S758">
        <v>1.3</v>
      </c>
      <c r="T758" s="1" t="s">
        <v>46</v>
      </c>
      <c r="U758" s="1" t="s">
        <v>95</v>
      </c>
      <c r="V758" s="1" t="s">
        <v>75</v>
      </c>
      <c r="W758" s="1" t="s">
        <v>12</v>
      </c>
      <c r="X758">
        <v>296274.25</v>
      </c>
      <c r="Y758" s="1" t="s">
        <v>2082</v>
      </c>
      <c r="Z758" s="1" t="s">
        <v>2083</v>
      </c>
      <c r="AO758" t="str">
        <v>P00910</v>
      </c>
    </row>
    <row r="759" spans="1:41" x14ac:dyDescent="0.35">
      <c r="A759" s="1" t="s">
        <v>1970</v>
      </c>
      <c r="B759" s="1" t="s">
        <v>537</v>
      </c>
      <c r="C759">
        <v>45</v>
      </c>
      <c r="D759" s="1" t="s">
        <v>119</v>
      </c>
      <c r="E759" s="1" t="s">
        <v>219</v>
      </c>
      <c r="F759" s="1" t="s">
        <v>63</v>
      </c>
      <c r="G759" s="2">
        <v>45670</v>
      </c>
      <c r="H759" s="2">
        <v>45677</v>
      </c>
      <c r="I759" s="1" t="s">
        <v>100</v>
      </c>
      <c r="J759" s="1" t="s">
        <v>2081</v>
      </c>
      <c r="K759" s="1" t="s">
        <v>81</v>
      </c>
      <c r="L759" s="1" t="s">
        <v>44</v>
      </c>
      <c r="M759" s="1" t="s">
        <v>2089</v>
      </c>
      <c r="N759">
        <v>93069.2</v>
      </c>
      <c r="O759">
        <v>53949.85</v>
      </c>
      <c r="P759">
        <v>64906.37</v>
      </c>
      <c r="Q759">
        <v>7</v>
      </c>
      <c r="R759">
        <v>18</v>
      </c>
      <c r="S759">
        <v>4.2</v>
      </c>
      <c r="T759" s="1" t="s">
        <v>46</v>
      </c>
      <c r="U759" s="1" t="s">
        <v>95</v>
      </c>
      <c r="V759" s="1" t="s">
        <v>75</v>
      </c>
      <c r="W759" s="1" t="s">
        <v>36</v>
      </c>
      <c r="X759">
        <v>211925.41999999998</v>
      </c>
      <c r="Y759" s="1" t="s">
        <v>2079</v>
      </c>
      <c r="Z759" s="1" t="s">
        <v>2083</v>
      </c>
      <c r="AO759" t="str">
        <v>P00911</v>
      </c>
    </row>
    <row r="760" spans="1:41" x14ac:dyDescent="0.35">
      <c r="A760" s="1" t="s">
        <v>1971</v>
      </c>
      <c r="B760" s="1" t="s">
        <v>1960</v>
      </c>
      <c r="C760">
        <v>69</v>
      </c>
      <c r="D760" s="1" t="s">
        <v>119</v>
      </c>
      <c r="E760" s="1" t="s">
        <v>219</v>
      </c>
      <c r="F760" s="1" t="s">
        <v>135</v>
      </c>
      <c r="G760" s="2">
        <v>46097</v>
      </c>
      <c r="H760" s="2">
        <v>46103</v>
      </c>
      <c r="I760" s="1" t="s">
        <v>277</v>
      </c>
      <c r="J760" s="1" t="s">
        <v>87</v>
      </c>
      <c r="K760" s="1" t="s">
        <v>148</v>
      </c>
      <c r="L760" s="1" t="s">
        <v>66</v>
      </c>
      <c r="M760" s="1" t="s">
        <v>2089</v>
      </c>
      <c r="N760">
        <v>210697.14</v>
      </c>
      <c r="O760">
        <v>21048.01</v>
      </c>
      <c r="P760">
        <v>81818.210000000006</v>
      </c>
      <c r="Q760">
        <v>6</v>
      </c>
      <c r="R760">
        <v>4</v>
      </c>
      <c r="S760">
        <v>4.3</v>
      </c>
      <c r="T760" s="1" t="s">
        <v>34</v>
      </c>
      <c r="U760" s="1" t="s">
        <v>95</v>
      </c>
      <c r="V760" s="1" t="s">
        <v>75</v>
      </c>
      <c r="W760" s="1" t="s">
        <v>36</v>
      </c>
      <c r="X760">
        <v>313563.36000000004</v>
      </c>
      <c r="Y760" s="1" t="s">
        <v>2088</v>
      </c>
      <c r="Z760" s="1" t="s">
        <v>2083</v>
      </c>
      <c r="AO760" t="str">
        <v>P00913</v>
      </c>
    </row>
    <row r="761" spans="1:41" x14ac:dyDescent="0.35">
      <c r="A761" s="1" t="s">
        <v>1972</v>
      </c>
      <c r="B761" s="1" t="s">
        <v>315</v>
      </c>
      <c r="C761">
        <v>66</v>
      </c>
      <c r="D761" s="1" t="s">
        <v>119</v>
      </c>
      <c r="E761" s="1" t="s">
        <v>219</v>
      </c>
      <c r="F761" s="1" t="s">
        <v>41</v>
      </c>
      <c r="G761" s="2">
        <v>46169</v>
      </c>
      <c r="H761" s="2">
        <v>46170</v>
      </c>
      <c r="I761" s="1" t="s">
        <v>257</v>
      </c>
      <c r="J761" s="1" t="s">
        <v>54</v>
      </c>
      <c r="K761" s="1" t="s">
        <v>31</v>
      </c>
      <c r="L761" s="1" t="s">
        <v>44</v>
      </c>
      <c r="M761" s="1" t="s">
        <v>2089</v>
      </c>
      <c r="N761">
        <v>183873.63</v>
      </c>
      <c r="O761">
        <v>61714.58</v>
      </c>
      <c r="P761">
        <v>59742.38</v>
      </c>
      <c r="Q761">
        <v>1</v>
      </c>
      <c r="R761">
        <v>3</v>
      </c>
      <c r="S761">
        <v>5</v>
      </c>
      <c r="T761" s="1" t="s">
        <v>34</v>
      </c>
      <c r="U761" s="1" t="s">
        <v>101</v>
      </c>
      <c r="V761" s="1" t="s">
        <v>75</v>
      </c>
      <c r="W761" s="1" t="s">
        <v>131</v>
      </c>
      <c r="X761">
        <v>305330.59000000003</v>
      </c>
      <c r="Y761" s="1" t="s">
        <v>2088</v>
      </c>
      <c r="Z761" s="1" t="s">
        <v>2083</v>
      </c>
      <c r="AO761" t="str">
        <v>P00914</v>
      </c>
    </row>
    <row r="762" spans="1:41" x14ac:dyDescent="0.35">
      <c r="A762" s="1" t="s">
        <v>1973</v>
      </c>
      <c r="B762" s="1" t="s">
        <v>432</v>
      </c>
      <c r="C762">
        <v>62</v>
      </c>
      <c r="D762" s="1" t="s">
        <v>119</v>
      </c>
      <c r="E762" s="1" t="s">
        <v>219</v>
      </c>
      <c r="F762" s="1" t="s">
        <v>193</v>
      </c>
      <c r="G762" s="2">
        <v>46035</v>
      </c>
      <c r="H762" s="2">
        <v>46044</v>
      </c>
      <c r="I762" s="1" t="s">
        <v>114</v>
      </c>
      <c r="J762" s="1" t="s">
        <v>115</v>
      </c>
      <c r="K762" s="1" t="s">
        <v>153</v>
      </c>
      <c r="L762" s="1" t="s">
        <v>32</v>
      </c>
      <c r="M762" s="1" t="s">
        <v>2089</v>
      </c>
      <c r="N762">
        <v>113377.7</v>
      </c>
      <c r="O762">
        <v>22349.65</v>
      </c>
      <c r="P762">
        <v>49362.82</v>
      </c>
      <c r="Q762">
        <v>9</v>
      </c>
      <c r="R762">
        <v>42</v>
      </c>
      <c r="S762">
        <v>5</v>
      </c>
      <c r="T762" s="1" t="s">
        <v>34</v>
      </c>
      <c r="U762" s="1" t="s">
        <v>101</v>
      </c>
      <c r="V762" s="1" t="s">
        <v>102</v>
      </c>
      <c r="W762" s="1" t="s">
        <v>83</v>
      </c>
      <c r="X762">
        <v>185090.17</v>
      </c>
      <c r="Y762" s="1" t="s">
        <v>2088</v>
      </c>
      <c r="Z762" s="1" t="s">
        <v>2091</v>
      </c>
      <c r="AO762" t="str">
        <v>P00915</v>
      </c>
    </row>
    <row r="763" spans="1:41" x14ac:dyDescent="0.35">
      <c r="A763" s="1" t="s">
        <v>1975</v>
      </c>
      <c r="B763" s="1" t="s">
        <v>491</v>
      </c>
      <c r="C763">
        <v>0</v>
      </c>
      <c r="D763" s="1" t="s">
        <v>119</v>
      </c>
      <c r="E763" s="1" t="s">
        <v>26</v>
      </c>
      <c r="F763" s="1" t="s">
        <v>63</v>
      </c>
      <c r="G763" s="2">
        <v>46186</v>
      </c>
      <c r="H763" s="2">
        <v>46189</v>
      </c>
      <c r="I763" s="1" t="s">
        <v>273</v>
      </c>
      <c r="J763" s="1" t="s">
        <v>147</v>
      </c>
      <c r="K763" s="1" t="s">
        <v>122</v>
      </c>
      <c r="L763" s="1" t="s">
        <v>32</v>
      </c>
      <c r="M763" s="1" t="s">
        <v>2085</v>
      </c>
      <c r="N763">
        <v>267509.81</v>
      </c>
      <c r="O763">
        <v>21296.07</v>
      </c>
      <c r="P763">
        <v>42752.2</v>
      </c>
      <c r="Q763">
        <v>3</v>
      </c>
      <c r="R763">
        <v>67</v>
      </c>
      <c r="S763">
        <v>4.7</v>
      </c>
      <c r="T763" s="1" t="s">
        <v>46</v>
      </c>
      <c r="U763" s="1" t="s">
        <v>95</v>
      </c>
      <c r="V763" s="1" t="s">
        <v>130</v>
      </c>
      <c r="W763" s="1" t="s">
        <v>83</v>
      </c>
      <c r="X763">
        <v>331558.08</v>
      </c>
      <c r="Y763" s="1" t="s">
        <v>2093</v>
      </c>
      <c r="Z763" s="1" t="s">
        <v>2080</v>
      </c>
      <c r="AO763" t="str">
        <v>P00916</v>
      </c>
    </row>
    <row r="764" spans="1:41" x14ac:dyDescent="0.35">
      <c r="A764" s="1" t="s">
        <v>1976</v>
      </c>
      <c r="B764" s="1" t="s">
        <v>1381</v>
      </c>
      <c r="C764">
        <v>49</v>
      </c>
      <c r="D764" s="1" t="s">
        <v>119</v>
      </c>
      <c r="E764" s="1" t="s">
        <v>86</v>
      </c>
      <c r="F764" s="1" t="s">
        <v>41</v>
      </c>
      <c r="G764" s="2">
        <v>46178</v>
      </c>
      <c r="H764" s="2">
        <v>46184</v>
      </c>
      <c r="I764" s="1" t="s">
        <v>273</v>
      </c>
      <c r="J764" s="1" t="s">
        <v>2081</v>
      </c>
      <c r="K764" s="1" t="s">
        <v>128</v>
      </c>
      <c r="L764" s="1" t="s">
        <v>32</v>
      </c>
      <c r="M764" s="1" t="s">
        <v>2087</v>
      </c>
      <c r="N764">
        <v>172496.43</v>
      </c>
      <c r="O764">
        <v>28966.57</v>
      </c>
      <c r="P764">
        <v>45587.99</v>
      </c>
      <c r="Q764">
        <v>6</v>
      </c>
      <c r="R764">
        <v>34</v>
      </c>
      <c r="S764">
        <v>4.5</v>
      </c>
      <c r="T764" s="1" t="s">
        <v>46</v>
      </c>
      <c r="U764" s="1" t="s">
        <v>95</v>
      </c>
      <c r="V764" s="1" t="s">
        <v>130</v>
      </c>
      <c r="W764" s="1" t="s">
        <v>59</v>
      </c>
      <c r="X764">
        <v>247050.99</v>
      </c>
      <c r="Y764" s="1" t="s">
        <v>2079</v>
      </c>
      <c r="Z764" s="1" t="s">
        <v>2091</v>
      </c>
      <c r="AO764" t="str">
        <v>P00917</v>
      </c>
    </row>
    <row r="765" spans="1:41" x14ac:dyDescent="0.35">
      <c r="A765" s="1" t="s">
        <v>1977</v>
      </c>
      <c r="B765" s="1" t="s">
        <v>537</v>
      </c>
      <c r="C765">
        <v>76</v>
      </c>
      <c r="D765" s="1" t="s">
        <v>25</v>
      </c>
      <c r="E765" s="1" t="s">
        <v>177</v>
      </c>
      <c r="F765" s="1" t="s">
        <v>41</v>
      </c>
      <c r="G765" s="2">
        <v>45574</v>
      </c>
      <c r="H765" s="2">
        <v>45578</v>
      </c>
      <c r="I765" s="1" t="s">
        <v>53</v>
      </c>
      <c r="J765" s="1" t="s">
        <v>141</v>
      </c>
      <c r="K765" s="1" t="s">
        <v>55</v>
      </c>
      <c r="L765" s="1" t="s">
        <v>66</v>
      </c>
      <c r="M765" s="1" t="s">
        <v>2089</v>
      </c>
      <c r="N765">
        <v>395748.97</v>
      </c>
      <c r="O765">
        <v>12858.13</v>
      </c>
      <c r="P765">
        <v>69608.95</v>
      </c>
      <c r="Q765">
        <v>4</v>
      </c>
      <c r="R765">
        <v>23</v>
      </c>
      <c r="S765">
        <v>4.5999999999999996</v>
      </c>
      <c r="T765" s="1" t="s">
        <v>46</v>
      </c>
      <c r="U765" s="1" t="s">
        <v>95</v>
      </c>
      <c r="V765" s="1" t="s">
        <v>75</v>
      </c>
      <c r="W765" s="1" t="s">
        <v>59</v>
      </c>
      <c r="X765">
        <v>478216.05</v>
      </c>
      <c r="Y765" s="1" t="s">
        <v>2088</v>
      </c>
      <c r="Z765" s="1" t="s">
        <v>2083</v>
      </c>
      <c r="AO765" t="str">
        <v>P00918</v>
      </c>
    </row>
    <row r="766" spans="1:41" x14ac:dyDescent="0.35">
      <c r="A766" s="1" t="s">
        <v>1978</v>
      </c>
      <c r="B766" s="1" t="s">
        <v>833</v>
      </c>
      <c r="C766">
        <v>20</v>
      </c>
      <c r="D766" s="1" t="s">
        <v>25</v>
      </c>
      <c r="E766" s="1" t="s">
        <v>157</v>
      </c>
      <c r="F766" s="1" t="s">
        <v>87</v>
      </c>
      <c r="G766" s="2">
        <v>45893</v>
      </c>
      <c r="H766" s="2">
        <v>45895</v>
      </c>
      <c r="I766" s="1" t="s">
        <v>257</v>
      </c>
      <c r="J766" s="1" t="s">
        <v>2081</v>
      </c>
      <c r="K766" s="1" t="s">
        <v>163</v>
      </c>
      <c r="L766" s="1" t="s">
        <v>66</v>
      </c>
      <c r="M766" s="1" t="s">
        <v>57</v>
      </c>
      <c r="N766">
        <v>259206.35</v>
      </c>
      <c r="O766">
        <v>0</v>
      </c>
      <c r="P766">
        <v>0</v>
      </c>
      <c r="Q766">
        <v>2</v>
      </c>
      <c r="R766">
        <v>81</v>
      </c>
      <c r="S766">
        <v>3.8</v>
      </c>
      <c r="T766" s="1" t="s">
        <v>46</v>
      </c>
      <c r="U766" s="1" t="s">
        <v>35</v>
      </c>
      <c r="V766" s="1" t="s">
        <v>75</v>
      </c>
      <c r="W766" s="1" t="s">
        <v>59</v>
      </c>
      <c r="X766">
        <v>259206.35</v>
      </c>
      <c r="Y766" s="1" t="s">
        <v>2082</v>
      </c>
      <c r="Z766" s="1" t="s">
        <v>2080</v>
      </c>
      <c r="AO766" t="str">
        <v>P00919</v>
      </c>
    </row>
    <row r="767" spans="1:41" x14ac:dyDescent="0.35">
      <c r="A767" s="1" t="s">
        <v>1980</v>
      </c>
      <c r="B767" s="1" t="s">
        <v>297</v>
      </c>
      <c r="C767">
        <v>8</v>
      </c>
      <c r="D767" s="1" t="s">
        <v>25</v>
      </c>
      <c r="E767" s="1" t="s">
        <v>157</v>
      </c>
      <c r="F767" s="1" t="s">
        <v>108</v>
      </c>
      <c r="G767" s="2">
        <v>45987</v>
      </c>
      <c r="H767" s="2">
        <v>45989</v>
      </c>
      <c r="I767" s="1" t="s">
        <v>277</v>
      </c>
      <c r="J767" s="1" t="s">
        <v>115</v>
      </c>
      <c r="K767" s="1" t="s">
        <v>148</v>
      </c>
      <c r="L767" s="1" t="s">
        <v>66</v>
      </c>
      <c r="M767" s="1" t="s">
        <v>2092</v>
      </c>
      <c r="N767">
        <v>105495.14</v>
      </c>
      <c r="O767">
        <v>39780.230000000003</v>
      </c>
      <c r="P767">
        <v>62453.45</v>
      </c>
      <c r="Q767">
        <v>2</v>
      </c>
      <c r="R767">
        <v>93</v>
      </c>
      <c r="S767">
        <v>5</v>
      </c>
      <c r="T767" s="1" t="s">
        <v>34</v>
      </c>
      <c r="U767" s="1" t="s">
        <v>35</v>
      </c>
      <c r="V767" s="1" t="s">
        <v>130</v>
      </c>
      <c r="W767" s="1" t="s">
        <v>131</v>
      </c>
      <c r="X767">
        <v>207728.82</v>
      </c>
      <c r="Y767" s="1" t="s">
        <v>2093</v>
      </c>
      <c r="Z767" s="1" t="s">
        <v>2080</v>
      </c>
      <c r="AO767" t="str">
        <v>P00920</v>
      </c>
    </row>
    <row r="768" spans="1:41" x14ac:dyDescent="0.35">
      <c r="A768" s="1" t="s">
        <v>1985</v>
      </c>
      <c r="B768" s="1" t="s">
        <v>1111</v>
      </c>
      <c r="C768">
        <v>46</v>
      </c>
      <c r="D768" s="1" t="s">
        <v>25</v>
      </c>
      <c r="E768" s="1" t="s">
        <v>157</v>
      </c>
      <c r="F768" s="1" t="s">
        <v>135</v>
      </c>
      <c r="G768" s="2">
        <v>46256</v>
      </c>
      <c r="H768" s="2">
        <v>46258</v>
      </c>
      <c r="I768" s="1" t="s">
        <v>221</v>
      </c>
      <c r="J768" s="1" t="s">
        <v>30</v>
      </c>
      <c r="K768" s="1" t="s">
        <v>91</v>
      </c>
      <c r="L768" s="1" t="s">
        <v>66</v>
      </c>
      <c r="M768" s="1" t="s">
        <v>2085</v>
      </c>
      <c r="N768">
        <v>381840.93</v>
      </c>
      <c r="O768">
        <v>14787.65</v>
      </c>
      <c r="P768">
        <v>14763.96</v>
      </c>
      <c r="Q768">
        <v>2</v>
      </c>
      <c r="R768">
        <v>114</v>
      </c>
      <c r="S768">
        <v>1.4</v>
      </c>
      <c r="T768" s="1" t="s">
        <v>34</v>
      </c>
      <c r="U768" s="1" t="s">
        <v>95</v>
      </c>
      <c r="V768" s="1" t="s">
        <v>75</v>
      </c>
      <c r="W768" s="1" t="s">
        <v>131</v>
      </c>
      <c r="X768">
        <v>411392.54000000004</v>
      </c>
      <c r="Y768" s="1" t="s">
        <v>2079</v>
      </c>
      <c r="Z768" s="1" t="s">
        <v>2080</v>
      </c>
      <c r="AO768" t="str">
        <v>P00921</v>
      </c>
    </row>
    <row r="769" spans="1:41" x14ac:dyDescent="0.35">
      <c r="A769" s="1" t="s">
        <v>1989</v>
      </c>
      <c r="B769" s="1" t="s">
        <v>574</v>
      </c>
      <c r="C769">
        <v>72</v>
      </c>
      <c r="D769" s="1" t="s">
        <v>119</v>
      </c>
      <c r="E769" s="1" t="s">
        <v>2084</v>
      </c>
      <c r="F769" s="1" t="s">
        <v>227</v>
      </c>
      <c r="G769" s="2">
        <v>45515</v>
      </c>
      <c r="H769" s="2">
        <v>45516</v>
      </c>
      <c r="I769" s="1" t="s">
        <v>53</v>
      </c>
      <c r="J769" s="1" t="s">
        <v>54</v>
      </c>
      <c r="K769" s="1" t="s">
        <v>128</v>
      </c>
      <c r="L769" s="1" t="s">
        <v>32</v>
      </c>
      <c r="M769" s="1" t="s">
        <v>2089</v>
      </c>
      <c r="N769">
        <v>149398.28</v>
      </c>
      <c r="O769">
        <v>14804.4</v>
      </c>
      <c r="P769">
        <v>0</v>
      </c>
      <c r="Q769">
        <v>1</v>
      </c>
      <c r="R769">
        <v>225</v>
      </c>
      <c r="S769">
        <v>2</v>
      </c>
      <c r="T769" s="1" t="s">
        <v>46</v>
      </c>
      <c r="U769" s="1" t="s">
        <v>35</v>
      </c>
      <c r="V769" s="1" t="s">
        <v>75</v>
      </c>
      <c r="W769" s="1" t="s">
        <v>131</v>
      </c>
      <c r="X769">
        <v>164202.68</v>
      </c>
      <c r="Y769" s="1" t="s">
        <v>2088</v>
      </c>
      <c r="Z769" s="1" t="s">
        <v>2080</v>
      </c>
      <c r="AO769" t="str">
        <v>P00922</v>
      </c>
    </row>
    <row r="770" spans="1:41" x14ac:dyDescent="0.35">
      <c r="A770" s="1" t="s">
        <v>1990</v>
      </c>
      <c r="B770" s="1" t="s">
        <v>291</v>
      </c>
      <c r="C770">
        <v>63</v>
      </c>
      <c r="D770" s="1" t="s">
        <v>119</v>
      </c>
      <c r="E770" s="1" t="s">
        <v>107</v>
      </c>
      <c r="F770" s="1" t="s">
        <v>227</v>
      </c>
      <c r="G770" s="2">
        <v>45829</v>
      </c>
      <c r="H770" s="2">
        <v>45832</v>
      </c>
      <c r="I770" s="1" t="s">
        <v>53</v>
      </c>
      <c r="J770" s="1" t="s">
        <v>87</v>
      </c>
      <c r="K770" s="1" t="s">
        <v>31</v>
      </c>
      <c r="L770" s="1" t="s">
        <v>66</v>
      </c>
      <c r="M770" s="1" t="s">
        <v>2089</v>
      </c>
      <c r="N770">
        <v>279040.37</v>
      </c>
      <c r="O770">
        <v>28508.639999999999</v>
      </c>
      <c r="P770">
        <v>0</v>
      </c>
      <c r="Q770">
        <v>3</v>
      </c>
      <c r="R770">
        <v>34</v>
      </c>
      <c r="S770">
        <v>3.9</v>
      </c>
      <c r="T770" s="1" t="s">
        <v>34</v>
      </c>
      <c r="U770" s="1" t="s">
        <v>35</v>
      </c>
      <c r="V770" s="1" t="s">
        <v>130</v>
      </c>
      <c r="W770" s="1" t="s">
        <v>83</v>
      </c>
      <c r="X770">
        <v>307549.01</v>
      </c>
      <c r="Y770" s="1" t="s">
        <v>2088</v>
      </c>
      <c r="Z770" s="1" t="s">
        <v>2091</v>
      </c>
      <c r="AO770" t="str">
        <v>P00923</v>
      </c>
    </row>
    <row r="771" spans="1:41" x14ac:dyDescent="0.35">
      <c r="A771" s="1" t="s">
        <v>1991</v>
      </c>
      <c r="B771" s="1" t="s">
        <v>244</v>
      </c>
      <c r="C771">
        <v>47</v>
      </c>
      <c r="D771" s="1" t="s">
        <v>119</v>
      </c>
      <c r="E771" s="1" t="s">
        <v>112</v>
      </c>
      <c r="F771" s="1" t="s">
        <v>108</v>
      </c>
      <c r="G771" s="2">
        <v>45709</v>
      </c>
      <c r="H771" s="2">
        <v>45710</v>
      </c>
      <c r="I771" s="1" t="s">
        <v>173</v>
      </c>
      <c r="J771" s="1" t="s">
        <v>90</v>
      </c>
      <c r="K771" s="1" t="s">
        <v>55</v>
      </c>
      <c r="L771" s="1" t="s">
        <v>44</v>
      </c>
      <c r="M771" s="1" t="s">
        <v>2089</v>
      </c>
      <c r="N771">
        <v>315444.08</v>
      </c>
      <c r="O771">
        <v>54062.57</v>
      </c>
      <c r="P771">
        <v>8214.6200000000008</v>
      </c>
      <c r="Q771">
        <v>1</v>
      </c>
      <c r="R771">
        <v>259</v>
      </c>
      <c r="S771">
        <v>4.7</v>
      </c>
      <c r="T771" s="1" t="s">
        <v>34</v>
      </c>
      <c r="U771" s="1" t="s">
        <v>35</v>
      </c>
      <c r="V771" s="1" t="s">
        <v>130</v>
      </c>
      <c r="W771" s="1" t="s">
        <v>36</v>
      </c>
      <c r="X771">
        <v>377721.27</v>
      </c>
      <c r="Y771" s="1" t="s">
        <v>2079</v>
      </c>
      <c r="Z771" s="1" t="s">
        <v>2080</v>
      </c>
      <c r="AO771" t="str">
        <v>P00924</v>
      </c>
    </row>
    <row r="772" spans="1:41" x14ac:dyDescent="0.35">
      <c r="A772" s="1" t="s">
        <v>1992</v>
      </c>
      <c r="B772" s="1" t="s">
        <v>297</v>
      </c>
      <c r="C772">
        <v>66</v>
      </c>
      <c r="D772" s="1" t="s">
        <v>119</v>
      </c>
      <c r="E772" s="1" t="s">
        <v>26</v>
      </c>
      <c r="F772" s="1" t="s">
        <v>227</v>
      </c>
      <c r="G772" s="2">
        <v>45584</v>
      </c>
      <c r="H772" s="2">
        <v>45587</v>
      </c>
      <c r="I772" s="1" t="s">
        <v>53</v>
      </c>
      <c r="J772" s="1" t="s">
        <v>2081</v>
      </c>
      <c r="K772" s="1" t="s">
        <v>81</v>
      </c>
      <c r="L772" s="1" t="s">
        <v>44</v>
      </c>
      <c r="M772" s="1" t="s">
        <v>2078</v>
      </c>
      <c r="N772">
        <v>551157.09</v>
      </c>
      <c r="O772">
        <v>0</v>
      </c>
      <c r="P772">
        <v>38242.120000000003</v>
      </c>
      <c r="Q772">
        <v>3</v>
      </c>
      <c r="R772">
        <v>0</v>
      </c>
      <c r="S772">
        <v>4</v>
      </c>
      <c r="T772" s="1" t="s">
        <v>34</v>
      </c>
      <c r="U772" s="1" t="s">
        <v>35</v>
      </c>
      <c r="V772" s="1" t="s">
        <v>130</v>
      </c>
      <c r="W772" s="1" t="s">
        <v>12</v>
      </c>
      <c r="X772">
        <v>589399.21</v>
      </c>
      <c r="Y772" s="1" t="s">
        <v>2088</v>
      </c>
      <c r="Z772" s="1" t="s">
        <v>2083</v>
      </c>
      <c r="AO772" t="str">
        <v>P00925</v>
      </c>
    </row>
    <row r="773" spans="1:41" x14ac:dyDescent="0.35">
      <c r="A773" s="1" t="s">
        <v>1994</v>
      </c>
      <c r="B773" s="1" t="s">
        <v>790</v>
      </c>
      <c r="C773">
        <v>42</v>
      </c>
      <c r="D773" s="1" t="s">
        <v>25</v>
      </c>
      <c r="E773" s="1" t="s">
        <v>26</v>
      </c>
      <c r="F773" s="1" t="s">
        <v>63</v>
      </c>
      <c r="G773" s="2">
        <v>45995</v>
      </c>
      <c r="H773" s="2">
        <v>45763</v>
      </c>
      <c r="I773" s="1" t="s">
        <v>277</v>
      </c>
      <c r="J773" s="1" t="s">
        <v>54</v>
      </c>
      <c r="K773" s="1" t="s">
        <v>148</v>
      </c>
      <c r="L773" s="1" t="s">
        <v>66</v>
      </c>
      <c r="M773" s="1" t="s">
        <v>2086</v>
      </c>
      <c r="N773">
        <v>128365.3</v>
      </c>
      <c r="O773">
        <v>0</v>
      </c>
      <c r="P773">
        <v>56206.01</v>
      </c>
      <c r="Q773">
        <v>4</v>
      </c>
      <c r="R773">
        <v>204</v>
      </c>
      <c r="S773">
        <v>2.9</v>
      </c>
      <c r="T773" s="1" t="s">
        <v>34</v>
      </c>
      <c r="U773" s="1" t="s">
        <v>101</v>
      </c>
      <c r="V773" s="1" t="s">
        <v>102</v>
      </c>
      <c r="W773" s="1" t="s">
        <v>83</v>
      </c>
      <c r="X773">
        <v>184571.31</v>
      </c>
      <c r="Y773" s="1" t="s">
        <v>2079</v>
      </c>
      <c r="Z773" s="1" t="s">
        <v>2080</v>
      </c>
      <c r="AO773" t="str">
        <v>P00928</v>
      </c>
    </row>
    <row r="774" spans="1:41" x14ac:dyDescent="0.35">
      <c r="A774" s="1" t="s">
        <v>1996</v>
      </c>
      <c r="B774" s="1" t="s">
        <v>821</v>
      </c>
      <c r="C774">
        <v>8</v>
      </c>
      <c r="D774" s="1" t="s">
        <v>25</v>
      </c>
      <c r="E774" s="1" t="s">
        <v>192</v>
      </c>
      <c r="F774" s="1" t="s">
        <v>108</v>
      </c>
      <c r="G774" s="2">
        <v>46169</v>
      </c>
      <c r="H774" s="2">
        <v>46173</v>
      </c>
      <c r="I774" s="1" t="s">
        <v>127</v>
      </c>
      <c r="J774" s="1" t="s">
        <v>147</v>
      </c>
      <c r="K774" s="1" t="s">
        <v>148</v>
      </c>
      <c r="L774" s="1" t="s">
        <v>66</v>
      </c>
      <c r="M774" s="1" t="s">
        <v>2092</v>
      </c>
      <c r="N774">
        <v>284009.83</v>
      </c>
      <c r="O774">
        <v>20165.439999999999</v>
      </c>
      <c r="P774">
        <v>22127.46</v>
      </c>
      <c r="Q774">
        <v>4</v>
      </c>
      <c r="R774">
        <v>37</v>
      </c>
      <c r="S774">
        <v>3.2</v>
      </c>
      <c r="T774" s="1" t="s">
        <v>34</v>
      </c>
      <c r="U774" s="1" t="s">
        <v>149</v>
      </c>
      <c r="V774" s="1" t="s">
        <v>102</v>
      </c>
      <c r="W774" s="1" t="s">
        <v>131</v>
      </c>
      <c r="X774">
        <v>326302.73000000004</v>
      </c>
      <c r="Y774" s="1" t="s">
        <v>2093</v>
      </c>
      <c r="Z774" s="1" t="s">
        <v>2091</v>
      </c>
      <c r="AO774" t="str">
        <v>P00929</v>
      </c>
    </row>
    <row r="775" spans="1:41" x14ac:dyDescent="0.35">
      <c r="A775" s="1" t="s">
        <v>1997</v>
      </c>
      <c r="B775" s="1" t="s">
        <v>548</v>
      </c>
      <c r="C775">
        <v>14</v>
      </c>
      <c r="D775" s="1" t="s">
        <v>25</v>
      </c>
      <c r="E775" s="1" t="s">
        <v>86</v>
      </c>
      <c r="F775" s="1" t="s">
        <v>120</v>
      </c>
      <c r="G775" s="2">
        <v>45699</v>
      </c>
      <c r="H775" s="2">
        <v>45703</v>
      </c>
      <c r="I775" s="1" t="s">
        <v>273</v>
      </c>
      <c r="J775" s="1" t="s">
        <v>147</v>
      </c>
      <c r="K775" s="1" t="s">
        <v>148</v>
      </c>
      <c r="L775" s="1" t="s">
        <v>66</v>
      </c>
      <c r="M775" s="1" t="s">
        <v>2090</v>
      </c>
      <c r="N775">
        <v>164403.85</v>
      </c>
      <c r="O775">
        <v>28963.21</v>
      </c>
      <c r="P775">
        <v>12028.82</v>
      </c>
      <c r="Q775">
        <v>4</v>
      </c>
      <c r="R775">
        <v>229</v>
      </c>
      <c r="S775">
        <v>2.6</v>
      </c>
      <c r="T775" s="1" t="s">
        <v>34</v>
      </c>
      <c r="U775" s="1" t="s">
        <v>101</v>
      </c>
      <c r="V775" s="1" t="s">
        <v>75</v>
      </c>
      <c r="W775" s="1" t="s">
        <v>131</v>
      </c>
      <c r="X775">
        <v>205395.88</v>
      </c>
      <c r="Y775" s="1" t="s">
        <v>2093</v>
      </c>
      <c r="Z775" s="1" t="s">
        <v>2080</v>
      </c>
      <c r="AO775" t="str">
        <v>P00930</v>
      </c>
    </row>
    <row r="776" spans="1:41" x14ac:dyDescent="0.35">
      <c r="A776" s="1" t="s">
        <v>1998</v>
      </c>
      <c r="B776" s="1" t="s">
        <v>438</v>
      </c>
      <c r="C776">
        <v>21</v>
      </c>
      <c r="D776" s="1" t="s">
        <v>25</v>
      </c>
      <c r="E776" s="1" t="s">
        <v>86</v>
      </c>
      <c r="F776" s="1" t="s">
        <v>135</v>
      </c>
      <c r="G776" s="2">
        <v>45957</v>
      </c>
      <c r="H776" s="2">
        <v>45958</v>
      </c>
      <c r="I776" s="1" t="s">
        <v>273</v>
      </c>
      <c r="J776" s="1" t="s">
        <v>147</v>
      </c>
      <c r="K776" s="1" t="s">
        <v>81</v>
      </c>
      <c r="L776" s="1" t="s">
        <v>66</v>
      </c>
      <c r="M776" s="1" t="s">
        <v>2089</v>
      </c>
      <c r="N776">
        <v>471787.21</v>
      </c>
      <c r="O776">
        <v>43822.63</v>
      </c>
      <c r="P776">
        <v>16902.240000000002</v>
      </c>
      <c r="Q776">
        <v>1</v>
      </c>
      <c r="R776">
        <v>177</v>
      </c>
      <c r="S776">
        <v>4</v>
      </c>
      <c r="T776" s="1" t="s">
        <v>34</v>
      </c>
      <c r="U776" s="1" t="s">
        <v>101</v>
      </c>
      <c r="V776" s="1" t="s">
        <v>75</v>
      </c>
      <c r="W776" s="1" t="s">
        <v>83</v>
      </c>
      <c r="X776">
        <v>532512.08000000007</v>
      </c>
      <c r="Y776" s="1" t="s">
        <v>2082</v>
      </c>
      <c r="Z776" s="1" t="s">
        <v>2080</v>
      </c>
      <c r="AO776" t="str">
        <v>P00931</v>
      </c>
    </row>
    <row r="777" spans="1:41" x14ac:dyDescent="0.35">
      <c r="A777" s="1" t="s">
        <v>2000</v>
      </c>
      <c r="B777" s="1" t="s">
        <v>2114</v>
      </c>
      <c r="C777">
        <v>35</v>
      </c>
      <c r="D777" s="1" t="s">
        <v>25</v>
      </c>
      <c r="E777" s="1" t="s">
        <v>177</v>
      </c>
      <c r="F777" s="1" t="s">
        <v>87</v>
      </c>
      <c r="G777" s="2">
        <v>45707</v>
      </c>
      <c r="H777" s="2">
        <v>45710</v>
      </c>
      <c r="I777" s="1" t="s">
        <v>29</v>
      </c>
      <c r="J777" s="1" t="s">
        <v>87</v>
      </c>
      <c r="K777" s="1" t="s">
        <v>81</v>
      </c>
      <c r="L777" s="1" t="s">
        <v>32</v>
      </c>
      <c r="M777" s="1" t="s">
        <v>2086</v>
      </c>
      <c r="N777">
        <v>115081.76</v>
      </c>
      <c r="O777">
        <v>38444.15</v>
      </c>
      <c r="P777">
        <v>28647.38</v>
      </c>
      <c r="Q777">
        <v>3</v>
      </c>
      <c r="R777">
        <v>231</v>
      </c>
      <c r="S777">
        <v>2</v>
      </c>
      <c r="T777" s="1" t="s">
        <v>34</v>
      </c>
      <c r="U777" s="1" t="s">
        <v>101</v>
      </c>
      <c r="V777" s="1" t="s">
        <v>102</v>
      </c>
      <c r="W777" s="1" t="s">
        <v>131</v>
      </c>
      <c r="X777">
        <v>182173.29</v>
      </c>
      <c r="Y777" s="1" t="s">
        <v>2082</v>
      </c>
      <c r="Z777" s="1" t="s">
        <v>2080</v>
      </c>
      <c r="AO777" t="str">
        <v>P00932</v>
      </c>
    </row>
    <row r="778" spans="1:41" x14ac:dyDescent="0.35">
      <c r="A778" s="1" t="s">
        <v>2002</v>
      </c>
      <c r="B778" s="1" t="s">
        <v>350</v>
      </c>
      <c r="C778">
        <v>40</v>
      </c>
      <c r="D778" s="1" t="s">
        <v>119</v>
      </c>
      <c r="E778" s="1" t="s">
        <v>112</v>
      </c>
      <c r="F778" s="1" t="s">
        <v>120</v>
      </c>
      <c r="G778" s="2">
        <v>45980</v>
      </c>
      <c r="H778" s="2">
        <v>45989</v>
      </c>
      <c r="I778" s="1" t="s">
        <v>29</v>
      </c>
      <c r="J778" s="1" t="s">
        <v>152</v>
      </c>
      <c r="K778" s="1" t="s">
        <v>81</v>
      </c>
      <c r="L778" s="1" t="s">
        <v>66</v>
      </c>
      <c r="M778" s="1" t="s">
        <v>57</v>
      </c>
      <c r="N778">
        <v>261872</v>
      </c>
      <c r="O778">
        <v>50828.94</v>
      </c>
      <c r="P778">
        <v>26092.52</v>
      </c>
      <c r="Q778">
        <v>9</v>
      </c>
      <c r="R778">
        <v>159</v>
      </c>
      <c r="S778">
        <v>0.2</v>
      </c>
      <c r="T778" s="1" t="s">
        <v>34</v>
      </c>
      <c r="U778" s="1" t="s">
        <v>101</v>
      </c>
      <c r="V778" s="1" t="s">
        <v>75</v>
      </c>
      <c r="W778" s="1" t="s">
        <v>131</v>
      </c>
      <c r="X778">
        <v>338793.46</v>
      </c>
      <c r="Y778" s="1" t="s">
        <v>2079</v>
      </c>
      <c r="Z778" s="1" t="s">
        <v>2080</v>
      </c>
      <c r="AO778" t="str">
        <v>P00933</v>
      </c>
    </row>
    <row r="779" spans="1:41" x14ac:dyDescent="0.35">
      <c r="A779" s="1" t="s">
        <v>2004</v>
      </c>
      <c r="B779" s="1" t="s">
        <v>397</v>
      </c>
      <c r="C779">
        <v>22</v>
      </c>
      <c r="D779" s="1" t="s">
        <v>119</v>
      </c>
      <c r="E779" s="1" t="s">
        <v>26</v>
      </c>
      <c r="F779" s="1" t="s">
        <v>120</v>
      </c>
      <c r="G779" s="2">
        <v>46212</v>
      </c>
      <c r="H779" s="2">
        <v>46213</v>
      </c>
      <c r="I779" s="1" t="s">
        <v>100</v>
      </c>
      <c r="J779" s="1" t="s">
        <v>137</v>
      </c>
      <c r="K779" s="1" t="s">
        <v>55</v>
      </c>
      <c r="L779" s="1" t="s">
        <v>32</v>
      </c>
      <c r="M779" s="1" t="s">
        <v>2089</v>
      </c>
      <c r="N779">
        <v>44509.16</v>
      </c>
      <c r="O779">
        <v>24626.13</v>
      </c>
      <c r="P779">
        <v>56572.5</v>
      </c>
      <c r="Q779">
        <v>1</v>
      </c>
      <c r="R779">
        <v>147</v>
      </c>
      <c r="S779">
        <v>4</v>
      </c>
      <c r="T779" s="1" t="s">
        <v>34</v>
      </c>
      <c r="U779" s="1" t="s">
        <v>101</v>
      </c>
      <c r="V779" s="1" t="s">
        <v>75</v>
      </c>
      <c r="W779" s="1" t="s">
        <v>131</v>
      </c>
      <c r="X779">
        <v>125707.79000000001</v>
      </c>
      <c r="Y779" s="1" t="s">
        <v>2082</v>
      </c>
      <c r="Z779" s="1" t="s">
        <v>2080</v>
      </c>
      <c r="AO779" t="str">
        <v>P00934</v>
      </c>
    </row>
    <row r="780" spans="1:41" x14ac:dyDescent="0.35">
      <c r="A780" s="1" t="s">
        <v>2006</v>
      </c>
      <c r="B780" s="1" t="s">
        <v>916</v>
      </c>
      <c r="C780">
        <v>51</v>
      </c>
      <c r="D780" s="1" t="s">
        <v>25</v>
      </c>
      <c r="E780" s="1" t="s">
        <v>2084</v>
      </c>
      <c r="F780" s="1" t="s">
        <v>120</v>
      </c>
      <c r="G780" s="2">
        <v>45976</v>
      </c>
      <c r="H780" s="2">
        <v>45977</v>
      </c>
      <c r="I780" s="1" t="s">
        <v>273</v>
      </c>
      <c r="J780" s="1" t="s">
        <v>141</v>
      </c>
      <c r="K780" s="1" t="s">
        <v>55</v>
      </c>
      <c r="L780" s="1" t="s">
        <v>44</v>
      </c>
      <c r="M780" s="1" t="s">
        <v>2089</v>
      </c>
      <c r="N780">
        <v>237400</v>
      </c>
      <c r="O780">
        <v>53401.4</v>
      </c>
      <c r="P780">
        <v>68308.100000000006</v>
      </c>
      <c r="Q780">
        <v>1</v>
      </c>
      <c r="R780">
        <v>97</v>
      </c>
      <c r="S780">
        <v>2.5</v>
      </c>
      <c r="T780" s="1" t="s">
        <v>34</v>
      </c>
      <c r="U780" s="1" t="s">
        <v>95</v>
      </c>
      <c r="V780" s="1" t="s">
        <v>75</v>
      </c>
      <c r="W780" s="1" t="s">
        <v>12</v>
      </c>
      <c r="X780">
        <v>359109.5</v>
      </c>
      <c r="Y780" s="1" t="s">
        <v>2079</v>
      </c>
      <c r="Z780" s="1" t="s">
        <v>2080</v>
      </c>
      <c r="AO780" t="str">
        <v>P00935</v>
      </c>
    </row>
    <row r="781" spans="1:41" x14ac:dyDescent="0.35">
      <c r="A781" s="1" t="s">
        <v>2008</v>
      </c>
      <c r="B781" s="1" t="s">
        <v>770</v>
      </c>
      <c r="C781">
        <v>31</v>
      </c>
      <c r="D781" s="1" t="s">
        <v>119</v>
      </c>
      <c r="E781" s="1" t="s">
        <v>26</v>
      </c>
      <c r="F781" s="1" t="s">
        <v>120</v>
      </c>
      <c r="G781" s="2">
        <v>45751</v>
      </c>
      <c r="H781" s="2">
        <v>45754</v>
      </c>
      <c r="I781" s="1" t="s">
        <v>273</v>
      </c>
      <c r="J781" s="1" t="s">
        <v>141</v>
      </c>
      <c r="K781" s="1" t="s">
        <v>163</v>
      </c>
      <c r="L781" s="1" t="s">
        <v>32</v>
      </c>
      <c r="M781" s="1" t="s">
        <v>2078</v>
      </c>
      <c r="N781">
        <v>90445.08</v>
      </c>
      <c r="O781">
        <v>0</v>
      </c>
      <c r="P781">
        <v>24145.52</v>
      </c>
      <c r="Q781">
        <v>3</v>
      </c>
      <c r="R781">
        <v>130</v>
      </c>
      <c r="S781">
        <v>2.8</v>
      </c>
      <c r="T781" s="1" t="s">
        <v>34</v>
      </c>
      <c r="U781" s="1" t="s">
        <v>95</v>
      </c>
      <c r="V781" s="1" t="s">
        <v>75</v>
      </c>
      <c r="W781" s="1" t="s">
        <v>12</v>
      </c>
      <c r="X781">
        <v>114590.6</v>
      </c>
      <c r="Y781" s="1" t="s">
        <v>2082</v>
      </c>
      <c r="Z781" s="1" t="s">
        <v>2080</v>
      </c>
      <c r="AO781" t="str">
        <v>P00936</v>
      </c>
    </row>
    <row r="782" spans="1:41" x14ac:dyDescent="0.35">
      <c r="A782" s="1" t="s">
        <v>2010</v>
      </c>
      <c r="B782" s="1" t="s">
        <v>815</v>
      </c>
      <c r="C782">
        <v>69</v>
      </c>
      <c r="D782" s="1" t="s">
        <v>119</v>
      </c>
      <c r="E782" s="1" t="s">
        <v>112</v>
      </c>
      <c r="F782" s="1" t="s">
        <v>227</v>
      </c>
      <c r="G782" s="2">
        <v>46244</v>
      </c>
      <c r="H782" s="2">
        <v>46245</v>
      </c>
      <c r="I782" s="1" t="s">
        <v>273</v>
      </c>
      <c r="J782" s="1" t="s">
        <v>87</v>
      </c>
      <c r="K782" s="1" t="s">
        <v>91</v>
      </c>
      <c r="L782" s="1" t="s">
        <v>32</v>
      </c>
      <c r="M782" s="1" t="s">
        <v>57</v>
      </c>
      <c r="N782">
        <v>199440.51</v>
      </c>
      <c r="O782">
        <v>0</v>
      </c>
      <c r="P782">
        <v>3009.55</v>
      </c>
      <c r="Q782">
        <v>1</v>
      </c>
      <c r="R782">
        <v>76</v>
      </c>
      <c r="S782">
        <v>2.2000000000000002</v>
      </c>
      <c r="T782" s="1" t="s">
        <v>46</v>
      </c>
      <c r="U782" s="1" t="s">
        <v>95</v>
      </c>
      <c r="V782" s="1" t="s">
        <v>130</v>
      </c>
      <c r="W782" s="1" t="s">
        <v>83</v>
      </c>
      <c r="X782">
        <v>202450.06</v>
      </c>
      <c r="Y782" s="1" t="s">
        <v>2088</v>
      </c>
      <c r="Z782" s="1" t="s">
        <v>2080</v>
      </c>
      <c r="AO782" t="str">
        <v>P00940</v>
      </c>
    </row>
    <row r="783" spans="1:41" x14ac:dyDescent="0.35">
      <c r="A783" s="1" t="s">
        <v>2011</v>
      </c>
      <c r="B783" s="1" t="s">
        <v>753</v>
      </c>
      <c r="C783">
        <v>43</v>
      </c>
      <c r="D783" s="1" t="s">
        <v>25</v>
      </c>
      <c r="E783" s="1" t="s">
        <v>177</v>
      </c>
      <c r="F783" s="1" t="s">
        <v>41</v>
      </c>
      <c r="G783" s="2">
        <v>45535</v>
      </c>
      <c r="H783" s="2">
        <v>45537</v>
      </c>
      <c r="I783" s="1" t="s">
        <v>273</v>
      </c>
      <c r="J783" s="1" t="s">
        <v>54</v>
      </c>
      <c r="K783" s="1" t="s">
        <v>81</v>
      </c>
      <c r="L783" s="1" t="s">
        <v>66</v>
      </c>
      <c r="M783" s="1" t="s">
        <v>2086</v>
      </c>
      <c r="N783">
        <v>424715.64</v>
      </c>
      <c r="O783">
        <v>22738.65</v>
      </c>
      <c r="P783">
        <v>77176.25</v>
      </c>
      <c r="Q783">
        <v>2</v>
      </c>
      <c r="R783">
        <v>202</v>
      </c>
      <c r="S783">
        <v>5</v>
      </c>
      <c r="T783" s="1" t="s">
        <v>34</v>
      </c>
      <c r="U783" s="1" t="s">
        <v>101</v>
      </c>
      <c r="V783" s="1" t="s">
        <v>130</v>
      </c>
      <c r="W783" s="1" t="s">
        <v>83</v>
      </c>
      <c r="X783">
        <v>524630.54</v>
      </c>
      <c r="Y783" s="1" t="s">
        <v>2079</v>
      </c>
      <c r="Z783" s="1" t="s">
        <v>2080</v>
      </c>
      <c r="AO783" t="str">
        <v>P00943</v>
      </c>
    </row>
    <row r="784" spans="1:41" x14ac:dyDescent="0.35">
      <c r="A784" s="1" t="s">
        <v>2012</v>
      </c>
      <c r="B784" s="1" t="s">
        <v>312</v>
      </c>
      <c r="C784">
        <v>0</v>
      </c>
      <c r="D784" s="1" t="s">
        <v>25</v>
      </c>
      <c r="E784" s="1" t="s">
        <v>51</v>
      </c>
      <c r="F784" s="1" t="s">
        <v>135</v>
      </c>
      <c r="G784" s="2">
        <v>45884</v>
      </c>
      <c r="H784" s="2">
        <v>45887</v>
      </c>
      <c r="I784" s="1" t="s">
        <v>273</v>
      </c>
      <c r="J784" s="1" t="s">
        <v>2081</v>
      </c>
      <c r="K784" s="1" t="s">
        <v>174</v>
      </c>
      <c r="L784" s="1" t="s">
        <v>44</v>
      </c>
      <c r="M784" s="1" t="s">
        <v>57</v>
      </c>
      <c r="N784">
        <v>284515.48</v>
      </c>
      <c r="O784">
        <v>56210</v>
      </c>
      <c r="P784">
        <v>42567.99</v>
      </c>
      <c r="Q784">
        <v>3</v>
      </c>
      <c r="R784">
        <v>225</v>
      </c>
      <c r="S784">
        <v>4.8</v>
      </c>
      <c r="T784" s="1" t="s">
        <v>46</v>
      </c>
      <c r="U784" s="1" t="s">
        <v>95</v>
      </c>
      <c r="V784" s="1" t="s">
        <v>75</v>
      </c>
      <c r="W784" s="1" t="s">
        <v>36</v>
      </c>
      <c r="X784">
        <v>383293.47</v>
      </c>
      <c r="Y784" s="1" t="s">
        <v>2093</v>
      </c>
      <c r="Z784" s="1" t="s">
        <v>2080</v>
      </c>
      <c r="AO784" t="str">
        <v>P00944</v>
      </c>
    </row>
    <row r="785" spans="1:41" x14ac:dyDescent="0.35">
      <c r="A785" s="1" t="s">
        <v>2013</v>
      </c>
      <c r="B785" s="1" t="s">
        <v>2014</v>
      </c>
      <c r="C785">
        <v>66</v>
      </c>
      <c r="D785" s="1" t="s">
        <v>119</v>
      </c>
      <c r="E785" s="1" t="s">
        <v>86</v>
      </c>
      <c r="F785" s="1" t="s">
        <v>227</v>
      </c>
      <c r="G785" s="2">
        <v>46241</v>
      </c>
      <c r="H785" s="2">
        <v>46245</v>
      </c>
      <c r="I785" s="1" t="s">
        <v>273</v>
      </c>
      <c r="J785" s="1" t="s">
        <v>141</v>
      </c>
      <c r="K785" s="1" t="s">
        <v>174</v>
      </c>
      <c r="L785" s="1" t="s">
        <v>32</v>
      </c>
      <c r="M785" s="1" t="s">
        <v>2078</v>
      </c>
      <c r="N785">
        <v>266671.78000000003</v>
      </c>
      <c r="O785">
        <v>0</v>
      </c>
      <c r="P785">
        <v>30025.83</v>
      </c>
      <c r="Q785">
        <v>4</v>
      </c>
      <c r="R785">
        <v>184</v>
      </c>
      <c r="S785">
        <v>2.7</v>
      </c>
      <c r="T785" s="1" t="s">
        <v>46</v>
      </c>
      <c r="U785" s="1" t="s">
        <v>95</v>
      </c>
      <c r="V785" s="1" t="s">
        <v>102</v>
      </c>
      <c r="W785" s="1" t="s">
        <v>131</v>
      </c>
      <c r="X785">
        <v>296697.61000000004</v>
      </c>
      <c r="Y785" s="1" t="s">
        <v>2088</v>
      </c>
      <c r="Z785" s="1" t="s">
        <v>2080</v>
      </c>
      <c r="AO785" t="str">
        <v>P00945</v>
      </c>
    </row>
    <row r="786" spans="1:41" x14ac:dyDescent="0.35">
      <c r="A786" s="1" t="s">
        <v>2016</v>
      </c>
      <c r="B786" s="1" t="s">
        <v>669</v>
      </c>
      <c r="C786">
        <v>20</v>
      </c>
      <c r="D786" s="1" t="s">
        <v>119</v>
      </c>
      <c r="E786" s="1" t="s">
        <v>2084</v>
      </c>
      <c r="F786" s="1" t="s">
        <v>227</v>
      </c>
      <c r="G786" s="2">
        <v>45721</v>
      </c>
      <c r="H786" s="2">
        <v>45723</v>
      </c>
      <c r="I786" s="1" t="s">
        <v>273</v>
      </c>
      <c r="J786" s="1" t="s">
        <v>2081</v>
      </c>
      <c r="K786" s="1" t="s">
        <v>55</v>
      </c>
      <c r="L786" s="1" t="s">
        <v>32</v>
      </c>
      <c r="M786" s="1" t="s">
        <v>2086</v>
      </c>
      <c r="N786">
        <v>469749.16</v>
      </c>
      <c r="O786">
        <v>72037.31</v>
      </c>
      <c r="P786">
        <v>18483.93</v>
      </c>
      <c r="Q786">
        <v>2</v>
      </c>
      <c r="R786">
        <v>106</v>
      </c>
      <c r="S786">
        <v>2.8</v>
      </c>
      <c r="T786" s="1" t="s">
        <v>46</v>
      </c>
      <c r="U786" s="1" t="s">
        <v>101</v>
      </c>
      <c r="V786" s="1" t="s">
        <v>102</v>
      </c>
      <c r="W786" s="1" t="s">
        <v>59</v>
      </c>
      <c r="X786">
        <v>560270.4</v>
      </c>
      <c r="Y786" s="1" t="s">
        <v>2082</v>
      </c>
      <c r="Z786" s="1" t="s">
        <v>2080</v>
      </c>
      <c r="AO786" t="str">
        <v>P00946</v>
      </c>
    </row>
    <row r="787" spans="1:41" x14ac:dyDescent="0.35">
      <c r="A787" s="1" t="s">
        <v>2018</v>
      </c>
      <c r="B787" s="1" t="s">
        <v>1000</v>
      </c>
      <c r="C787">
        <v>54</v>
      </c>
      <c r="D787" s="1" t="s">
        <v>119</v>
      </c>
      <c r="E787" s="1" t="s">
        <v>2084</v>
      </c>
      <c r="F787" s="1" t="s">
        <v>108</v>
      </c>
      <c r="G787" s="2">
        <v>45710</v>
      </c>
      <c r="H787" s="2">
        <v>45714</v>
      </c>
      <c r="I787" s="1" t="s">
        <v>53</v>
      </c>
      <c r="J787" s="1" t="s">
        <v>87</v>
      </c>
      <c r="K787" s="1" t="s">
        <v>148</v>
      </c>
      <c r="L787" s="1" t="s">
        <v>44</v>
      </c>
      <c r="M787" s="1" t="s">
        <v>57</v>
      </c>
      <c r="N787">
        <v>333638.78000000003</v>
      </c>
      <c r="O787">
        <v>38297.96</v>
      </c>
      <c r="P787">
        <v>133062.19</v>
      </c>
      <c r="Q787">
        <v>4</v>
      </c>
      <c r="R787">
        <v>17</v>
      </c>
      <c r="S787">
        <v>1.5</v>
      </c>
      <c r="T787" s="1" t="s">
        <v>46</v>
      </c>
      <c r="U787" s="1" t="s">
        <v>101</v>
      </c>
      <c r="V787" s="1" t="s">
        <v>102</v>
      </c>
      <c r="W787" s="1" t="s">
        <v>131</v>
      </c>
      <c r="X787">
        <v>504998.93000000005</v>
      </c>
      <c r="Y787" s="1" t="s">
        <v>2079</v>
      </c>
      <c r="Z787" s="1" t="s">
        <v>2083</v>
      </c>
      <c r="AO787" t="str">
        <v>P00947</v>
      </c>
    </row>
    <row r="788" spans="1:41" x14ac:dyDescent="0.35">
      <c r="A788" s="1" t="s">
        <v>2020</v>
      </c>
      <c r="B788" s="1" t="s">
        <v>840</v>
      </c>
      <c r="C788">
        <v>8</v>
      </c>
      <c r="D788" s="1" t="s">
        <v>119</v>
      </c>
      <c r="E788" s="1" t="s">
        <v>26</v>
      </c>
      <c r="F788" s="1" t="s">
        <v>227</v>
      </c>
      <c r="G788" s="2">
        <v>45822</v>
      </c>
      <c r="H788" s="2">
        <v>45824</v>
      </c>
      <c r="I788" s="1" t="s">
        <v>273</v>
      </c>
      <c r="J788" s="1" t="s">
        <v>115</v>
      </c>
      <c r="K788" s="1" t="s">
        <v>174</v>
      </c>
      <c r="L788" s="1" t="s">
        <v>32</v>
      </c>
      <c r="M788" s="1" t="s">
        <v>57</v>
      </c>
      <c r="N788">
        <v>11055.28</v>
      </c>
      <c r="O788">
        <v>4967.13</v>
      </c>
      <c r="P788">
        <v>17334.330000000002</v>
      </c>
      <c r="Q788">
        <v>2</v>
      </c>
      <c r="R788">
        <v>23</v>
      </c>
      <c r="S788">
        <v>4.4000000000000004</v>
      </c>
      <c r="T788" s="1" t="s">
        <v>46</v>
      </c>
      <c r="U788" s="1" t="s">
        <v>149</v>
      </c>
      <c r="V788" s="1" t="s">
        <v>102</v>
      </c>
      <c r="W788" s="1" t="s">
        <v>59</v>
      </c>
      <c r="X788">
        <v>33356.740000000005</v>
      </c>
      <c r="Y788" s="1" t="s">
        <v>2093</v>
      </c>
      <c r="Z788" s="1" t="s">
        <v>2083</v>
      </c>
      <c r="AO788" t="str">
        <v>P00948</v>
      </c>
    </row>
    <row r="789" spans="1:41" x14ac:dyDescent="0.35">
      <c r="A789" s="1" t="s">
        <v>2022</v>
      </c>
      <c r="B789" s="1" t="s">
        <v>318</v>
      </c>
      <c r="C789">
        <v>39</v>
      </c>
      <c r="D789" s="1" t="s">
        <v>119</v>
      </c>
      <c r="E789" s="1" t="s">
        <v>2084</v>
      </c>
      <c r="F789" s="1" t="s">
        <v>145</v>
      </c>
      <c r="G789" s="2">
        <v>45666</v>
      </c>
      <c r="H789" s="2">
        <v>45668</v>
      </c>
      <c r="I789" s="1" t="s">
        <v>53</v>
      </c>
      <c r="J789" s="1" t="s">
        <v>115</v>
      </c>
      <c r="K789" s="1" t="s">
        <v>55</v>
      </c>
      <c r="L789" s="1" t="s">
        <v>32</v>
      </c>
      <c r="M789" s="1" t="s">
        <v>2087</v>
      </c>
      <c r="N789">
        <v>345192.59</v>
      </c>
      <c r="O789">
        <v>10841.94</v>
      </c>
      <c r="P789">
        <v>37063.620000000003</v>
      </c>
      <c r="Q789">
        <v>2</v>
      </c>
      <c r="R789">
        <v>122</v>
      </c>
      <c r="S789">
        <v>1.2</v>
      </c>
      <c r="T789" s="1" t="s">
        <v>46</v>
      </c>
      <c r="U789" s="1" t="s">
        <v>149</v>
      </c>
      <c r="V789" s="1" t="s">
        <v>75</v>
      </c>
      <c r="W789" s="1" t="s">
        <v>59</v>
      </c>
      <c r="X789">
        <v>393098.15</v>
      </c>
      <c r="Y789" s="1" t="s">
        <v>2079</v>
      </c>
      <c r="Z789" s="1" t="s">
        <v>2080</v>
      </c>
      <c r="AO789" t="str">
        <v>P00949</v>
      </c>
    </row>
    <row r="790" spans="1:41" x14ac:dyDescent="0.35">
      <c r="A790" s="1" t="s">
        <v>2023</v>
      </c>
      <c r="B790" s="1" t="s">
        <v>488</v>
      </c>
      <c r="C790">
        <v>50</v>
      </c>
      <c r="D790" s="1" t="s">
        <v>119</v>
      </c>
      <c r="E790" s="1" t="s">
        <v>263</v>
      </c>
      <c r="F790" s="1" t="s">
        <v>108</v>
      </c>
      <c r="G790" s="2">
        <v>46358</v>
      </c>
      <c r="H790" s="2">
        <v>46066</v>
      </c>
      <c r="I790" s="1" t="s">
        <v>273</v>
      </c>
      <c r="J790" s="1" t="s">
        <v>90</v>
      </c>
      <c r="K790" s="1" t="s">
        <v>81</v>
      </c>
      <c r="L790" s="1" t="s">
        <v>32</v>
      </c>
      <c r="M790" s="1" t="s">
        <v>2087</v>
      </c>
      <c r="N790">
        <v>288882</v>
      </c>
      <c r="O790">
        <v>81605.5</v>
      </c>
      <c r="P790">
        <v>49742.85</v>
      </c>
      <c r="Q790">
        <v>1</v>
      </c>
      <c r="R790">
        <v>156</v>
      </c>
      <c r="S790">
        <v>3.4</v>
      </c>
      <c r="T790" s="1" t="s">
        <v>34</v>
      </c>
      <c r="U790" s="1" t="s">
        <v>95</v>
      </c>
      <c r="V790" s="1" t="s">
        <v>102</v>
      </c>
      <c r="W790" s="1" t="s">
        <v>83</v>
      </c>
      <c r="X790">
        <v>420230.35</v>
      </c>
      <c r="Y790" s="1" t="s">
        <v>2079</v>
      </c>
      <c r="Z790" s="1" t="s">
        <v>2080</v>
      </c>
      <c r="AO790" t="str">
        <v>P00950</v>
      </c>
    </row>
    <row r="791" spans="1:41" x14ac:dyDescent="0.35">
      <c r="A791" s="1" t="s">
        <v>2025</v>
      </c>
      <c r="B791" s="1" t="s">
        <v>1681</v>
      </c>
      <c r="C791">
        <v>79</v>
      </c>
      <c r="D791" s="1" t="s">
        <v>25</v>
      </c>
      <c r="E791" s="1" t="s">
        <v>263</v>
      </c>
      <c r="F791" s="1" t="s">
        <v>145</v>
      </c>
      <c r="G791" s="2">
        <v>45847</v>
      </c>
      <c r="H791" s="2">
        <v>45850</v>
      </c>
      <c r="I791" s="1" t="s">
        <v>114</v>
      </c>
      <c r="J791" s="1" t="s">
        <v>141</v>
      </c>
      <c r="K791" s="1" t="s">
        <v>163</v>
      </c>
      <c r="L791" s="1" t="s">
        <v>66</v>
      </c>
      <c r="M791" s="1" t="s">
        <v>2086</v>
      </c>
      <c r="N791">
        <v>0</v>
      </c>
      <c r="O791">
        <v>40340.410000000003</v>
      </c>
      <c r="P791">
        <v>109067.6</v>
      </c>
      <c r="Q791">
        <v>3</v>
      </c>
      <c r="R791">
        <v>116</v>
      </c>
      <c r="S791">
        <v>5</v>
      </c>
      <c r="T791" s="1" t="s">
        <v>34</v>
      </c>
      <c r="U791" s="1" t="s">
        <v>35</v>
      </c>
      <c r="V791" s="1" t="s">
        <v>75</v>
      </c>
      <c r="W791" s="1" t="s">
        <v>12</v>
      </c>
      <c r="X791">
        <v>149408.01</v>
      </c>
      <c r="Y791" s="1" t="s">
        <v>2088</v>
      </c>
      <c r="Z791" s="1" t="s">
        <v>2080</v>
      </c>
      <c r="AO791" t="str">
        <v>P00951</v>
      </c>
    </row>
    <row r="792" spans="1:41" x14ac:dyDescent="0.35">
      <c r="A792" s="1" t="s">
        <v>2026</v>
      </c>
      <c r="B792" s="1" t="s">
        <v>456</v>
      </c>
      <c r="C792">
        <v>42</v>
      </c>
      <c r="D792" s="1" t="s">
        <v>25</v>
      </c>
      <c r="E792" s="1" t="s">
        <v>86</v>
      </c>
      <c r="F792" s="1" t="s">
        <v>227</v>
      </c>
      <c r="G792" s="2">
        <v>46003</v>
      </c>
      <c r="H792" s="2">
        <v>46005</v>
      </c>
      <c r="I792" s="1" t="s">
        <v>100</v>
      </c>
      <c r="J792" s="1" t="s">
        <v>30</v>
      </c>
      <c r="K792" s="1" t="s">
        <v>174</v>
      </c>
      <c r="L792" s="1" t="s">
        <v>44</v>
      </c>
      <c r="M792" s="1" t="s">
        <v>2090</v>
      </c>
      <c r="N792">
        <v>224693.46</v>
      </c>
      <c r="O792">
        <v>0</v>
      </c>
      <c r="P792">
        <v>9954.67</v>
      </c>
      <c r="Q792">
        <v>2</v>
      </c>
      <c r="R792">
        <v>12</v>
      </c>
      <c r="S792">
        <v>4.8</v>
      </c>
      <c r="T792" s="1" t="s">
        <v>34</v>
      </c>
      <c r="U792" s="1" t="s">
        <v>35</v>
      </c>
      <c r="V792" s="1" t="s">
        <v>130</v>
      </c>
      <c r="W792" s="1" t="s">
        <v>12</v>
      </c>
      <c r="X792">
        <v>234648.13</v>
      </c>
      <c r="Y792" s="1" t="s">
        <v>2079</v>
      </c>
      <c r="Z792" s="1" t="s">
        <v>2083</v>
      </c>
      <c r="AO792" t="str">
        <v>P00952</v>
      </c>
    </row>
    <row r="793" spans="1:41" x14ac:dyDescent="0.35">
      <c r="A793" s="1" t="s">
        <v>2028</v>
      </c>
      <c r="B793" s="1" t="s">
        <v>721</v>
      </c>
      <c r="C793">
        <v>50</v>
      </c>
      <c r="D793" s="1" t="s">
        <v>25</v>
      </c>
      <c r="E793" s="1" t="s">
        <v>86</v>
      </c>
      <c r="F793" s="1" t="s">
        <v>41</v>
      </c>
      <c r="G793" s="2">
        <v>45920</v>
      </c>
      <c r="H793" s="2">
        <v>45925</v>
      </c>
      <c r="I793" s="1" t="s">
        <v>100</v>
      </c>
      <c r="J793" s="1" t="s">
        <v>115</v>
      </c>
      <c r="K793" s="1" t="s">
        <v>174</v>
      </c>
      <c r="L793" s="1" t="s">
        <v>32</v>
      </c>
      <c r="M793" s="1" t="s">
        <v>2086</v>
      </c>
      <c r="N793">
        <v>335374.40999999997</v>
      </c>
      <c r="O793">
        <v>25896.26</v>
      </c>
      <c r="P793">
        <v>81057.95</v>
      </c>
      <c r="Q793">
        <v>5</v>
      </c>
      <c r="R793">
        <v>95</v>
      </c>
      <c r="S793">
        <v>3.8</v>
      </c>
      <c r="T793" s="1" t="s">
        <v>46</v>
      </c>
      <c r="U793" s="1" t="s">
        <v>35</v>
      </c>
      <c r="V793" s="1" t="s">
        <v>130</v>
      </c>
      <c r="W793" s="1" t="s">
        <v>83</v>
      </c>
      <c r="X793">
        <v>442328.62</v>
      </c>
      <c r="Y793" s="1" t="s">
        <v>2079</v>
      </c>
      <c r="Z793" s="1" t="s">
        <v>2080</v>
      </c>
      <c r="AO793" t="str">
        <v>P00953</v>
      </c>
    </row>
    <row r="794" spans="1:41" x14ac:dyDescent="0.35">
      <c r="A794" s="1" t="s">
        <v>2031</v>
      </c>
      <c r="B794" s="1" t="s">
        <v>966</v>
      </c>
      <c r="C794">
        <v>33</v>
      </c>
      <c r="D794" s="1" t="s">
        <v>25</v>
      </c>
      <c r="E794" s="1" t="s">
        <v>86</v>
      </c>
      <c r="F794" s="1" t="s">
        <v>193</v>
      </c>
      <c r="G794" s="2">
        <v>45682</v>
      </c>
      <c r="H794" s="2">
        <v>45684</v>
      </c>
      <c r="I794" s="1" t="s">
        <v>53</v>
      </c>
      <c r="J794" s="1" t="s">
        <v>141</v>
      </c>
      <c r="K794" s="1" t="s">
        <v>148</v>
      </c>
      <c r="L794" s="1" t="s">
        <v>44</v>
      </c>
      <c r="M794" s="1" t="s">
        <v>2078</v>
      </c>
      <c r="N794">
        <v>344608.08</v>
      </c>
      <c r="O794">
        <v>14818.46</v>
      </c>
      <c r="P794">
        <v>38993.96</v>
      </c>
      <c r="Q794">
        <v>2</v>
      </c>
      <c r="R794">
        <v>199</v>
      </c>
      <c r="S794">
        <v>5</v>
      </c>
      <c r="T794" s="1" t="s">
        <v>34</v>
      </c>
      <c r="U794" s="1" t="s">
        <v>149</v>
      </c>
      <c r="V794" s="1" t="s">
        <v>102</v>
      </c>
      <c r="W794" s="1" t="s">
        <v>83</v>
      </c>
      <c r="X794">
        <v>398420.50000000006</v>
      </c>
      <c r="Y794" s="1" t="s">
        <v>2082</v>
      </c>
      <c r="Z794" s="1" t="s">
        <v>2080</v>
      </c>
      <c r="AO794" t="str">
        <v>P00954</v>
      </c>
    </row>
    <row r="795" spans="1:41" x14ac:dyDescent="0.35">
      <c r="A795" s="1" t="s">
        <v>2033</v>
      </c>
      <c r="B795" s="1" t="s">
        <v>303</v>
      </c>
      <c r="C795">
        <v>40</v>
      </c>
      <c r="D795" s="1" t="s">
        <v>25</v>
      </c>
      <c r="E795" s="1" t="s">
        <v>192</v>
      </c>
      <c r="F795" s="1" t="s">
        <v>145</v>
      </c>
      <c r="G795" s="2">
        <v>45373</v>
      </c>
      <c r="H795" s="2">
        <v>45374</v>
      </c>
      <c r="I795" s="1" t="s">
        <v>235</v>
      </c>
      <c r="J795" s="1" t="s">
        <v>87</v>
      </c>
      <c r="K795" s="1" t="s">
        <v>91</v>
      </c>
      <c r="L795" s="1" t="s">
        <v>32</v>
      </c>
      <c r="M795" s="1" t="s">
        <v>2085</v>
      </c>
      <c r="N795">
        <v>92554.59</v>
      </c>
      <c r="O795">
        <v>47379.13</v>
      </c>
      <c r="P795">
        <v>33730.99</v>
      </c>
      <c r="Q795">
        <v>1</v>
      </c>
      <c r="R795">
        <v>0</v>
      </c>
      <c r="S795">
        <v>4.3</v>
      </c>
      <c r="T795" s="1" t="s">
        <v>46</v>
      </c>
      <c r="U795" s="1" t="s">
        <v>149</v>
      </c>
      <c r="V795" s="1" t="s">
        <v>102</v>
      </c>
      <c r="W795" s="1" t="s">
        <v>131</v>
      </c>
      <c r="X795">
        <v>173664.71</v>
      </c>
      <c r="Y795" s="1" t="s">
        <v>2079</v>
      </c>
      <c r="Z795" s="1" t="s">
        <v>2083</v>
      </c>
      <c r="AO795" t="str">
        <v>P00956</v>
      </c>
    </row>
    <row r="796" spans="1:41" x14ac:dyDescent="0.35">
      <c r="A796" s="1" t="s">
        <v>2035</v>
      </c>
      <c r="B796" s="1" t="s">
        <v>569</v>
      </c>
      <c r="C796">
        <v>24</v>
      </c>
      <c r="D796" s="1" t="s">
        <v>25</v>
      </c>
      <c r="E796" s="1" t="s">
        <v>192</v>
      </c>
      <c r="F796" s="1" t="s">
        <v>120</v>
      </c>
      <c r="G796" s="2">
        <v>45396</v>
      </c>
      <c r="H796" s="2">
        <v>45397</v>
      </c>
      <c r="I796" s="1" t="s">
        <v>273</v>
      </c>
      <c r="J796" s="1" t="s">
        <v>152</v>
      </c>
      <c r="K796" s="1" t="s">
        <v>122</v>
      </c>
      <c r="L796" s="1" t="s">
        <v>44</v>
      </c>
      <c r="M796" s="1" t="s">
        <v>2086</v>
      </c>
      <c r="N796">
        <v>0</v>
      </c>
      <c r="O796">
        <v>0</v>
      </c>
      <c r="P796">
        <v>50355.88</v>
      </c>
      <c r="Q796">
        <v>1</v>
      </c>
      <c r="R796">
        <v>0</v>
      </c>
      <c r="S796">
        <v>1.8</v>
      </c>
      <c r="T796" s="1" t="s">
        <v>34</v>
      </c>
      <c r="U796" s="1" t="s">
        <v>95</v>
      </c>
      <c r="V796" s="1" t="s">
        <v>102</v>
      </c>
      <c r="W796" s="1" t="s">
        <v>131</v>
      </c>
      <c r="X796">
        <v>50355.88</v>
      </c>
      <c r="Y796" s="1" t="s">
        <v>2082</v>
      </c>
      <c r="Z796" s="1" t="s">
        <v>2083</v>
      </c>
      <c r="AO796" t="str">
        <v>P00958</v>
      </c>
    </row>
    <row r="797" spans="1:41" x14ac:dyDescent="0.35">
      <c r="A797" s="1" t="s">
        <v>2036</v>
      </c>
      <c r="B797" s="1" t="s">
        <v>891</v>
      </c>
      <c r="C797">
        <v>31</v>
      </c>
      <c r="D797" s="1" t="s">
        <v>119</v>
      </c>
      <c r="E797" s="1" t="s">
        <v>112</v>
      </c>
      <c r="F797" s="1" t="s">
        <v>63</v>
      </c>
      <c r="G797" s="2">
        <v>45521</v>
      </c>
      <c r="H797" s="2">
        <v>45524</v>
      </c>
      <c r="I797" s="1" t="s">
        <v>127</v>
      </c>
      <c r="J797" s="1" t="s">
        <v>152</v>
      </c>
      <c r="K797" s="1" t="s">
        <v>148</v>
      </c>
      <c r="L797" s="1" t="s">
        <v>32</v>
      </c>
      <c r="M797" s="1" t="s">
        <v>2086</v>
      </c>
      <c r="N797">
        <v>498885.13</v>
      </c>
      <c r="O797">
        <v>75847.41</v>
      </c>
      <c r="P797">
        <v>18962.330000000002</v>
      </c>
      <c r="Q797">
        <v>3</v>
      </c>
      <c r="R797">
        <v>136</v>
      </c>
      <c r="S797">
        <v>4.7</v>
      </c>
      <c r="T797" s="1" t="s">
        <v>46</v>
      </c>
      <c r="U797" s="1" t="s">
        <v>35</v>
      </c>
      <c r="V797" s="1" t="s">
        <v>102</v>
      </c>
      <c r="W797" s="1" t="s">
        <v>131</v>
      </c>
      <c r="X797">
        <v>593694.87</v>
      </c>
      <c r="Y797" s="1" t="s">
        <v>2082</v>
      </c>
      <c r="Z797" s="1" t="s">
        <v>2080</v>
      </c>
      <c r="AO797" t="str">
        <v>P00959</v>
      </c>
    </row>
    <row r="798" spans="1:41" x14ac:dyDescent="0.35">
      <c r="A798" s="1" t="s">
        <v>2037</v>
      </c>
      <c r="B798" s="1" t="s">
        <v>347</v>
      </c>
      <c r="C798">
        <v>10</v>
      </c>
      <c r="D798" s="1" t="s">
        <v>25</v>
      </c>
      <c r="E798" s="1" t="s">
        <v>219</v>
      </c>
      <c r="F798" s="1" t="s">
        <v>108</v>
      </c>
      <c r="G798" s="2">
        <v>45330</v>
      </c>
      <c r="H798" s="2">
        <v>45332</v>
      </c>
      <c r="I798" s="1" t="s">
        <v>273</v>
      </c>
      <c r="J798" s="1" t="s">
        <v>2081</v>
      </c>
      <c r="K798" s="1" t="s">
        <v>55</v>
      </c>
      <c r="L798" s="1" t="s">
        <v>66</v>
      </c>
      <c r="M798" s="1" t="s">
        <v>2087</v>
      </c>
      <c r="N798">
        <v>218278.22</v>
      </c>
      <c r="O798">
        <v>25678.86</v>
      </c>
      <c r="P798">
        <v>31927.07</v>
      </c>
      <c r="Q798">
        <v>2</v>
      </c>
      <c r="R798">
        <v>128</v>
      </c>
      <c r="S798">
        <v>2.7</v>
      </c>
      <c r="T798" s="1" t="s">
        <v>46</v>
      </c>
      <c r="U798" s="1" t="s">
        <v>35</v>
      </c>
      <c r="V798" s="1" t="s">
        <v>102</v>
      </c>
      <c r="W798" s="1" t="s">
        <v>83</v>
      </c>
      <c r="X798">
        <v>275884.15000000002</v>
      </c>
      <c r="Y798" s="1" t="s">
        <v>2093</v>
      </c>
      <c r="Z798" s="1" t="s">
        <v>2080</v>
      </c>
      <c r="AO798" t="str">
        <v>P00960</v>
      </c>
    </row>
    <row r="799" spans="1:41" x14ac:dyDescent="0.35">
      <c r="A799" s="1" t="s">
        <v>2038</v>
      </c>
      <c r="B799" s="1" t="s">
        <v>49</v>
      </c>
      <c r="C799">
        <v>45</v>
      </c>
      <c r="D799" s="1" t="s">
        <v>25</v>
      </c>
      <c r="E799" s="1" t="s">
        <v>40</v>
      </c>
      <c r="F799" s="1" t="s">
        <v>120</v>
      </c>
      <c r="G799" s="2">
        <v>45779</v>
      </c>
      <c r="H799" s="2">
        <v>45780</v>
      </c>
      <c r="I799" s="1" t="s">
        <v>273</v>
      </c>
      <c r="J799" s="1" t="s">
        <v>137</v>
      </c>
      <c r="K799" s="1" t="s">
        <v>91</v>
      </c>
      <c r="L799" s="1" t="s">
        <v>66</v>
      </c>
      <c r="M799" s="1" t="s">
        <v>2089</v>
      </c>
      <c r="N799">
        <v>274035.81</v>
      </c>
      <c r="O799">
        <v>583.88</v>
      </c>
      <c r="P799">
        <v>72842.720000000001</v>
      </c>
      <c r="Q799">
        <v>1</v>
      </c>
      <c r="R799">
        <v>0</v>
      </c>
      <c r="S799">
        <v>2.9</v>
      </c>
      <c r="T799" s="1" t="s">
        <v>34</v>
      </c>
      <c r="U799" s="1" t="s">
        <v>95</v>
      </c>
      <c r="V799" s="1" t="s">
        <v>102</v>
      </c>
      <c r="W799" s="1" t="s">
        <v>131</v>
      </c>
      <c r="X799">
        <v>347462.41000000003</v>
      </c>
      <c r="Y799" s="1" t="s">
        <v>2079</v>
      </c>
      <c r="Z799" s="1" t="s">
        <v>2083</v>
      </c>
      <c r="AO799" t="str">
        <v>P00961</v>
      </c>
    </row>
    <row r="800" spans="1:41" x14ac:dyDescent="0.35">
      <c r="A800" s="1" t="s">
        <v>2039</v>
      </c>
      <c r="B800" s="1" t="s">
        <v>736</v>
      </c>
      <c r="C800">
        <v>29</v>
      </c>
      <c r="D800" s="1" t="s">
        <v>119</v>
      </c>
      <c r="E800" s="1" t="s">
        <v>51</v>
      </c>
      <c r="F800" s="1" t="s">
        <v>193</v>
      </c>
      <c r="G800" s="2">
        <v>45416</v>
      </c>
      <c r="H800" s="2">
        <v>45418</v>
      </c>
      <c r="I800" s="1" t="s">
        <v>277</v>
      </c>
      <c r="J800" s="1" t="s">
        <v>2081</v>
      </c>
      <c r="K800" s="1" t="s">
        <v>91</v>
      </c>
      <c r="L800" s="1" t="s">
        <v>44</v>
      </c>
      <c r="M800" s="1" t="s">
        <v>2087</v>
      </c>
      <c r="N800">
        <v>140891.53</v>
      </c>
      <c r="O800">
        <v>76776.86</v>
      </c>
      <c r="P800">
        <v>19473.48</v>
      </c>
      <c r="Q800">
        <v>2</v>
      </c>
      <c r="R800">
        <v>278</v>
      </c>
      <c r="S800">
        <v>4.3</v>
      </c>
      <c r="T800" s="1" t="s">
        <v>34</v>
      </c>
      <c r="U800" s="1" t="s">
        <v>149</v>
      </c>
      <c r="V800" s="1" t="s">
        <v>130</v>
      </c>
      <c r="W800" s="1" t="s">
        <v>131</v>
      </c>
      <c r="X800">
        <v>237141.87000000002</v>
      </c>
      <c r="Y800" s="1" t="s">
        <v>2082</v>
      </c>
      <c r="Z800" s="1" t="s">
        <v>2080</v>
      </c>
      <c r="AO800" t="str">
        <v>P00962</v>
      </c>
    </row>
    <row r="801" spans="1:41" x14ac:dyDescent="0.35">
      <c r="A801" s="1" t="s">
        <v>2041</v>
      </c>
      <c r="B801" s="1" t="s">
        <v>1365</v>
      </c>
      <c r="C801">
        <v>43</v>
      </c>
      <c r="D801" s="1" t="s">
        <v>119</v>
      </c>
      <c r="E801" s="1" t="s">
        <v>2084</v>
      </c>
      <c r="F801" s="1" t="s">
        <v>227</v>
      </c>
      <c r="G801" s="2">
        <v>45977</v>
      </c>
      <c r="H801" s="2">
        <v>45978</v>
      </c>
      <c r="I801" s="1" t="s">
        <v>273</v>
      </c>
      <c r="J801" s="1" t="s">
        <v>152</v>
      </c>
      <c r="K801" s="1" t="s">
        <v>148</v>
      </c>
      <c r="L801" s="1" t="s">
        <v>32</v>
      </c>
      <c r="M801" s="1" t="s">
        <v>2085</v>
      </c>
      <c r="N801">
        <v>457096.6</v>
      </c>
      <c r="O801">
        <v>33785.18</v>
      </c>
      <c r="P801">
        <v>36219.440000000002</v>
      </c>
      <c r="Q801">
        <v>1</v>
      </c>
      <c r="R801">
        <v>48</v>
      </c>
      <c r="S801">
        <v>4.9000000000000004</v>
      </c>
      <c r="T801" s="1" t="s">
        <v>46</v>
      </c>
      <c r="U801" s="1" t="s">
        <v>95</v>
      </c>
      <c r="V801" s="1" t="s">
        <v>102</v>
      </c>
      <c r="W801" s="1" t="s">
        <v>12</v>
      </c>
      <c r="X801">
        <v>527101.22</v>
      </c>
      <c r="Y801" s="1" t="s">
        <v>2079</v>
      </c>
      <c r="Z801" s="1" t="s">
        <v>2091</v>
      </c>
      <c r="AO801" t="str">
        <v>P00963</v>
      </c>
    </row>
    <row r="802" spans="1:41" x14ac:dyDescent="0.35">
      <c r="A802" s="1" t="s">
        <v>2043</v>
      </c>
      <c r="B802" s="1" t="s">
        <v>497</v>
      </c>
      <c r="C802">
        <v>83</v>
      </c>
      <c r="D802" s="1" t="s">
        <v>119</v>
      </c>
      <c r="E802" s="1" t="s">
        <v>177</v>
      </c>
      <c r="F802" s="1" t="s">
        <v>227</v>
      </c>
      <c r="G802" s="2">
        <v>45632</v>
      </c>
      <c r="H802" s="2">
        <v>45633</v>
      </c>
      <c r="I802" s="1" t="s">
        <v>273</v>
      </c>
      <c r="J802" s="1" t="s">
        <v>152</v>
      </c>
      <c r="K802" s="1" t="s">
        <v>148</v>
      </c>
      <c r="L802" s="1" t="s">
        <v>44</v>
      </c>
      <c r="M802" s="1" t="s">
        <v>2078</v>
      </c>
      <c r="N802">
        <v>490670.36</v>
      </c>
      <c r="O802">
        <v>36418.769999999997</v>
      </c>
      <c r="P802">
        <v>44654.55</v>
      </c>
      <c r="Q802">
        <v>1</v>
      </c>
      <c r="R802">
        <v>172</v>
      </c>
      <c r="S802">
        <v>5</v>
      </c>
      <c r="T802" s="1" t="s">
        <v>46</v>
      </c>
      <c r="U802" s="1" t="s">
        <v>95</v>
      </c>
      <c r="V802" s="1" t="s">
        <v>102</v>
      </c>
      <c r="W802" s="1" t="s">
        <v>59</v>
      </c>
      <c r="X802">
        <v>571743.68000000005</v>
      </c>
      <c r="Y802" s="1" t="s">
        <v>2088</v>
      </c>
      <c r="Z802" s="1" t="s">
        <v>2080</v>
      </c>
      <c r="AO802" t="str">
        <v>P00964</v>
      </c>
    </row>
    <row r="803" spans="1:41" x14ac:dyDescent="0.35">
      <c r="A803" s="1" t="s">
        <v>2045</v>
      </c>
      <c r="B803" s="1" t="s">
        <v>483</v>
      </c>
      <c r="C803">
        <v>31</v>
      </c>
      <c r="D803" s="1" t="s">
        <v>25</v>
      </c>
      <c r="E803" s="1" t="s">
        <v>2084</v>
      </c>
      <c r="F803" s="1" t="s">
        <v>227</v>
      </c>
      <c r="G803" s="2">
        <v>46138</v>
      </c>
      <c r="H803" s="2">
        <v>46139</v>
      </c>
      <c r="I803" s="1" t="s">
        <v>235</v>
      </c>
      <c r="J803" s="1" t="s">
        <v>87</v>
      </c>
      <c r="K803" s="1" t="s">
        <v>31</v>
      </c>
      <c r="L803" s="1" t="s">
        <v>44</v>
      </c>
      <c r="M803" s="1" t="s">
        <v>2085</v>
      </c>
      <c r="N803">
        <v>34871.360000000001</v>
      </c>
      <c r="O803">
        <v>40226.620000000003</v>
      </c>
      <c r="P803">
        <v>64998.84</v>
      </c>
      <c r="Q803">
        <v>1</v>
      </c>
      <c r="R803">
        <v>0</v>
      </c>
      <c r="S803">
        <v>3.1</v>
      </c>
      <c r="T803" s="1" t="s">
        <v>46</v>
      </c>
      <c r="U803" s="1" t="s">
        <v>95</v>
      </c>
      <c r="V803" s="1" t="s">
        <v>130</v>
      </c>
      <c r="W803" s="1" t="s">
        <v>59</v>
      </c>
      <c r="X803">
        <v>140096.82</v>
      </c>
      <c r="Y803" s="1" t="s">
        <v>2082</v>
      </c>
      <c r="Z803" s="1" t="s">
        <v>2083</v>
      </c>
      <c r="AO803" t="str">
        <v>P00965</v>
      </c>
    </row>
    <row r="804" spans="1:41" x14ac:dyDescent="0.35">
      <c r="A804" s="1" t="s">
        <v>2046</v>
      </c>
      <c r="B804" s="1" t="s">
        <v>188</v>
      </c>
      <c r="C804">
        <v>23</v>
      </c>
      <c r="D804" s="1" t="s">
        <v>119</v>
      </c>
      <c r="E804" s="1" t="s">
        <v>26</v>
      </c>
      <c r="F804" s="1" t="s">
        <v>193</v>
      </c>
      <c r="G804" s="2">
        <v>45824</v>
      </c>
      <c r="H804" s="2">
        <v>45825</v>
      </c>
      <c r="I804" s="1" t="s">
        <v>235</v>
      </c>
      <c r="J804" s="1" t="s">
        <v>147</v>
      </c>
      <c r="K804" s="1" t="s">
        <v>91</v>
      </c>
      <c r="L804" s="1" t="s">
        <v>44</v>
      </c>
      <c r="M804" s="1" t="s">
        <v>2078</v>
      </c>
      <c r="N804">
        <v>297142.39</v>
      </c>
      <c r="O804">
        <v>11662.95</v>
      </c>
      <c r="P804">
        <v>35975.22</v>
      </c>
      <c r="Q804">
        <v>1</v>
      </c>
      <c r="R804">
        <v>0</v>
      </c>
      <c r="S804">
        <v>3.9</v>
      </c>
      <c r="T804" s="1" t="s">
        <v>46</v>
      </c>
      <c r="U804" s="1" t="s">
        <v>95</v>
      </c>
      <c r="V804" s="1" t="s">
        <v>130</v>
      </c>
      <c r="W804" s="1" t="s">
        <v>59</v>
      </c>
      <c r="X804">
        <v>344780.56000000006</v>
      </c>
      <c r="Y804" s="1" t="s">
        <v>2082</v>
      </c>
      <c r="Z804" s="1" t="s">
        <v>2083</v>
      </c>
      <c r="AO804" t="str">
        <v>P00966</v>
      </c>
    </row>
    <row r="805" spans="1:41" x14ac:dyDescent="0.35">
      <c r="A805" s="1" t="s">
        <v>2048</v>
      </c>
      <c r="B805" s="1" t="s">
        <v>350</v>
      </c>
      <c r="C805">
        <v>26</v>
      </c>
      <c r="D805" s="1" t="s">
        <v>119</v>
      </c>
      <c r="E805" s="1" t="s">
        <v>219</v>
      </c>
      <c r="F805" s="1" t="s">
        <v>63</v>
      </c>
      <c r="G805" s="2">
        <v>46048</v>
      </c>
      <c r="H805" s="2">
        <v>46051</v>
      </c>
      <c r="I805" s="1" t="s">
        <v>159</v>
      </c>
      <c r="J805" s="1" t="s">
        <v>87</v>
      </c>
      <c r="K805" s="1" t="s">
        <v>174</v>
      </c>
      <c r="L805" s="1" t="s">
        <v>32</v>
      </c>
      <c r="M805" s="1" t="s">
        <v>2078</v>
      </c>
      <c r="N805">
        <v>193538</v>
      </c>
      <c r="O805">
        <v>34507.370000000003</v>
      </c>
      <c r="P805">
        <v>20553.96</v>
      </c>
      <c r="Q805">
        <v>3</v>
      </c>
      <c r="R805">
        <v>0</v>
      </c>
      <c r="S805">
        <v>5</v>
      </c>
      <c r="T805" s="1" t="s">
        <v>34</v>
      </c>
      <c r="U805" s="1" t="s">
        <v>35</v>
      </c>
      <c r="V805" s="1" t="s">
        <v>102</v>
      </c>
      <c r="W805" s="1" t="s">
        <v>59</v>
      </c>
      <c r="X805">
        <v>248599.33</v>
      </c>
      <c r="Y805" s="1" t="s">
        <v>2082</v>
      </c>
      <c r="Z805" s="1" t="s">
        <v>2083</v>
      </c>
      <c r="AO805" t="str">
        <v>P00967</v>
      </c>
    </row>
    <row r="806" spans="1:41" x14ac:dyDescent="0.35">
      <c r="A806" s="1" t="s">
        <v>2050</v>
      </c>
      <c r="B806" s="1" t="s">
        <v>1718</v>
      </c>
      <c r="C806">
        <v>40</v>
      </c>
      <c r="D806" s="1" t="s">
        <v>25</v>
      </c>
      <c r="E806" s="1" t="s">
        <v>51</v>
      </c>
      <c r="F806" s="1" t="s">
        <v>87</v>
      </c>
      <c r="G806" s="2">
        <v>45931</v>
      </c>
      <c r="H806" s="2">
        <v>45933</v>
      </c>
      <c r="I806" s="1" t="s">
        <v>273</v>
      </c>
      <c r="J806" s="1" t="s">
        <v>87</v>
      </c>
      <c r="K806" s="1" t="s">
        <v>55</v>
      </c>
      <c r="L806" s="1" t="s">
        <v>32</v>
      </c>
      <c r="M806" s="1" t="s">
        <v>2092</v>
      </c>
      <c r="N806">
        <v>361517.56</v>
      </c>
      <c r="O806">
        <v>118226.38</v>
      </c>
      <c r="P806">
        <v>7665.41</v>
      </c>
      <c r="Q806">
        <v>2</v>
      </c>
      <c r="R806">
        <v>128</v>
      </c>
      <c r="S806">
        <v>2.8</v>
      </c>
      <c r="T806" s="1" t="s">
        <v>46</v>
      </c>
      <c r="U806" s="1" t="s">
        <v>95</v>
      </c>
      <c r="V806" s="1" t="s">
        <v>102</v>
      </c>
      <c r="W806" s="1" t="s">
        <v>83</v>
      </c>
      <c r="X806">
        <v>487409.35</v>
      </c>
      <c r="Y806" s="1" t="s">
        <v>2079</v>
      </c>
      <c r="Z806" s="1" t="s">
        <v>2080</v>
      </c>
      <c r="AO806" t="str">
        <v>P00968</v>
      </c>
    </row>
    <row r="807" spans="1:41" x14ac:dyDescent="0.35">
      <c r="A807" s="1" t="s">
        <v>2051</v>
      </c>
      <c r="B807" s="1" t="s">
        <v>374</v>
      </c>
      <c r="C807">
        <v>27</v>
      </c>
      <c r="D807" s="1" t="s">
        <v>25</v>
      </c>
      <c r="E807" s="1" t="s">
        <v>86</v>
      </c>
      <c r="F807" s="1" t="s">
        <v>135</v>
      </c>
      <c r="G807" s="2">
        <v>46015</v>
      </c>
      <c r="H807" s="2">
        <v>46017</v>
      </c>
      <c r="I807" s="1" t="s">
        <v>100</v>
      </c>
      <c r="J807" s="1" t="s">
        <v>87</v>
      </c>
      <c r="K807" s="1" t="s">
        <v>122</v>
      </c>
      <c r="L807" s="1" t="s">
        <v>44</v>
      </c>
      <c r="M807" s="1" t="s">
        <v>2090</v>
      </c>
      <c r="N807">
        <v>62408.3</v>
      </c>
      <c r="O807">
        <v>28967.72</v>
      </c>
      <c r="P807">
        <v>764.92</v>
      </c>
      <c r="Q807">
        <v>2</v>
      </c>
      <c r="R807">
        <v>166</v>
      </c>
      <c r="S807">
        <v>2.6</v>
      </c>
      <c r="T807" s="1" t="s">
        <v>46</v>
      </c>
      <c r="U807" s="1" t="s">
        <v>95</v>
      </c>
      <c r="V807" s="1" t="s">
        <v>102</v>
      </c>
      <c r="W807" s="1" t="s">
        <v>83</v>
      </c>
      <c r="X807">
        <v>92140.94</v>
      </c>
      <c r="Y807" s="1" t="s">
        <v>2082</v>
      </c>
      <c r="Z807" s="1" t="s">
        <v>2080</v>
      </c>
      <c r="AO807" t="str">
        <v>P00969</v>
      </c>
    </row>
    <row r="808" spans="1:41" x14ac:dyDescent="0.35">
      <c r="A808" s="1" t="s">
        <v>2052</v>
      </c>
      <c r="B808" s="1" t="s">
        <v>202</v>
      </c>
      <c r="C808">
        <v>32</v>
      </c>
      <c r="D808" s="1" t="s">
        <v>25</v>
      </c>
      <c r="E808" s="1" t="s">
        <v>86</v>
      </c>
      <c r="F808" s="1" t="s">
        <v>135</v>
      </c>
      <c r="G808" s="2">
        <v>45437</v>
      </c>
      <c r="H808" s="2">
        <v>45441</v>
      </c>
      <c r="I808" s="1" t="s">
        <v>53</v>
      </c>
      <c r="J808" s="1" t="s">
        <v>115</v>
      </c>
      <c r="K808" s="1" t="s">
        <v>148</v>
      </c>
      <c r="L808" s="1" t="s">
        <v>32</v>
      </c>
      <c r="M808" s="1" t="s">
        <v>2092</v>
      </c>
      <c r="N808">
        <v>168591.45</v>
      </c>
      <c r="O808">
        <v>37189.1</v>
      </c>
      <c r="P808">
        <v>10078.48</v>
      </c>
      <c r="Q808">
        <v>4</v>
      </c>
      <c r="R808">
        <v>68</v>
      </c>
      <c r="S808">
        <v>2.6</v>
      </c>
      <c r="T808" s="1" t="s">
        <v>46</v>
      </c>
      <c r="U808" s="1" t="s">
        <v>35</v>
      </c>
      <c r="V808" s="1" t="s">
        <v>102</v>
      </c>
      <c r="W808" s="1" t="s">
        <v>36</v>
      </c>
      <c r="X808">
        <v>215859.03000000003</v>
      </c>
      <c r="Y808" s="1" t="s">
        <v>2082</v>
      </c>
      <c r="Z808" s="1" t="s">
        <v>2080</v>
      </c>
      <c r="AO808" t="str">
        <v>P00971</v>
      </c>
    </row>
    <row r="809" spans="1:41" x14ac:dyDescent="0.35">
      <c r="A809" s="1" t="s">
        <v>2054</v>
      </c>
      <c r="B809" s="1" t="s">
        <v>650</v>
      </c>
      <c r="C809">
        <v>0</v>
      </c>
      <c r="D809" s="1" t="s">
        <v>25</v>
      </c>
      <c r="E809" s="1" t="s">
        <v>112</v>
      </c>
      <c r="F809" s="1" t="s">
        <v>41</v>
      </c>
      <c r="G809" s="2">
        <v>45995</v>
      </c>
      <c r="H809" s="2">
        <v>45996</v>
      </c>
      <c r="I809" s="1" t="s">
        <v>159</v>
      </c>
      <c r="J809" s="1" t="s">
        <v>115</v>
      </c>
      <c r="K809" s="1" t="s">
        <v>81</v>
      </c>
      <c r="L809" s="1" t="s">
        <v>32</v>
      </c>
      <c r="M809" s="1" t="s">
        <v>2086</v>
      </c>
      <c r="N809">
        <v>407505.72</v>
      </c>
      <c r="O809">
        <v>12836.53</v>
      </c>
      <c r="P809">
        <v>79901.279999999999</v>
      </c>
      <c r="Q809">
        <v>1</v>
      </c>
      <c r="R809">
        <v>175</v>
      </c>
      <c r="S809">
        <v>2</v>
      </c>
      <c r="T809" s="1" t="s">
        <v>46</v>
      </c>
      <c r="U809" s="1" t="s">
        <v>95</v>
      </c>
      <c r="V809" s="1" t="s">
        <v>102</v>
      </c>
      <c r="W809" s="1" t="s">
        <v>83</v>
      </c>
      <c r="X809">
        <v>500243.53</v>
      </c>
      <c r="Y809" s="1" t="s">
        <v>2093</v>
      </c>
      <c r="Z809" s="1" t="s">
        <v>2080</v>
      </c>
      <c r="AO809" t="str">
        <v>P00973</v>
      </c>
    </row>
    <row r="810" spans="1:41" x14ac:dyDescent="0.35">
      <c r="A810" s="1" t="s">
        <v>2055</v>
      </c>
      <c r="B810" s="1" t="s">
        <v>350</v>
      </c>
      <c r="C810">
        <v>92</v>
      </c>
      <c r="D810" s="1" t="s">
        <v>25</v>
      </c>
      <c r="E810" s="1" t="s">
        <v>26</v>
      </c>
      <c r="F810" s="1" t="s">
        <v>120</v>
      </c>
      <c r="G810" s="2">
        <v>45467</v>
      </c>
      <c r="H810" s="2">
        <v>45468</v>
      </c>
      <c r="I810" s="1" t="s">
        <v>235</v>
      </c>
      <c r="J810" s="1" t="s">
        <v>141</v>
      </c>
      <c r="K810" s="1" t="s">
        <v>128</v>
      </c>
      <c r="L810" s="1" t="s">
        <v>32</v>
      </c>
      <c r="M810" s="1" t="s">
        <v>57</v>
      </c>
      <c r="N810">
        <v>465129.63</v>
      </c>
      <c r="O810">
        <v>29212.04</v>
      </c>
      <c r="P810">
        <v>52721.19</v>
      </c>
      <c r="Q810">
        <v>1</v>
      </c>
      <c r="R810">
        <v>47</v>
      </c>
      <c r="S810">
        <v>4.3</v>
      </c>
      <c r="T810" s="1" t="s">
        <v>46</v>
      </c>
      <c r="U810" s="1" t="s">
        <v>95</v>
      </c>
      <c r="V810" s="1" t="s">
        <v>130</v>
      </c>
      <c r="W810" s="1" t="s">
        <v>83</v>
      </c>
      <c r="X810">
        <v>547062.86</v>
      </c>
      <c r="Y810" s="1" t="s">
        <v>2088</v>
      </c>
      <c r="Z810" s="1" t="s">
        <v>2091</v>
      </c>
      <c r="AO810" t="str">
        <v>P00974</v>
      </c>
    </row>
    <row r="811" spans="1:41" x14ac:dyDescent="0.35">
      <c r="A811" s="1" t="s">
        <v>2056</v>
      </c>
      <c r="B811" s="1" t="s">
        <v>215</v>
      </c>
      <c r="C811">
        <v>0</v>
      </c>
      <c r="D811" s="1" t="s">
        <v>25</v>
      </c>
      <c r="E811" s="1" t="s">
        <v>2084</v>
      </c>
      <c r="F811" s="1" t="s">
        <v>145</v>
      </c>
      <c r="G811" s="2">
        <v>46100</v>
      </c>
      <c r="H811" s="2">
        <v>46101</v>
      </c>
      <c r="I811" s="1" t="s">
        <v>114</v>
      </c>
      <c r="J811" s="1" t="s">
        <v>2081</v>
      </c>
      <c r="K811" s="1" t="s">
        <v>128</v>
      </c>
      <c r="L811" s="1" t="s">
        <v>44</v>
      </c>
      <c r="M811" s="1" t="s">
        <v>2090</v>
      </c>
      <c r="N811">
        <v>34982.19</v>
      </c>
      <c r="O811">
        <v>30527.32</v>
      </c>
      <c r="P811">
        <v>11067.98</v>
      </c>
      <c r="Q811">
        <v>1</v>
      </c>
      <c r="R811">
        <v>89</v>
      </c>
      <c r="S811">
        <v>2.2999999999999998</v>
      </c>
      <c r="T811" s="1" t="s">
        <v>46</v>
      </c>
      <c r="U811" s="1" t="s">
        <v>95</v>
      </c>
      <c r="V811" s="1" t="s">
        <v>130</v>
      </c>
      <c r="W811" s="1" t="s">
        <v>59</v>
      </c>
      <c r="X811">
        <v>76577.490000000005</v>
      </c>
      <c r="Y811" s="1" t="s">
        <v>2093</v>
      </c>
      <c r="Z811" s="1" t="s">
        <v>2080</v>
      </c>
      <c r="AO811" t="str">
        <v>P00975</v>
      </c>
    </row>
    <row r="812" spans="1:41" x14ac:dyDescent="0.35">
      <c r="A812" s="1" t="s">
        <v>2057</v>
      </c>
      <c r="B812" s="1" t="s">
        <v>945</v>
      </c>
      <c r="C812">
        <v>61</v>
      </c>
      <c r="D812" s="1" t="s">
        <v>25</v>
      </c>
      <c r="E812" s="1" t="s">
        <v>157</v>
      </c>
      <c r="F812" s="1" t="s">
        <v>135</v>
      </c>
      <c r="G812" s="2">
        <v>45883</v>
      </c>
      <c r="H812" s="2">
        <v>45884</v>
      </c>
      <c r="I812" s="1" t="s">
        <v>53</v>
      </c>
      <c r="J812" s="1" t="s">
        <v>90</v>
      </c>
      <c r="K812" s="1" t="s">
        <v>148</v>
      </c>
      <c r="L812" s="1" t="s">
        <v>44</v>
      </c>
      <c r="M812" s="1" t="s">
        <v>2086</v>
      </c>
      <c r="N812">
        <v>254647.28</v>
      </c>
      <c r="O812">
        <v>29758.39</v>
      </c>
      <c r="P812">
        <v>71368.92</v>
      </c>
      <c r="Q812">
        <v>1</v>
      </c>
      <c r="R812">
        <v>131</v>
      </c>
      <c r="S812">
        <v>5</v>
      </c>
      <c r="T812" s="1" t="s">
        <v>46</v>
      </c>
      <c r="U812" s="1" t="s">
        <v>95</v>
      </c>
      <c r="V812" s="1" t="s">
        <v>102</v>
      </c>
      <c r="W812" s="1" t="s">
        <v>83</v>
      </c>
      <c r="X812">
        <v>355774.58999999997</v>
      </c>
      <c r="Y812" s="1" t="s">
        <v>2088</v>
      </c>
      <c r="Z812" s="1" t="s">
        <v>2080</v>
      </c>
      <c r="AO812" t="str">
        <v>P00976</v>
      </c>
    </row>
    <row r="813" spans="1:41" x14ac:dyDescent="0.35">
      <c r="A813" s="1" t="s">
        <v>2059</v>
      </c>
      <c r="B813" s="1" t="s">
        <v>1629</v>
      </c>
      <c r="C813">
        <v>33</v>
      </c>
      <c r="D813" s="1" t="s">
        <v>25</v>
      </c>
      <c r="E813" s="1" t="s">
        <v>157</v>
      </c>
      <c r="F813" s="1" t="s">
        <v>108</v>
      </c>
      <c r="G813" s="2">
        <v>45831</v>
      </c>
      <c r="H813" s="2">
        <v>45833</v>
      </c>
      <c r="I813" s="1" t="s">
        <v>53</v>
      </c>
      <c r="J813" s="1" t="s">
        <v>87</v>
      </c>
      <c r="K813" s="1" t="s">
        <v>148</v>
      </c>
      <c r="L813" s="1" t="s">
        <v>66</v>
      </c>
      <c r="M813" s="1" t="s">
        <v>2078</v>
      </c>
      <c r="N813">
        <v>37844.699999999997</v>
      </c>
      <c r="O813">
        <v>19275.48</v>
      </c>
      <c r="P813">
        <v>73943.100000000006</v>
      </c>
      <c r="Q813">
        <v>2</v>
      </c>
      <c r="R813">
        <v>192</v>
      </c>
      <c r="S813">
        <v>4.9000000000000004</v>
      </c>
      <c r="T813" s="1" t="s">
        <v>34</v>
      </c>
      <c r="U813" s="1" t="s">
        <v>101</v>
      </c>
      <c r="V813" s="1" t="s">
        <v>102</v>
      </c>
      <c r="W813" s="1" t="s">
        <v>83</v>
      </c>
      <c r="X813">
        <v>131063.28</v>
      </c>
      <c r="Y813" s="1" t="s">
        <v>2082</v>
      </c>
      <c r="Z813" s="1" t="s">
        <v>2080</v>
      </c>
      <c r="AO813" t="str">
        <v>P00977</v>
      </c>
    </row>
    <row r="814" spans="1:41" x14ac:dyDescent="0.35">
      <c r="A814" s="1" t="s">
        <v>2064</v>
      </c>
      <c r="B814" s="1" t="s">
        <v>2065</v>
      </c>
      <c r="C814">
        <v>45</v>
      </c>
      <c r="D814" s="1" t="s">
        <v>25</v>
      </c>
      <c r="E814" s="1" t="s">
        <v>26</v>
      </c>
      <c r="F814" s="1" t="s">
        <v>120</v>
      </c>
      <c r="G814" s="2">
        <v>45876</v>
      </c>
      <c r="H814" s="2">
        <v>45896</v>
      </c>
      <c r="I814" s="1" t="s">
        <v>277</v>
      </c>
      <c r="J814" s="1" t="s">
        <v>141</v>
      </c>
      <c r="K814" s="1" t="s">
        <v>81</v>
      </c>
      <c r="L814" s="1" t="s">
        <v>32</v>
      </c>
      <c r="M814" s="1" t="s">
        <v>2092</v>
      </c>
      <c r="N814">
        <v>376335.38</v>
      </c>
      <c r="O814">
        <v>35802.370000000003</v>
      </c>
      <c r="P814">
        <v>59966.5</v>
      </c>
      <c r="Q814">
        <v>20</v>
      </c>
      <c r="R814">
        <v>69</v>
      </c>
      <c r="S814">
        <v>4</v>
      </c>
      <c r="T814" s="1" t="s">
        <v>34</v>
      </c>
      <c r="U814" s="1" t="s">
        <v>35</v>
      </c>
      <c r="V814" s="1" t="s">
        <v>130</v>
      </c>
      <c r="W814" s="1" t="s">
        <v>131</v>
      </c>
      <c r="X814">
        <v>472104.25</v>
      </c>
      <c r="Y814" s="1" t="s">
        <v>2079</v>
      </c>
      <c r="Z814" s="1" t="s">
        <v>2080</v>
      </c>
      <c r="AO814" t="str">
        <v>P00978</v>
      </c>
    </row>
    <row r="815" spans="1:41" x14ac:dyDescent="0.35">
      <c r="A815" s="1" t="s">
        <v>2066</v>
      </c>
      <c r="B815" s="1" t="s">
        <v>683</v>
      </c>
      <c r="C815">
        <v>30</v>
      </c>
      <c r="D815" s="1" t="s">
        <v>25</v>
      </c>
      <c r="E815" s="1" t="s">
        <v>26</v>
      </c>
      <c r="F815" s="1" t="s">
        <v>193</v>
      </c>
      <c r="G815" s="2">
        <v>46135</v>
      </c>
      <c r="H815" s="2">
        <v>46139</v>
      </c>
      <c r="I815" s="1" t="s">
        <v>273</v>
      </c>
      <c r="J815" s="1" t="s">
        <v>137</v>
      </c>
      <c r="K815" s="1" t="s">
        <v>55</v>
      </c>
      <c r="L815" s="1" t="s">
        <v>32</v>
      </c>
      <c r="M815" s="1" t="s">
        <v>2092</v>
      </c>
      <c r="N815">
        <v>209150.8</v>
      </c>
      <c r="O815">
        <v>28539.25</v>
      </c>
      <c r="P815">
        <v>69792.100000000006</v>
      </c>
      <c r="Q815">
        <v>4</v>
      </c>
      <c r="R815">
        <v>15</v>
      </c>
      <c r="S815">
        <v>3.6</v>
      </c>
      <c r="T815" s="1" t="s">
        <v>46</v>
      </c>
      <c r="U815" s="1" t="s">
        <v>35</v>
      </c>
      <c r="V815" s="1" t="s">
        <v>75</v>
      </c>
      <c r="W815" s="1" t="s">
        <v>131</v>
      </c>
      <c r="X815">
        <v>307482.15000000002</v>
      </c>
      <c r="Y815" s="1" t="s">
        <v>2082</v>
      </c>
      <c r="Z815" s="1" t="s">
        <v>2083</v>
      </c>
      <c r="AO815" t="str">
        <v>P00980</v>
      </c>
    </row>
    <row r="816" spans="1:41" x14ac:dyDescent="0.35">
      <c r="A816" s="1" t="s">
        <v>2068</v>
      </c>
      <c r="B816" s="1" t="s">
        <v>1227</v>
      </c>
      <c r="C816">
        <v>68</v>
      </c>
      <c r="D816" s="1" t="s">
        <v>119</v>
      </c>
      <c r="E816" s="1" t="s">
        <v>26</v>
      </c>
      <c r="F816" s="1" t="s">
        <v>41</v>
      </c>
      <c r="G816" s="2">
        <v>46179</v>
      </c>
      <c r="H816" s="2">
        <v>46191</v>
      </c>
      <c r="I816" s="1" t="s">
        <v>277</v>
      </c>
      <c r="J816" s="1" t="s">
        <v>141</v>
      </c>
      <c r="K816" s="1" t="s">
        <v>55</v>
      </c>
      <c r="L816" s="1" t="s">
        <v>32</v>
      </c>
      <c r="M816" s="1" t="s">
        <v>2092</v>
      </c>
      <c r="N816">
        <v>408885.07</v>
      </c>
      <c r="O816">
        <v>30610.799999999999</v>
      </c>
      <c r="P816">
        <v>54629.93</v>
      </c>
      <c r="Q816">
        <v>12</v>
      </c>
      <c r="R816">
        <v>170</v>
      </c>
      <c r="S816">
        <v>5</v>
      </c>
      <c r="T816" s="1" t="s">
        <v>46</v>
      </c>
      <c r="U816" s="1" t="s">
        <v>35</v>
      </c>
      <c r="V816" s="1" t="s">
        <v>75</v>
      </c>
      <c r="W816" s="1" t="s">
        <v>131</v>
      </c>
      <c r="X816">
        <v>494125.8</v>
      </c>
      <c r="Y816" s="1" t="s">
        <v>2088</v>
      </c>
      <c r="Z816" s="1" t="s">
        <v>2080</v>
      </c>
      <c r="AO816" t="str">
        <v>P00981</v>
      </c>
    </row>
    <row r="817" spans="1:41" x14ac:dyDescent="0.35">
      <c r="A817" s="1" t="s">
        <v>2071</v>
      </c>
      <c r="B817" s="1" t="s">
        <v>713</v>
      </c>
      <c r="C817">
        <v>89</v>
      </c>
      <c r="D817" s="1" t="s">
        <v>119</v>
      </c>
      <c r="E817" s="1" t="s">
        <v>2084</v>
      </c>
      <c r="F817" s="1" t="s">
        <v>120</v>
      </c>
      <c r="G817" s="2">
        <v>45958</v>
      </c>
      <c r="H817" s="2">
        <v>45959</v>
      </c>
      <c r="I817" s="1" t="s">
        <v>277</v>
      </c>
      <c r="J817" s="1" t="s">
        <v>2081</v>
      </c>
      <c r="K817" s="1" t="s">
        <v>163</v>
      </c>
      <c r="L817" s="1" t="s">
        <v>66</v>
      </c>
      <c r="M817" s="1" t="s">
        <v>2078</v>
      </c>
      <c r="N817">
        <v>216858.95</v>
      </c>
      <c r="O817">
        <v>28551.24</v>
      </c>
      <c r="P817">
        <v>62642.3</v>
      </c>
      <c r="Q817">
        <v>1</v>
      </c>
      <c r="R817">
        <v>167</v>
      </c>
      <c r="S817">
        <v>4.9000000000000004</v>
      </c>
      <c r="T817" s="1" t="s">
        <v>46</v>
      </c>
      <c r="U817" s="1" t="s">
        <v>35</v>
      </c>
      <c r="V817" s="1" t="s">
        <v>75</v>
      </c>
      <c r="W817" s="1" t="s">
        <v>36</v>
      </c>
      <c r="X817">
        <v>308052.49</v>
      </c>
      <c r="Y817" s="1" t="s">
        <v>2088</v>
      </c>
      <c r="Z817" s="1" t="s">
        <v>2080</v>
      </c>
      <c r="AO817" t="str">
        <v>P00982</v>
      </c>
    </row>
    <row r="818" spans="1:41" x14ac:dyDescent="0.35">
      <c r="A818" s="1" t="s">
        <v>2073</v>
      </c>
      <c r="B818" s="1" t="s">
        <v>883</v>
      </c>
      <c r="C818">
        <v>29</v>
      </c>
      <c r="D818" s="1" t="s">
        <v>119</v>
      </c>
      <c r="E818" s="1" t="s">
        <v>177</v>
      </c>
      <c r="F818" s="1" t="s">
        <v>193</v>
      </c>
      <c r="G818" s="2">
        <v>45626</v>
      </c>
      <c r="H818" s="2">
        <v>45632</v>
      </c>
      <c r="I818" s="1" t="s">
        <v>114</v>
      </c>
      <c r="J818" s="1" t="s">
        <v>115</v>
      </c>
      <c r="K818" s="1" t="s">
        <v>163</v>
      </c>
      <c r="L818" s="1" t="s">
        <v>44</v>
      </c>
      <c r="M818" s="1" t="s">
        <v>2086</v>
      </c>
      <c r="N818">
        <v>178298.65</v>
      </c>
      <c r="O818">
        <v>49225.79</v>
      </c>
      <c r="P818">
        <v>29178.33</v>
      </c>
      <c r="Q818">
        <v>6</v>
      </c>
      <c r="R818">
        <v>94</v>
      </c>
      <c r="S818">
        <v>4.2</v>
      </c>
      <c r="T818" s="1" t="s">
        <v>34</v>
      </c>
      <c r="U818" s="1" t="s">
        <v>35</v>
      </c>
      <c r="V818" s="1" t="s">
        <v>102</v>
      </c>
      <c r="W818" s="1" t="s">
        <v>131</v>
      </c>
      <c r="X818">
        <v>256702.77000000002</v>
      </c>
      <c r="Y818" s="1" t="s">
        <v>2082</v>
      </c>
      <c r="Z818" s="1" t="s">
        <v>2080</v>
      </c>
      <c r="AO818" t="str">
        <v>P00983</v>
      </c>
    </row>
    <row r="819" spans="1:41" x14ac:dyDescent="0.35">
      <c r="AO819" t="str">
        <v>P00984</v>
      </c>
    </row>
    <row r="820" spans="1:41" x14ac:dyDescent="0.35">
      <c r="AO820" t="str">
        <v>P00985</v>
      </c>
    </row>
    <row r="821" spans="1:41" x14ac:dyDescent="0.35">
      <c r="AO821" t="str">
        <v>P00986</v>
      </c>
    </row>
    <row r="822" spans="1:41" x14ac:dyDescent="0.35">
      <c r="AO822" t="str">
        <v>P00987</v>
      </c>
    </row>
    <row r="823" spans="1:41" x14ac:dyDescent="0.35">
      <c r="AO823" t="str">
        <v>P00988</v>
      </c>
    </row>
    <row r="824" spans="1:41" x14ac:dyDescent="0.35">
      <c r="AO824" t="str">
        <v>P00989</v>
      </c>
    </row>
    <row r="825" spans="1:41" x14ac:dyDescent="0.35">
      <c r="AO825" t="str">
        <v>P00990</v>
      </c>
    </row>
    <row r="826" spans="1:41" x14ac:dyDescent="0.35">
      <c r="AO826" t="str">
        <v>P00991</v>
      </c>
    </row>
    <row r="827" spans="1:41" x14ac:dyDescent="0.35">
      <c r="AO827" t="str">
        <v>P00992</v>
      </c>
    </row>
    <row r="828" spans="1:41" x14ac:dyDescent="0.35">
      <c r="AO828" t="str">
        <v>P00995</v>
      </c>
    </row>
    <row r="829" spans="1:41" x14ac:dyDescent="0.35">
      <c r="AO829" t="str">
        <v>P00996</v>
      </c>
    </row>
    <row r="830" spans="1:41" x14ac:dyDescent="0.35">
      <c r="AO830" t="str">
        <v>P00997</v>
      </c>
    </row>
    <row r="831" spans="1:41" x14ac:dyDescent="0.35">
      <c r="AO831" t="str">
        <v>P00999</v>
      </c>
    </row>
    <row r="832" spans="1:41" x14ac:dyDescent="0.35">
      <c r="AO832" t="str">
        <v>P01000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1B08-2C61-42C1-86C6-22624DCB6DBD}">
  <dimension ref="A1:W1001"/>
  <sheetViews>
    <sheetView workbookViewId="0"/>
  </sheetViews>
  <sheetFormatPr defaultRowHeight="14.5" x14ac:dyDescent="0.35"/>
  <cols>
    <col min="1" max="1" width="12" bestFit="1" customWidth="1"/>
    <col min="2" max="2" width="15.36328125" bestFit="1" customWidth="1"/>
    <col min="3" max="3" width="6.1796875" bestFit="1" customWidth="1"/>
    <col min="4" max="4" width="9.26953125" bestFit="1" customWidth="1"/>
    <col min="5" max="5" width="10.36328125" bestFit="1" customWidth="1"/>
    <col min="6" max="6" width="15.54296875" bestFit="1" customWidth="1"/>
    <col min="7" max="7" width="16.81640625" bestFit="1" customWidth="1"/>
    <col min="8" max="8" width="16.26953125" bestFit="1" customWidth="1"/>
    <col min="9" max="9" width="14.26953125" bestFit="1" customWidth="1"/>
    <col min="10" max="10" width="13.26953125" bestFit="1" customWidth="1"/>
    <col min="11" max="11" width="11.1796875" bestFit="1" customWidth="1"/>
    <col min="12" max="12" width="16.81640625" bestFit="1" customWidth="1"/>
    <col min="13" max="13" width="14.08984375" bestFit="1" customWidth="1"/>
    <col min="14" max="14" width="15.90625" bestFit="1" customWidth="1"/>
    <col min="15" max="15" width="17.36328125" bestFit="1" customWidth="1"/>
    <col min="16" max="16" width="10.7265625" bestFit="1" customWidth="1"/>
    <col min="17" max="17" width="16.08984375" bestFit="1" customWidth="1"/>
    <col min="18" max="18" width="14.6328125" bestFit="1" customWidth="1"/>
    <col min="19" max="19" width="15.54296875" bestFit="1" customWidth="1"/>
    <col min="20" max="20" width="13.6328125" bestFit="1" customWidth="1"/>
    <col min="21" max="21" width="10.81640625" bestFit="1" customWidth="1"/>
    <col min="22" max="22" width="16.90625" bestFit="1" customWidth="1"/>
    <col min="23" max="23" width="18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24</v>
      </c>
      <c r="C2">
        <v>39</v>
      </c>
      <c r="D2" s="1" t="s">
        <v>25</v>
      </c>
      <c r="E2" s="1" t="s">
        <v>26</v>
      </c>
      <c r="F2" s="1" t="s">
        <v>27</v>
      </c>
      <c r="G2" s="1" t="s">
        <v>28</v>
      </c>
      <c r="H2" s="2">
        <v>45950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>
        <v>310676.40000000002</v>
      </c>
      <c r="O2">
        <v>68075.75</v>
      </c>
      <c r="P2">
        <v>37975.4</v>
      </c>
      <c r="Q2">
        <v>4</v>
      </c>
      <c r="R2">
        <v>77</v>
      </c>
      <c r="S2">
        <v>5</v>
      </c>
      <c r="T2" s="1" t="s">
        <v>34</v>
      </c>
      <c r="U2" s="1" t="s">
        <v>35</v>
      </c>
      <c r="V2" s="1" t="s">
        <v>33</v>
      </c>
      <c r="W2" s="1" t="s">
        <v>36</v>
      </c>
    </row>
    <row r="3" spans="1:23" x14ac:dyDescent="0.35">
      <c r="A3" s="1" t="s">
        <v>37</v>
      </c>
      <c r="B3" s="1" t="s">
        <v>38</v>
      </c>
      <c r="C3">
        <v>32</v>
      </c>
      <c r="D3" s="1" t="s">
        <v>39</v>
      </c>
      <c r="E3" s="1" t="s">
        <v>40</v>
      </c>
      <c r="F3" s="1" t="s">
        <v>41</v>
      </c>
      <c r="G3" s="1" t="s">
        <v>42</v>
      </c>
      <c r="H3" s="2">
        <v>46015</v>
      </c>
      <c r="I3" s="1" t="s">
        <v>29</v>
      </c>
      <c r="J3" s="1" t="s">
        <v>43</v>
      </c>
      <c r="K3" s="1" t="s">
        <v>33</v>
      </c>
      <c r="L3" s="1" t="s">
        <v>44</v>
      </c>
      <c r="M3" s="1" t="s">
        <v>45</v>
      </c>
      <c r="N3">
        <v>295958.40999999997</v>
      </c>
      <c r="O3">
        <v>18414.560000000001</v>
      </c>
      <c r="P3">
        <v>31028.11</v>
      </c>
      <c r="Q3">
        <v>5</v>
      </c>
      <c r="R3">
        <v>113</v>
      </c>
      <c r="S3">
        <v>1.2</v>
      </c>
      <c r="T3" s="1" t="s">
        <v>46</v>
      </c>
      <c r="U3" s="1" t="s">
        <v>33</v>
      </c>
      <c r="V3" s="1" t="s">
        <v>47</v>
      </c>
      <c r="W3" s="1" t="s">
        <v>12</v>
      </c>
    </row>
    <row r="4" spans="1:23" x14ac:dyDescent="0.35">
      <c r="A4" s="1" t="s">
        <v>48</v>
      </c>
      <c r="B4" s="1" t="s">
        <v>49</v>
      </c>
      <c r="C4">
        <v>30</v>
      </c>
      <c r="D4" s="1" t="s">
        <v>50</v>
      </c>
      <c r="E4" s="1" t="s">
        <v>51</v>
      </c>
      <c r="F4" s="1" t="s">
        <v>27</v>
      </c>
      <c r="G4" s="1" t="s">
        <v>52</v>
      </c>
      <c r="H4" s="2">
        <v>45911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>
        <v>78203.64</v>
      </c>
      <c r="O4">
        <v>37856.18</v>
      </c>
      <c r="P4">
        <v>17759.28</v>
      </c>
      <c r="Q4">
        <v>1</v>
      </c>
      <c r="R4">
        <v>0</v>
      </c>
      <c r="S4">
        <v>5</v>
      </c>
      <c r="T4" s="1" t="s">
        <v>33</v>
      </c>
      <c r="U4" s="1" t="s">
        <v>58</v>
      </c>
      <c r="V4" s="1" t="s">
        <v>47</v>
      </c>
      <c r="W4" s="1" t="s">
        <v>59</v>
      </c>
    </row>
    <row r="5" spans="1:23" x14ac:dyDescent="0.35">
      <c r="A5" s="1" t="s">
        <v>60</v>
      </c>
      <c r="B5" s="1" t="s">
        <v>61</v>
      </c>
      <c r="C5">
        <v>44</v>
      </c>
      <c r="D5" s="1" t="s">
        <v>25</v>
      </c>
      <c r="E5" s="1" t="s">
        <v>62</v>
      </c>
      <c r="F5" s="1" t="s">
        <v>63</v>
      </c>
      <c r="G5" s="1" t="s">
        <v>64</v>
      </c>
      <c r="H5" s="2">
        <v>46181</v>
      </c>
      <c r="I5" s="1" t="s">
        <v>53</v>
      </c>
      <c r="J5" s="1" t="s">
        <v>65</v>
      </c>
      <c r="K5" s="1" t="s">
        <v>33</v>
      </c>
      <c r="L5" s="1" t="s">
        <v>66</v>
      </c>
      <c r="M5" s="1" t="s">
        <v>45</v>
      </c>
      <c r="N5">
        <v>20535.25</v>
      </c>
      <c r="O5">
        <v>16390.43</v>
      </c>
      <c r="P5">
        <v>48327.68</v>
      </c>
      <c r="Q5">
        <v>2</v>
      </c>
      <c r="R5">
        <v>8</v>
      </c>
      <c r="S5">
        <v>4.2</v>
      </c>
      <c r="T5" s="1" t="s">
        <v>33</v>
      </c>
      <c r="U5" s="1" t="s">
        <v>67</v>
      </c>
      <c r="V5" s="1" t="s">
        <v>68</v>
      </c>
      <c r="W5" s="1" t="s">
        <v>12</v>
      </c>
    </row>
    <row r="6" spans="1:23" x14ac:dyDescent="0.35">
      <c r="A6" s="1" t="s">
        <v>69</v>
      </c>
      <c r="B6" s="1" t="s">
        <v>70</v>
      </c>
      <c r="C6">
        <v>36</v>
      </c>
      <c r="D6" s="1" t="s">
        <v>71</v>
      </c>
      <c r="E6" s="1" t="s">
        <v>72</v>
      </c>
      <c r="F6" s="1" t="s">
        <v>33</v>
      </c>
      <c r="G6" s="1" t="s">
        <v>73</v>
      </c>
      <c r="H6" s="2">
        <v>45570</v>
      </c>
      <c r="I6" s="1" t="s">
        <v>53</v>
      </c>
      <c r="J6" s="1" t="s">
        <v>30</v>
      </c>
      <c r="K6" s="1" t="s">
        <v>33</v>
      </c>
      <c r="L6" s="1" t="s">
        <v>44</v>
      </c>
      <c r="M6" s="1" t="s">
        <v>74</v>
      </c>
      <c r="N6">
        <v>135761.07</v>
      </c>
      <c r="O6">
        <v>76306.95</v>
      </c>
      <c r="P6">
        <v>44595.08</v>
      </c>
      <c r="Q6">
        <v>2</v>
      </c>
      <c r="R6">
        <v>15</v>
      </c>
      <c r="S6">
        <v>4.8</v>
      </c>
      <c r="T6" s="1" t="s">
        <v>33</v>
      </c>
      <c r="U6" s="1" t="s">
        <v>58</v>
      </c>
      <c r="V6" s="1" t="s">
        <v>75</v>
      </c>
      <c r="W6" s="1" t="s">
        <v>59</v>
      </c>
    </row>
    <row r="7" spans="1:23" x14ac:dyDescent="0.35">
      <c r="A7" s="1" t="s">
        <v>76</v>
      </c>
      <c r="B7" s="1" t="s">
        <v>77</v>
      </c>
      <c r="C7">
        <v>47</v>
      </c>
      <c r="D7" s="1" t="s">
        <v>78</v>
      </c>
      <c r="E7" s="1" t="s">
        <v>40</v>
      </c>
      <c r="F7" s="1" t="s">
        <v>27</v>
      </c>
      <c r="G7" s="1" t="s">
        <v>79</v>
      </c>
      <c r="H7" s="2">
        <v>45564</v>
      </c>
      <c r="I7" s="1" t="s">
        <v>29</v>
      </c>
      <c r="J7" s="1" t="s">
        <v>80</v>
      </c>
      <c r="K7" s="1" t="s">
        <v>81</v>
      </c>
      <c r="L7" s="1" t="s">
        <v>56</v>
      </c>
      <c r="M7" s="1" t="s">
        <v>82</v>
      </c>
      <c r="N7">
        <v>0</v>
      </c>
      <c r="O7">
        <v>0</v>
      </c>
      <c r="P7">
        <v>50905.84</v>
      </c>
      <c r="Q7">
        <v>1</v>
      </c>
      <c r="R7">
        <v>150</v>
      </c>
      <c r="S7">
        <v>3.9</v>
      </c>
      <c r="T7" s="1" t="s">
        <v>33</v>
      </c>
      <c r="U7" s="1" t="s">
        <v>67</v>
      </c>
      <c r="V7" s="1" t="s">
        <v>68</v>
      </c>
      <c r="W7" s="1" t="s">
        <v>83</v>
      </c>
    </row>
    <row r="8" spans="1:23" x14ac:dyDescent="0.35">
      <c r="A8" s="1" t="s">
        <v>84</v>
      </c>
      <c r="B8" s="1" t="s">
        <v>85</v>
      </c>
      <c r="C8">
        <v>36</v>
      </c>
      <c r="D8" s="1" t="s">
        <v>39</v>
      </c>
      <c r="E8" s="1" t="s">
        <v>86</v>
      </c>
      <c r="F8" s="1" t="s">
        <v>87</v>
      </c>
      <c r="G8" s="1" t="s">
        <v>88</v>
      </c>
      <c r="H8" s="2">
        <v>45990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>
        <v>13006.92</v>
      </c>
      <c r="O8">
        <v>12003.89</v>
      </c>
      <c r="P8">
        <v>31180.84</v>
      </c>
      <c r="Q8">
        <v>2</v>
      </c>
      <c r="R8">
        <v>174</v>
      </c>
      <c r="S8">
        <v>4.0999999999999996</v>
      </c>
      <c r="T8" s="1" t="s">
        <v>94</v>
      </c>
      <c r="U8" s="1" t="s">
        <v>95</v>
      </c>
      <c r="V8" s="1" t="s">
        <v>75</v>
      </c>
      <c r="W8" s="1" t="s">
        <v>33</v>
      </c>
    </row>
    <row r="9" spans="1:23" x14ac:dyDescent="0.35">
      <c r="A9" s="1" t="s">
        <v>96</v>
      </c>
      <c r="B9" s="1" t="s">
        <v>97</v>
      </c>
      <c r="C9">
        <v>50</v>
      </c>
      <c r="D9" s="1" t="s">
        <v>50</v>
      </c>
      <c r="E9" s="1" t="s">
        <v>33</v>
      </c>
      <c r="F9" s="1" t="s">
        <v>98</v>
      </c>
      <c r="G9" s="1" t="s">
        <v>99</v>
      </c>
      <c r="H9" s="2">
        <v>46029</v>
      </c>
      <c r="I9" s="1" t="s">
        <v>100</v>
      </c>
      <c r="J9" s="1" t="s">
        <v>54</v>
      </c>
      <c r="K9" s="1" t="s">
        <v>55</v>
      </c>
      <c r="L9" s="1" t="s">
        <v>33</v>
      </c>
      <c r="M9" s="1" t="s">
        <v>33</v>
      </c>
      <c r="N9">
        <v>166088.48000000001</v>
      </c>
      <c r="O9">
        <v>13076.95</v>
      </c>
      <c r="P9">
        <v>63350.29</v>
      </c>
      <c r="Q9">
        <v>1</v>
      </c>
      <c r="R9">
        <v>172</v>
      </c>
      <c r="S9">
        <v>4.9000000000000004</v>
      </c>
      <c r="T9" s="1" t="s">
        <v>46</v>
      </c>
      <c r="U9" s="1" t="s">
        <v>101</v>
      </c>
      <c r="V9" s="1" t="s">
        <v>102</v>
      </c>
      <c r="W9" s="1" t="s">
        <v>103</v>
      </c>
    </row>
    <row r="10" spans="1:23" x14ac:dyDescent="0.35">
      <c r="A10" s="1" t="s">
        <v>104</v>
      </c>
      <c r="B10" s="1" t="s">
        <v>105</v>
      </c>
      <c r="C10">
        <v>36</v>
      </c>
      <c r="D10" s="1" t="s">
        <v>106</v>
      </c>
      <c r="E10" s="1" t="s">
        <v>107</v>
      </c>
      <c r="F10" s="1" t="s">
        <v>108</v>
      </c>
      <c r="G10" s="1" t="s">
        <v>109</v>
      </c>
      <c r="H10" s="2">
        <v>45407</v>
      </c>
      <c r="I10" s="1" t="s">
        <v>53</v>
      </c>
      <c r="J10" s="1" t="s">
        <v>30</v>
      </c>
      <c r="K10" s="1" t="s">
        <v>81</v>
      </c>
      <c r="L10" s="1" t="s">
        <v>44</v>
      </c>
      <c r="M10" s="1" t="s">
        <v>57</v>
      </c>
      <c r="N10">
        <v>266376.88</v>
      </c>
      <c r="O10">
        <v>54388.63</v>
      </c>
      <c r="P10">
        <v>30624.77</v>
      </c>
      <c r="Q10">
        <v>1</v>
      </c>
      <c r="R10">
        <v>81</v>
      </c>
      <c r="S10">
        <v>2.2999999999999998</v>
      </c>
      <c r="T10" s="1" t="s">
        <v>46</v>
      </c>
      <c r="U10" s="1" t="s">
        <v>33</v>
      </c>
      <c r="V10" s="1" t="s">
        <v>75</v>
      </c>
      <c r="W10" s="1" t="s">
        <v>33</v>
      </c>
    </row>
    <row r="11" spans="1:23" x14ac:dyDescent="0.35">
      <c r="A11" s="1" t="s">
        <v>110</v>
      </c>
      <c r="B11" s="1" t="s">
        <v>111</v>
      </c>
      <c r="C11">
        <v>60</v>
      </c>
      <c r="D11" s="1" t="s">
        <v>71</v>
      </c>
      <c r="E11" s="1" t="s">
        <v>112</v>
      </c>
      <c r="F11" s="1" t="s">
        <v>27</v>
      </c>
      <c r="G11" s="1" t="s">
        <v>113</v>
      </c>
      <c r="H11" s="2">
        <v>45726</v>
      </c>
      <c r="I11" s="1" t="s">
        <v>114</v>
      </c>
      <c r="J11" s="1" t="s">
        <v>115</v>
      </c>
      <c r="K11" s="1" t="s">
        <v>116</v>
      </c>
      <c r="L11" s="1" t="s">
        <v>33</v>
      </c>
      <c r="M11" s="1" t="s">
        <v>74</v>
      </c>
      <c r="N11">
        <v>409873.6</v>
      </c>
      <c r="O11">
        <v>28199.75</v>
      </c>
      <c r="P11">
        <v>75105.990000000005</v>
      </c>
      <c r="Q11">
        <v>1</v>
      </c>
      <c r="R11">
        <v>122</v>
      </c>
      <c r="T11" s="1" t="s">
        <v>46</v>
      </c>
      <c r="U11" s="1" t="s">
        <v>33</v>
      </c>
      <c r="V11" s="1" t="s">
        <v>75</v>
      </c>
      <c r="W11" s="1" t="s">
        <v>59</v>
      </c>
    </row>
    <row r="12" spans="1:23" x14ac:dyDescent="0.35">
      <c r="A12" s="1" t="s">
        <v>117</v>
      </c>
      <c r="B12" s="1" t="s">
        <v>118</v>
      </c>
      <c r="C12">
        <v>76</v>
      </c>
      <c r="D12" s="1" t="s">
        <v>119</v>
      </c>
      <c r="E12" s="1" t="s">
        <v>40</v>
      </c>
      <c r="F12" s="1" t="s">
        <v>120</v>
      </c>
      <c r="G12" s="1" t="s">
        <v>121</v>
      </c>
      <c r="H12" s="2">
        <v>46020</v>
      </c>
      <c r="I12" s="1" t="s">
        <v>53</v>
      </c>
      <c r="J12" s="1" t="s">
        <v>33</v>
      </c>
      <c r="K12" s="1" t="s">
        <v>122</v>
      </c>
      <c r="L12" s="1" t="s">
        <v>44</v>
      </c>
      <c r="M12" s="1" t="s">
        <v>123</v>
      </c>
      <c r="N12">
        <v>214984.35</v>
      </c>
      <c r="O12">
        <v>69116.09</v>
      </c>
      <c r="P12">
        <v>0</v>
      </c>
      <c r="Q12">
        <v>4</v>
      </c>
      <c r="R12">
        <v>156</v>
      </c>
      <c r="S12">
        <v>3.8</v>
      </c>
      <c r="T12" s="1" t="s">
        <v>33</v>
      </c>
      <c r="U12" s="1" t="s">
        <v>58</v>
      </c>
      <c r="V12" s="1" t="s">
        <v>33</v>
      </c>
      <c r="W12" s="1" t="s">
        <v>59</v>
      </c>
    </row>
    <row r="13" spans="1:23" x14ac:dyDescent="0.35">
      <c r="A13" s="1" t="s">
        <v>124</v>
      </c>
      <c r="B13" s="1" t="s">
        <v>125</v>
      </c>
      <c r="C13">
        <v>45</v>
      </c>
      <c r="D13" s="1" t="s">
        <v>39</v>
      </c>
      <c r="E13" s="1" t="s">
        <v>112</v>
      </c>
      <c r="F13" s="1" t="s">
        <v>120</v>
      </c>
      <c r="G13" s="1" t="s">
        <v>126</v>
      </c>
      <c r="H13" s="2">
        <v>46120</v>
      </c>
      <c r="I13" s="1" t="s">
        <v>127</v>
      </c>
      <c r="J13" s="1" t="s">
        <v>65</v>
      </c>
      <c r="K13" s="1" t="s">
        <v>128</v>
      </c>
      <c r="L13" s="1" t="s">
        <v>66</v>
      </c>
      <c r="M13" s="1" t="s">
        <v>129</v>
      </c>
      <c r="N13">
        <v>0</v>
      </c>
      <c r="O13">
        <v>24508.2</v>
      </c>
      <c r="P13">
        <v>55713.38</v>
      </c>
      <c r="Q13">
        <v>2</v>
      </c>
      <c r="R13">
        <v>205</v>
      </c>
      <c r="S13">
        <v>3</v>
      </c>
      <c r="T13" s="1" t="s">
        <v>34</v>
      </c>
      <c r="U13" s="1" t="s">
        <v>33</v>
      </c>
      <c r="V13" s="1" t="s">
        <v>130</v>
      </c>
      <c r="W13" s="1" t="s">
        <v>131</v>
      </c>
    </row>
    <row r="14" spans="1:23" x14ac:dyDescent="0.35">
      <c r="A14" s="1" t="s">
        <v>132</v>
      </c>
      <c r="B14" s="1" t="s">
        <v>133</v>
      </c>
      <c r="C14">
        <v>31</v>
      </c>
      <c r="D14" s="1" t="s">
        <v>78</v>
      </c>
      <c r="E14" s="1" t="s">
        <v>134</v>
      </c>
      <c r="F14" s="1" t="s">
        <v>135</v>
      </c>
      <c r="G14" s="1" t="s">
        <v>136</v>
      </c>
      <c r="H14" s="2">
        <v>45752</v>
      </c>
      <c r="I14" s="1" t="s">
        <v>29</v>
      </c>
      <c r="J14" s="1" t="s">
        <v>137</v>
      </c>
      <c r="K14" s="1" t="s">
        <v>31</v>
      </c>
      <c r="L14" s="1" t="s">
        <v>33</v>
      </c>
      <c r="M14" s="1" t="s">
        <v>57</v>
      </c>
      <c r="N14">
        <v>348156.3</v>
      </c>
      <c r="O14">
        <v>38218.78</v>
      </c>
      <c r="P14">
        <v>29107.19</v>
      </c>
      <c r="Q14">
        <v>1</v>
      </c>
      <c r="R14">
        <v>133</v>
      </c>
      <c r="S14">
        <v>3.8</v>
      </c>
      <c r="T14" s="1" t="s">
        <v>34</v>
      </c>
      <c r="U14" s="1" t="s">
        <v>35</v>
      </c>
      <c r="V14" s="1" t="s">
        <v>130</v>
      </c>
      <c r="W14" s="1" t="s">
        <v>33</v>
      </c>
    </row>
    <row r="15" spans="1:23" x14ac:dyDescent="0.35">
      <c r="A15" s="1" t="s">
        <v>138</v>
      </c>
      <c r="B15" s="1" t="s">
        <v>139</v>
      </c>
      <c r="C15">
        <v>27</v>
      </c>
      <c r="D15" s="1" t="s">
        <v>39</v>
      </c>
      <c r="E15" s="1" t="s">
        <v>51</v>
      </c>
      <c r="F15" s="1" t="s">
        <v>135</v>
      </c>
      <c r="G15" s="1" t="s">
        <v>140</v>
      </c>
      <c r="H15" s="2">
        <v>46183</v>
      </c>
      <c r="I15" s="1" t="s">
        <v>89</v>
      </c>
      <c r="J15" s="1" t="s">
        <v>141</v>
      </c>
      <c r="K15" s="1" t="s">
        <v>128</v>
      </c>
      <c r="L15" s="1" t="s">
        <v>66</v>
      </c>
      <c r="M15" s="1" t="s">
        <v>142</v>
      </c>
      <c r="N15">
        <v>174127.3</v>
      </c>
      <c r="O15">
        <v>20197.3</v>
      </c>
      <c r="P15">
        <v>1094.55</v>
      </c>
      <c r="Q15">
        <v>6</v>
      </c>
      <c r="R15">
        <v>117</v>
      </c>
      <c r="S15">
        <v>4</v>
      </c>
      <c r="T15" s="1" t="s">
        <v>46</v>
      </c>
      <c r="U15" s="1" t="s">
        <v>33</v>
      </c>
      <c r="V15" s="1" t="s">
        <v>33</v>
      </c>
      <c r="W15" s="1" t="s">
        <v>83</v>
      </c>
    </row>
    <row r="16" spans="1:23" x14ac:dyDescent="0.35">
      <c r="A16" s="1" t="s">
        <v>143</v>
      </c>
      <c r="B16" s="1" t="s">
        <v>144</v>
      </c>
      <c r="C16">
        <v>37</v>
      </c>
      <c r="D16" s="1" t="s">
        <v>119</v>
      </c>
      <c r="E16" s="1" t="s">
        <v>33</v>
      </c>
      <c r="F16" s="1" t="s">
        <v>145</v>
      </c>
      <c r="G16" s="1" t="s">
        <v>146</v>
      </c>
      <c r="H16" s="2">
        <v>45353</v>
      </c>
      <c r="I16" s="1" t="s">
        <v>33</v>
      </c>
      <c r="J16" s="1" t="s">
        <v>147</v>
      </c>
      <c r="K16" s="1" t="s">
        <v>148</v>
      </c>
      <c r="L16" s="1" t="s">
        <v>92</v>
      </c>
      <c r="M16" s="1" t="s">
        <v>57</v>
      </c>
      <c r="N16">
        <v>21848.1</v>
      </c>
      <c r="O16">
        <v>19483.87</v>
      </c>
      <c r="P16">
        <v>34718.559999999998</v>
      </c>
      <c r="Q16">
        <v>3</v>
      </c>
      <c r="R16">
        <v>34</v>
      </c>
      <c r="S16">
        <v>3.5</v>
      </c>
      <c r="T16" s="1" t="s">
        <v>33</v>
      </c>
      <c r="U16" s="1" t="s">
        <v>149</v>
      </c>
      <c r="V16" s="1" t="s">
        <v>75</v>
      </c>
      <c r="W16" s="1" t="s">
        <v>131</v>
      </c>
    </row>
    <row r="17" spans="1:23" x14ac:dyDescent="0.35">
      <c r="A17" s="1" t="s">
        <v>150</v>
      </c>
      <c r="B17" s="1" t="s">
        <v>105</v>
      </c>
      <c r="C17">
        <v>84</v>
      </c>
      <c r="D17" s="1" t="s">
        <v>25</v>
      </c>
      <c r="E17" s="1" t="s">
        <v>134</v>
      </c>
      <c r="F17" s="1" t="s">
        <v>56</v>
      </c>
      <c r="G17" s="1" t="s">
        <v>151</v>
      </c>
      <c r="H17" s="2">
        <v>45930</v>
      </c>
      <c r="I17" s="1" t="s">
        <v>33</v>
      </c>
      <c r="J17" s="1" t="s">
        <v>152</v>
      </c>
      <c r="K17" s="1" t="s">
        <v>153</v>
      </c>
      <c r="L17" s="1" t="s">
        <v>32</v>
      </c>
      <c r="M17" s="1" t="s">
        <v>33</v>
      </c>
      <c r="N17">
        <v>244440.89</v>
      </c>
      <c r="O17">
        <v>36438.76</v>
      </c>
      <c r="P17">
        <v>42766.62</v>
      </c>
      <c r="Q17">
        <v>4</v>
      </c>
      <c r="R17">
        <v>0</v>
      </c>
      <c r="S17">
        <v>3.7</v>
      </c>
      <c r="T17" s="1" t="s">
        <v>154</v>
      </c>
      <c r="U17" s="1" t="s">
        <v>67</v>
      </c>
      <c r="V17" s="1" t="s">
        <v>68</v>
      </c>
      <c r="W17" s="1" t="s">
        <v>12</v>
      </c>
    </row>
    <row r="18" spans="1:23" x14ac:dyDescent="0.35">
      <c r="A18" s="1" t="s">
        <v>155</v>
      </c>
      <c r="B18" s="1" t="s">
        <v>156</v>
      </c>
      <c r="C18">
        <v>92</v>
      </c>
      <c r="D18" s="1" t="s">
        <v>33</v>
      </c>
      <c r="E18" s="1" t="s">
        <v>157</v>
      </c>
      <c r="F18" s="1" t="s">
        <v>120</v>
      </c>
      <c r="G18" s="1" t="s">
        <v>158</v>
      </c>
      <c r="H18" s="2">
        <v>45304</v>
      </c>
      <c r="I18" s="1" t="s">
        <v>159</v>
      </c>
      <c r="J18" s="1" t="s">
        <v>54</v>
      </c>
      <c r="K18" s="1" t="s">
        <v>153</v>
      </c>
      <c r="L18" s="1" t="s">
        <v>32</v>
      </c>
      <c r="M18" s="1" t="s">
        <v>74</v>
      </c>
      <c r="N18">
        <v>193069.46</v>
      </c>
      <c r="O18">
        <v>37538.68</v>
      </c>
      <c r="P18">
        <v>43958.65</v>
      </c>
      <c r="Q18">
        <v>3</v>
      </c>
      <c r="R18">
        <v>7</v>
      </c>
      <c r="S18">
        <v>5</v>
      </c>
      <c r="T18" s="1" t="s">
        <v>46</v>
      </c>
      <c r="U18" s="1" t="s">
        <v>101</v>
      </c>
      <c r="V18" s="1" t="s">
        <v>47</v>
      </c>
      <c r="W18" s="1" t="s">
        <v>12</v>
      </c>
    </row>
    <row r="19" spans="1:23" x14ac:dyDescent="0.35">
      <c r="A19" s="1" t="s">
        <v>160</v>
      </c>
      <c r="B19" s="1" t="s">
        <v>161</v>
      </c>
      <c r="C19">
        <v>60</v>
      </c>
      <c r="D19" s="1" t="s">
        <v>119</v>
      </c>
      <c r="E19" s="1" t="s">
        <v>107</v>
      </c>
      <c r="F19" s="1" t="s">
        <v>56</v>
      </c>
      <c r="G19" s="1" t="s">
        <v>162</v>
      </c>
      <c r="H19" s="2">
        <v>45838</v>
      </c>
      <c r="I19" s="1" t="s">
        <v>127</v>
      </c>
      <c r="J19" s="1" t="s">
        <v>33</v>
      </c>
      <c r="K19" s="1" t="s">
        <v>163</v>
      </c>
      <c r="L19" s="1" t="s">
        <v>66</v>
      </c>
      <c r="M19" s="1" t="s">
        <v>57</v>
      </c>
      <c r="N19">
        <v>92685.759999999995</v>
      </c>
      <c r="O19">
        <v>65069.86</v>
      </c>
      <c r="P19">
        <v>2944.47</v>
      </c>
      <c r="Q19">
        <v>5</v>
      </c>
      <c r="R19">
        <v>139</v>
      </c>
      <c r="S19">
        <v>5</v>
      </c>
      <c r="T19" s="1" t="s">
        <v>33</v>
      </c>
      <c r="U19" s="1" t="s">
        <v>149</v>
      </c>
      <c r="V19" s="1" t="s">
        <v>164</v>
      </c>
      <c r="W19" s="1" t="s">
        <v>12</v>
      </c>
    </row>
    <row r="20" spans="1:23" x14ac:dyDescent="0.35">
      <c r="A20" s="1" t="s">
        <v>165</v>
      </c>
      <c r="B20" s="1" t="s">
        <v>166</v>
      </c>
      <c r="C20">
        <v>30</v>
      </c>
      <c r="D20" s="1" t="s">
        <v>119</v>
      </c>
      <c r="E20" s="1" t="s">
        <v>86</v>
      </c>
      <c r="F20" s="1" t="s">
        <v>56</v>
      </c>
      <c r="G20" s="1" t="s">
        <v>167</v>
      </c>
      <c r="H20" s="2">
        <v>45550</v>
      </c>
      <c r="I20" s="1" t="s">
        <v>168</v>
      </c>
      <c r="J20" s="1" t="s">
        <v>33</v>
      </c>
      <c r="K20" s="1" t="s">
        <v>153</v>
      </c>
      <c r="L20" s="1" t="s">
        <v>44</v>
      </c>
      <c r="M20" s="1" t="s">
        <v>169</v>
      </c>
      <c r="N20">
        <v>233951.19</v>
      </c>
      <c r="O20">
        <v>17413.11</v>
      </c>
      <c r="P20">
        <v>0</v>
      </c>
      <c r="Q20">
        <v>1</v>
      </c>
      <c r="R20">
        <v>100</v>
      </c>
      <c r="S20">
        <v>2.2999999999999998</v>
      </c>
      <c r="T20" s="1" t="s">
        <v>33</v>
      </c>
      <c r="U20" s="1" t="s">
        <v>149</v>
      </c>
      <c r="V20" s="1" t="s">
        <v>164</v>
      </c>
      <c r="W20" s="1" t="s">
        <v>83</v>
      </c>
    </row>
    <row r="21" spans="1:23" x14ac:dyDescent="0.35">
      <c r="A21" s="1" t="s">
        <v>170</v>
      </c>
      <c r="B21" s="1" t="s">
        <v>171</v>
      </c>
      <c r="C21">
        <v>22</v>
      </c>
      <c r="D21" s="1" t="s">
        <v>78</v>
      </c>
      <c r="E21" s="1" t="s">
        <v>51</v>
      </c>
      <c r="F21" s="1" t="s">
        <v>33</v>
      </c>
      <c r="G21" s="1" t="s">
        <v>172</v>
      </c>
      <c r="H21" s="2">
        <v>46003</v>
      </c>
      <c r="I21" s="1" t="s">
        <v>173</v>
      </c>
      <c r="J21" s="1" t="s">
        <v>90</v>
      </c>
      <c r="K21" s="1" t="s">
        <v>174</v>
      </c>
      <c r="L21" s="1" t="s">
        <v>32</v>
      </c>
      <c r="M21" s="1" t="s">
        <v>129</v>
      </c>
      <c r="N21">
        <v>436990.82</v>
      </c>
      <c r="O21">
        <v>10418.67</v>
      </c>
      <c r="P21">
        <v>35338.15</v>
      </c>
      <c r="Q21">
        <v>4</v>
      </c>
      <c r="R21">
        <v>156</v>
      </c>
      <c r="S21">
        <v>2.1</v>
      </c>
      <c r="T21" s="1" t="s">
        <v>34</v>
      </c>
      <c r="U21" s="1" t="s">
        <v>95</v>
      </c>
      <c r="V21" s="1" t="s">
        <v>164</v>
      </c>
      <c r="W21" s="1" t="s">
        <v>103</v>
      </c>
    </row>
    <row r="22" spans="1:23" x14ac:dyDescent="0.35">
      <c r="A22" s="1" t="s">
        <v>175</v>
      </c>
      <c r="B22" s="1" t="s">
        <v>176</v>
      </c>
      <c r="C22">
        <v>71</v>
      </c>
      <c r="D22" s="1" t="s">
        <v>39</v>
      </c>
      <c r="E22" s="1" t="s">
        <v>177</v>
      </c>
      <c r="F22" s="1" t="s">
        <v>108</v>
      </c>
      <c r="G22" s="1" t="s">
        <v>178</v>
      </c>
      <c r="H22" s="2">
        <v>46190</v>
      </c>
      <c r="I22" s="1" t="s">
        <v>100</v>
      </c>
      <c r="J22" s="1" t="s">
        <v>43</v>
      </c>
      <c r="K22" s="1" t="s">
        <v>33</v>
      </c>
      <c r="L22" s="1" t="s">
        <v>32</v>
      </c>
      <c r="M22" s="1" t="s">
        <v>129</v>
      </c>
      <c r="N22">
        <v>0</v>
      </c>
      <c r="O22">
        <v>34615.85</v>
      </c>
      <c r="P22">
        <v>52796.480000000003</v>
      </c>
      <c r="Q22">
        <v>3</v>
      </c>
      <c r="R22">
        <v>153</v>
      </c>
      <c r="T22" s="1" t="s">
        <v>33</v>
      </c>
      <c r="U22" s="1" t="s">
        <v>149</v>
      </c>
      <c r="V22" s="1" t="s">
        <v>47</v>
      </c>
      <c r="W22" s="1" t="s">
        <v>179</v>
      </c>
    </row>
    <row r="23" spans="1:23" x14ac:dyDescent="0.35">
      <c r="A23" s="1" t="s">
        <v>180</v>
      </c>
      <c r="B23" s="1" t="s">
        <v>181</v>
      </c>
      <c r="C23">
        <v>54</v>
      </c>
      <c r="D23" s="1" t="s">
        <v>71</v>
      </c>
      <c r="E23" s="1" t="s">
        <v>112</v>
      </c>
      <c r="F23" s="1" t="s">
        <v>33</v>
      </c>
      <c r="G23" s="1" t="s">
        <v>182</v>
      </c>
      <c r="H23" s="2">
        <v>45774</v>
      </c>
      <c r="I23" s="1" t="s">
        <v>53</v>
      </c>
      <c r="J23" s="1" t="s">
        <v>152</v>
      </c>
      <c r="K23" s="1" t="s">
        <v>153</v>
      </c>
      <c r="L23" s="1" t="s">
        <v>33</v>
      </c>
      <c r="M23" s="1" t="s">
        <v>183</v>
      </c>
      <c r="N23">
        <v>261577.85</v>
      </c>
      <c r="O23">
        <v>36262.32</v>
      </c>
      <c r="P23">
        <v>55393.45</v>
      </c>
      <c r="Q23">
        <v>1</v>
      </c>
      <c r="R23">
        <v>43</v>
      </c>
      <c r="S23">
        <v>4</v>
      </c>
      <c r="T23" s="1" t="s">
        <v>94</v>
      </c>
      <c r="U23" s="1" t="s">
        <v>95</v>
      </c>
      <c r="V23" s="1" t="s">
        <v>68</v>
      </c>
      <c r="W23" s="1" t="s">
        <v>179</v>
      </c>
    </row>
    <row r="24" spans="1:23" x14ac:dyDescent="0.35">
      <c r="A24" s="1" t="s">
        <v>184</v>
      </c>
      <c r="B24" s="1" t="s">
        <v>185</v>
      </c>
      <c r="C24">
        <v>27</v>
      </c>
      <c r="D24" s="1" t="s">
        <v>106</v>
      </c>
      <c r="E24" s="1" t="s">
        <v>26</v>
      </c>
      <c r="F24" s="1" t="s">
        <v>120</v>
      </c>
      <c r="G24" s="1" t="s">
        <v>186</v>
      </c>
      <c r="H24" s="2">
        <v>45990</v>
      </c>
      <c r="I24" s="1" t="s">
        <v>29</v>
      </c>
      <c r="J24" s="1" t="s">
        <v>147</v>
      </c>
      <c r="K24" s="1" t="s">
        <v>81</v>
      </c>
      <c r="L24" s="1" t="s">
        <v>66</v>
      </c>
      <c r="M24" s="1" t="s">
        <v>169</v>
      </c>
      <c r="N24">
        <v>481208.43</v>
      </c>
      <c r="O24">
        <v>41845.82</v>
      </c>
      <c r="P24">
        <v>9260.9</v>
      </c>
      <c r="Q24">
        <v>3</v>
      </c>
      <c r="R24">
        <v>144</v>
      </c>
      <c r="T24" s="1" t="s">
        <v>154</v>
      </c>
      <c r="U24" s="1" t="s">
        <v>33</v>
      </c>
      <c r="V24" s="1" t="s">
        <v>47</v>
      </c>
      <c r="W24" s="1" t="s">
        <v>103</v>
      </c>
    </row>
    <row r="25" spans="1:23" x14ac:dyDescent="0.35">
      <c r="A25" s="1" t="s">
        <v>187</v>
      </c>
      <c r="B25" s="1" t="s">
        <v>188</v>
      </c>
      <c r="C25">
        <v>68</v>
      </c>
      <c r="D25" s="1" t="s">
        <v>119</v>
      </c>
      <c r="E25" s="1" t="s">
        <v>33</v>
      </c>
      <c r="F25" s="1" t="s">
        <v>98</v>
      </c>
      <c r="G25" s="1" t="s">
        <v>189</v>
      </c>
      <c r="H25" s="2">
        <v>45743</v>
      </c>
      <c r="I25" s="1" t="s">
        <v>159</v>
      </c>
      <c r="J25" s="1" t="s">
        <v>152</v>
      </c>
      <c r="K25" s="1" t="s">
        <v>128</v>
      </c>
      <c r="L25" s="1" t="s">
        <v>44</v>
      </c>
      <c r="M25" s="1" t="s">
        <v>33</v>
      </c>
      <c r="N25">
        <v>105104.48</v>
      </c>
      <c r="O25">
        <v>54084.4</v>
      </c>
      <c r="P25">
        <v>57383.43</v>
      </c>
      <c r="Q25">
        <v>5</v>
      </c>
      <c r="R25">
        <v>156</v>
      </c>
      <c r="S25">
        <v>5</v>
      </c>
      <c r="T25" s="1" t="s">
        <v>33</v>
      </c>
      <c r="U25" s="1" t="s">
        <v>67</v>
      </c>
      <c r="V25" s="1" t="s">
        <v>75</v>
      </c>
      <c r="W25" s="1" t="s">
        <v>12</v>
      </c>
    </row>
    <row r="26" spans="1:23" x14ac:dyDescent="0.35">
      <c r="A26" s="1" t="s">
        <v>190</v>
      </c>
      <c r="B26" s="1" t="s">
        <v>191</v>
      </c>
      <c r="C26">
        <v>26</v>
      </c>
      <c r="D26" s="1" t="s">
        <v>39</v>
      </c>
      <c r="E26" s="1" t="s">
        <v>192</v>
      </c>
      <c r="F26" s="1" t="s">
        <v>193</v>
      </c>
      <c r="G26" s="1" t="s">
        <v>194</v>
      </c>
      <c r="H26" s="2">
        <v>45724</v>
      </c>
      <c r="I26" s="1" t="s">
        <v>114</v>
      </c>
      <c r="J26" s="1" t="s">
        <v>115</v>
      </c>
      <c r="K26" s="1" t="s">
        <v>174</v>
      </c>
      <c r="L26" s="1" t="s">
        <v>33</v>
      </c>
      <c r="M26" s="1" t="s">
        <v>169</v>
      </c>
      <c r="N26">
        <v>95467.98</v>
      </c>
      <c r="O26">
        <v>9604.74</v>
      </c>
      <c r="P26">
        <v>42686.95</v>
      </c>
      <c r="Q26">
        <v>2</v>
      </c>
      <c r="R26">
        <v>120</v>
      </c>
      <c r="S26">
        <v>4.0999999999999996</v>
      </c>
      <c r="T26" s="1" t="s">
        <v>33</v>
      </c>
      <c r="U26" s="1" t="s">
        <v>58</v>
      </c>
      <c r="V26" s="1" t="s">
        <v>68</v>
      </c>
      <c r="W26" s="1" t="s">
        <v>179</v>
      </c>
    </row>
    <row r="27" spans="1:23" x14ac:dyDescent="0.35">
      <c r="A27" s="1" t="s">
        <v>195</v>
      </c>
      <c r="B27" s="1" t="s">
        <v>196</v>
      </c>
      <c r="C27">
        <v>43</v>
      </c>
      <c r="D27" s="1" t="s">
        <v>78</v>
      </c>
      <c r="E27" s="1" t="s">
        <v>86</v>
      </c>
      <c r="F27" s="1" t="s">
        <v>63</v>
      </c>
      <c r="G27" s="1" t="s">
        <v>197</v>
      </c>
      <c r="H27" s="2">
        <v>46109</v>
      </c>
      <c r="I27" s="1" t="s">
        <v>33</v>
      </c>
      <c r="J27" s="1" t="s">
        <v>65</v>
      </c>
      <c r="K27" s="1" t="s">
        <v>116</v>
      </c>
      <c r="L27" s="1" t="s">
        <v>92</v>
      </c>
      <c r="M27" s="1" t="s">
        <v>74</v>
      </c>
      <c r="N27">
        <v>423494.77</v>
      </c>
      <c r="O27">
        <v>23383.58</v>
      </c>
      <c r="P27">
        <v>126605.07</v>
      </c>
      <c r="Q27">
        <v>5</v>
      </c>
      <c r="R27">
        <v>141</v>
      </c>
      <c r="S27">
        <v>2.6</v>
      </c>
      <c r="T27" s="1" t="s">
        <v>46</v>
      </c>
      <c r="U27" s="1" t="s">
        <v>101</v>
      </c>
      <c r="V27" s="1" t="s">
        <v>164</v>
      </c>
      <c r="W27" s="1" t="s">
        <v>59</v>
      </c>
    </row>
    <row r="28" spans="1:23" x14ac:dyDescent="0.35">
      <c r="A28" s="1" t="s">
        <v>198</v>
      </c>
      <c r="B28" s="1" t="s">
        <v>199</v>
      </c>
      <c r="C28">
        <v>53</v>
      </c>
      <c r="D28" s="1" t="s">
        <v>39</v>
      </c>
      <c r="E28" s="1" t="s">
        <v>112</v>
      </c>
      <c r="F28" s="1" t="s">
        <v>27</v>
      </c>
      <c r="G28" s="1" t="s">
        <v>200</v>
      </c>
      <c r="H28" s="2">
        <v>45759</v>
      </c>
      <c r="I28" s="1" t="s">
        <v>89</v>
      </c>
      <c r="J28" s="1" t="s">
        <v>137</v>
      </c>
      <c r="K28" s="1" t="s">
        <v>128</v>
      </c>
      <c r="L28" s="1" t="s">
        <v>32</v>
      </c>
      <c r="M28" s="1" t="s">
        <v>45</v>
      </c>
      <c r="N28">
        <v>188715.21</v>
      </c>
      <c r="O28">
        <v>47850.01</v>
      </c>
      <c r="P28">
        <v>59197.13</v>
      </c>
      <c r="Q28">
        <v>1</v>
      </c>
      <c r="R28">
        <v>89</v>
      </c>
      <c r="S28">
        <v>2.6</v>
      </c>
      <c r="T28" s="1" t="s">
        <v>46</v>
      </c>
      <c r="U28" s="1" t="s">
        <v>95</v>
      </c>
      <c r="V28" s="1" t="s">
        <v>75</v>
      </c>
      <c r="W28" s="1" t="s">
        <v>179</v>
      </c>
    </row>
    <row r="29" spans="1:23" x14ac:dyDescent="0.35">
      <c r="A29" s="1" t="s">
        <v>201</v>
      </c>
      <c r="B29" s="1" t="s">
        <v>202</v>
      </c>
      <c r="C29">
        <v>33</v>
      </c>
      <c r="D29" s="1" t="s">
        <v>25</v>
      </c>
      <c r="E29" s="1" t="s">
        <v>203</v>
      </c>
      <c r="F29" s="1" t="s">
        <v>135</v>
      </c>
      <c r="G29" s="1" t="s">
        <v>204</v>
      </c>
      <c r="H29" s="2">
        <v>46161</v>
      </c>
      <c r="I29" s="1" t="s">
        <v>53</v>
      </c>
      <c r="J29" s="1" t="s">
        <v>65</v>
      </c>
      <c r="K29" s="1" t="s">
        <v>174</v>
      </c>
      <c r="L29" s="1" t="s">
        <v>92</v>
      </c>
      <c r="M29" s="1" t="s">
        <v>82</v>
      </c>
      <c r="N29">
        <v>339895.83</v>
      </c>
      <c r="O29">
        <v>35352.339999999997</v>
      </c>
      <c r="P29">
        <v>7627.84</v>
      </c>
      <c r="Q29">
        <v>1</v>
      </c>
      <c r="R29">
        <v>107</v>
      </c>
      <c r="S29">
        <v>4.2</v>
      </c>
      <c r="T29" s="1" t="s">
        <v>154</v>
      </c>
      <c r="U29" s="1" t="s">
        <v>33</v>
      </c>
      <c r="V29" s="1" t="s">
        <v>33</v>
      </c>
      <c r="W29" s="1" t="s">
        <v>33</v>
      </c>
    </row>
    <row r="30" spans="1:23" x14ac:dyDescent="0.35">
      <c r="A30" s="1" t="s">
        <v>205</v>
      </c>
      <c r="B30" s="1" t="s">
        <v>206</v>
      </c>
      <c r="C30">
        <v>46</v>
      </c>
      <c r="D30" s="1" t="s">
        <v>33</v>
      </c>
      <c r="E30" s="1" t="s">
        <v>40</v>
      </c>
      <c r="F30" s="1" t="s">
        <v>63</v>
      </c>
      <c r="G30" s="1" t="s">
        <v>207</v>
      </c>
      <c r="H30" s="2">
        <v>45576</v>
      </c>
      <c r="I30" s="1" t="s">
        <v>53</v>
      </c>
      <c r="J30" s="1" t="s">
        <v>87</v>
      </c>
      <c r="K30" s="1" t="s">
        <v>208</v>
      </c>
      <c r="L30" s="1" t="s">
        <v>66</v>
      </c>
      <c r="M30" s="1" t="s">
        <v>183</v>
      </c>
      <c r="N30">
        <v>228149.22</v>
      </c>
      <c r="O30">
        <v>1425.74</v>
      </c>
      <c r="P30">
        <v>55733.62</v>
      </c>
      <c r="Q30">
        <v>1</v>
      </c>
      <c r="R30">
        <v>137</v>
      </c>
      <c r="S30">
        <v>5</v>
      </c>
      <c r="T30" s="1" t="s">
        <v>34</v>
      </c>
      <c r="U30" s="1" t="s">
        <v>67</v>
      </c>
      <c r="V30" s="1" t="s">
        <v>47</v>
      </c>
      <c r="W30" s="1" t="s">
        <v>33</v>
      </c>
    </row>
    <row r="31" spans="1:23" x14ac:dyDescent="0.35">
      <c r="A31" s="1" t="s">
        <v>209</v>
      </c>
      <c r="B31" s="1" t="s">
        <v>210</v>
      </c>
      <c r="C31">
        <v>12</v>
      </c>
      <c r="D31" s="1" t="s">
        <v>106</v>
      </c>
      <c r="E31" s="1" t="s">
        <v>203</v>
      </c>
      <c r="F31" s="1" t="s">
        <v>87</v>
      </c>
      <c r="G31" s="1" t="s">
        <v>211</v>
      </c>
      <c r="H31" s="2">
        <v>45715</v>
      </c>
      <c r="I31" s="1" t="s">
        <v>53</v>
      </c>
      <c r="J31" s="1" t="s">
        <v>30</v>
      </c>
      <c r="K31" s="1" t="s">
        <v>33</v>
      </c>
      <c r="L31" s="1" t="s">
        <v>56</v>
      </c>
      <c r="M31" s="1" t="s">
        <v>129</v>
      </c>
      <c r="N31">
        <v>88704.49</v>
      </c>
      <c r="O31">
        <v>42875.88</v>
      </c>
      <c r="P31">
        <v>60413.58</v>
      </c>
      <c r="Q31">
        <v>6</v>
      </c>
      <c r="R31">
        <v>133</v>
      </c>
      <c r="S31">
        <v>5</v>
      </c>
      <c r="T31" s="1" t="s">
        <v>34</v>
      </c>
      <c r="U31" s="1" t="s">
        <v>95</v>
      </c>
      <c r="V31" s="1" t="s">
        <v>33</v>
      </c>
      <c r="W31" s="1" t="s">
        <v>33</v>
      </c>
    </row>
    <row r="32" spans="1:23" x14ac:dyDescent="0.35">
      <c r="A32" s="1" t="s">
        <v>212</v>
      </c>
      <c r="B32" s="1" t="s">
        <v>185</v>
      </c>
      <c r="C32">
        <v>67</v>
      </c>
      <c r="D32" s="1" t="s">
        <v>71</v>
      </c>
      <c r="E32" s="1" t="s">
        <v>33</v>
      </c>
      <c r="F32" s="1" t="s">
        <v>108</v>
      </c>
      <c r="G32" s="1" t="s">
        <v>213</v>
      </c>
      <c r="H32" s="2">
        <v>46061</v>
      </c>
      <c r="I32" s="1" t="s">
        <v>29</v>
      </c>
      <c r="J32" s="1" t="s">
        <v>115</v>
      </c>
      <c r="K32" s="1" t="s">
        <v>91</v>
      </c>
      <c r="L32" s="1" t="s">
        <v>44</v>
      </c>
      <c r="M32" s="1" t="s">
        <v>129</v>
      </c>
      <c r="N32">
        <v>353560.25</v>
      </c>
      <c r="O32">
        <v>46284.78</v>
      </c>
      <c r="P32">
        <v>35541.919999999998</v>
      </c>
      <c r="Q32">
        <v>4</v>
      </c>
      <c r="R32">
        <v>151</v>
      </c>
      <c r="T32" s="1" t="s">
        <v>46</v>
      </c>
      <c r="U32" s="1" t="s">
        <v>33</v>
      </c>
      <c r="V32" s="1" t="s">
        <v>102</v>
      </c>
      <c r="W32" s="1" t="s">
        <v>33</v>
      </c>
    </row>
    <row r="33" spans="1:23" x14ac:dyDescent="0.35">
      <c r="A33" s="1" t="s">
        <v>214</v>
      </c>
      <c r="B33" s="1" t="s">
        <v>215</v>
      </c>
      <c r="C33">
        <v>32</v>
      </c>
      <c r="D33" s="1" t="s">
        <v>39</v>
      </c>
      <c r="E33" s="1" t="s">
        <v>177</v>
      </c>
      <c r="F33" s="1" t="s">
        <v>33</v>
      </c>
      <c r="G33" s="1" t="s">
        <v>216</v>
      </c>
      <c r="H33" s="2">
        <v>45952</v>
      </c>
      <c r="I33" s="1" t="s">
        <v>53</v>
      </c>
      <c r="J33" s="1" t="s">
        <v>147</v>
      </c>
      <c r="K33" s="1" t="s">
        <v>148</v>
      </c>
      <c r="L33" s="1" t="s">
        <v>66</v>
      </c>
      <c r="M33" s="1" t="s">
        <v>129</v>
      </c>
      <c r="N33">
        <v>231462.38</v>
      </c>
      <c r="O33">
        <v>87866.46</v>
      </c>
      <c r="P33">
        <v>0</v>
      </c>
      <c r="Q33">
        <v>2</v>
      </c>
      <c r="R33">
        <v>146</v>
      </c>
      <c r="S33">
        <v>1.6</v>
      </c>
      <c r="T33" s="1" t="s">
        <v>94</v>
      </c>
      <c r="U33" s="1" t="s">
        <v>101</v>
      </c>
      <c r="V33" s="1" t="s">
        <v>33</v>
      </c>
      <c r="W33" s="1" t="s">
        <v>103</v>
      </c>
    </row>
    <row r="34" spans="1:23" x14ac:dyDescent="0.35">
      <c r="A34" s="1" t="s">
        <v>217</v>
      </c>
      <c r="B34" s="1" t="s">
        <v>218</v>
      </c>
      <c r="C34">
        <v>66</v>
      </c>
      <c r="D34" s="1" t="s">
        <v>119</v>
      </c>
      <c r="E34" s="1" t="s">
        <v>219</v>
      </c>
      <c r="F34" s="1" t="s">
        <v>108</v>
      </c>
      <c r="G34" s="1" t="s">
        <v>220</v>
      </c>
      <c r="H34" s="2">
        <v>45313</v>
      </c>
      <c r="I34" s="1" t="s">
        <v>221</v>
      </c>
      <c r="J34" s="1" t="s">
        <v>43</v>
      </c>
      <c r="K34" s="1" t="s">
        <v>116</v>
      </c>
      <c r="L34" s="1" t="s">
        <v>44</v>
      </c>
      <c r="M34" s="1" t="s">
        <v>169</v>
      </c>
      <c r="N34">
        <v>228999.2</v>
      </c>
      <c r="O34">
        <v>3056.38</v>
      </c>
      <c r="P34">
        <v>23540.89</v>
      </c>
      <c r="Q34">
        <v>2</v>
      </c>
      <c r="R34">
        <v>145</v>
      </c>
      <c r="S34">
        <v>2.8</v>
      </c>
      <c r="T34" s="1" t="s">
        <v>46</v>
      </c>
      <c r="U34" s="1" t="s">
        <v>101</v>
      </c>
      <c r="V34" s="1" t="s">
        <v>130</v>
      </c>
      <c r="W34" s="1" t="s">
        <v>83</v>
      </c>
    </row>
    <row r="35" spans="1:23" x14ac:dyDescent="0.35">
      <c r="A35" s="1" t="s">
        <v>222</v>
      </c>
      <c r="B35" s="1" t="s">
        <v>223</v>
      </c>
      <c r="C35">
        <v>44</v>
      </c>
      <c r="D35" s="1" t="s">
        <v>106</v>
      </c>
      <c r="E35" s="1" t="s">
        <v>192</v>
      </c>
      <c r="F35" s="1" t="s">
        <v>193</v>
      </c>
      <c r="G35" s="1" t="s">
        <v>224</v>
      </c>
      <c r="H35" s="2">
        <v>46080</v>
      </c>
      <c r="I35" s="1" t="s">
        <v>127</v>
      </c>
      <c r="J35" s="1" t="s">
        <v>43</v>
      </c>
      <c r="K35" s="1" t="s">
        <v>33</v>
      </c>
      <c r="L35" s="1" t="s">
        <v>32</v>
      </c>
      <c r="M35" s="1" t="s">
        <v>93</v>
      </c>
      <c r="N35">
        <v>128775.95</v>
      </c>
      <c r="O35">
        <v>83598.600000000006</v>
      </c>
      <c r="P35">
        <v>64017.57</v>
      </c>
      <c r="Q35">
        <v>3</v>
      </c>
      <c r="R35">
        <v>0</v>
      </c>
      <c r="S35">
        <v>3.9</v>
      </c>
      <c r="T35" s="1" t="s">
        <v>154</v>
      </c>
      <c r="U35" s="1" t="s">
        <v>95</v>
      </c>
      <c r="V35" s="1" t="s">
        <v>164</v>
      </c>
      <c r="W35" s="1" t="s">
        <v>179</v>
      </c>
    </row>
    <row r="36" spans="1:23" x14ac:dyDescent="0.35">
      <c r="A36" s="1" t="s">
        <v>225</v>
      </c>
      <c r="B36" s="1" t="s">
        <v>226</v>
      </c>
      <c r="C36">
        <v>61</v>
      </c>
      <c r="D36" s="1" t="s">
        <v>25</v>
      </c>
      <c r="E36" s="1" t="s">
        <v>51</v>
      </c>
      <c r="F36" s="1" t="s">
        <v>227</v>
      </c>
      <c r="G36" s="1" t="s">
        <v>228</v>
      </c>
      <c r="H36" s="2">
        <v>45601</v>
      </c>
      <c r="I36" s="1" t="s">
        <v>168</v>
      </c>
      <c r="J36" s="1" t="s">
        <v>65</v>
      </c>
      <c r="K36" s="1" t="s">
        <v>122</v>
      </c>
      <c r="L36" s="1" t="s">
        <v>44</v>
      </c>
      <c r="M36" s="1" t="s">
        <v>123</v>
      </c>
      <c r="N36">
        <v>109047.1</v>
      </c>
      <c r="O36">
        <v>27131.59</v>
      </c>
      <c r="P36">
        <v>60149.62</v>
      </c>
      <c r="Q36">
        <v>1</v>
      </c>
      <c r="R36">
        <v>159</v>
      </c>
      <c r="S36">
        <v>2.1</v>
      </c>
      <c r="T36" s="1" t="s">
        <v>154</v>
      </c>
      <c r="U36" s="1" t="s">
        <v>67</v>
      </c>
      <c r="V36" s="1" t="s">
        <v>130</v>
      </c>
      <c r="W36" s="1" t="s">
        <v>179</v>
      </c>
    </row>
    <row r="37" spans="1:23" x14ac:dyDescent="0.35">
      <c r="A37" s="1" t="s">
        <v>229</v>
      </c>
      <c r="B37" s="1" t="s">
        <v>230</v>
      </c>
      <c r="C37">
        <v>32</v>
      </c>
      <c r="D37" s="1" t="s">
        <v>78</v>
      </c>
      <c r="E37" s="1" t="s">
        <v>33</v>
      </c>
      <c r="F37" s="1" t="s">
        <v>56</v>
      </c>
      <c r="G37" s="1" t="s">
        <v>231</v>
      </c>
      <c r="H37" s="2">
        <v>45739</v>
      </c>
      <c r="I37" s="1" t="s">
        <v>29</v>
      </c>
      <c r="J37" s="1" t="s">
        <v>90</v>
      </c>
      <c r="K37" s="1" t="s">
        <v>33</v>
      </c>
      <c r="L37" s="1" t="s">
        <v>92</v>
      </c>
      <c r="M37" s="1" t="s">
        <v>142</v>
      </c>
      <c r="N37">
        <v>128533.91</v>
      </c>
      <c r="O37">
        <v>74136.36</v>
      </c>
      <c r="P37">
        <v>57149.45</v>
      </c>
      <c r="Q37">
        <v>2</v>
      </c>
      <c r="R37">
        <v>0</v>
      </c>
      <c r="S37">
        <v>4.9000000000000004</v>
      </c>
      <c r="T37" s="1" t="s">
        <v>46</v>
      </c>
      <c r="U37" s="1" t="s">
        <v>33</v>
      </c>
      <c r="V37" s="1" t="s">
        <v>164</v>
      </c>
      <c r="W37" s="1" t="s">
        <v>103</v>
      </c>
    </row>
    <row r="38" spans="1:23" x14ac:dyDescent="0.35">
      <c r="A38" s="1" t="s">
        <v>232</v>
      </c>
      <c r="B38" s="1" t="s">
        <v>233</v>
      </c>
      <c r="C38">
        <v>65</v>
      </c>
      <c r="D38" s="1" t="s">
        <v>106</v>
      </c>
      <c r="E38" s="1" t="s">
        <v>26</v>
      </c>
      <c r="F38" s="1" t="s">
        <v>41</v>
      </c>
      <c r="G38" s="1" t="s">
        <v>234</v>
      </c>
      <c r="H38" s="2">
        <v>45693</v>
      </c>
      <c r="I38" s="1" t="s">
        <v>235</v>
      </c>
      <c r="J38" s="1" t="s">
        <v>147</v>
      </c>
      <c r="K38" s="1" t="s">
        <v>91</v>
      </c>
      <c r="L38" s="1" t="s">
        <v>32</v>
      </c>
      <c r="M38" s="1" t="s">
        <v>74</v>
      </c>
      <c r="N38">
        <v>7288.2</v>
      </c>
      <c r="O38">
        <v>17894.150000000001</v>
      </c>
      <c r="P38">
        <v>83007.33</v>
      </c>
      <c r="Q38">
        <v>13</v>
      </c>
      <c r="R38">
        <v>41</v>
      </c>
      <c r="S38">
        <v>4.3</v>
      </c>
      <c r="T38" s="1" t="s">
        <v>33</v>
      </c>
      <c r="U38" s="1" t="s">
        <v>58</v>
      </c>
      <c r="V38" s="1" t="s">
        <v>47</v>
      </c>
      <c r="W38" s="1" t="s">
        <v>12</v>
      </c>
    </row>
    <row r="39" spans="1:23" x14ac:dyDescent="0.35">
      <c r="A39" s="1" t="s">
        <v>236</v>
      </c>
      <c r="B39" s="1" t="s">
        <v>237</v>
      </c>
      <c r="C39">
        <v>22</v>
      </c>
      <c r="D39" s="1" t="s">
        <v>71</v>
      </c>
      <c r="E39" s="1" t="s">
        <v>33</v>
      </c>
      <c r="F39" s="1" t="s">
        <v>56</v>
      </c>
      <c r="G39" s="1" t="s">
        <v>238</v>
      </c>
      <c r="H39" s="2">
        <v>45797</v>
      </c>
      <c r="I39" s="1" t="s">
        <v>33</v>
      </c>
      <c r="J39" s="1" t="s">
        <v>137</v>
      </c>
      <c r="K39" s="1" t="s">
        <v>33</v>
      </c>
      <c r="L39" s="1" t="s">
        <v>44</v>
      </c>
      <c r="M39" s="1" t="s">
        <v>57</v>
      </c>
      <c r="N39">
        <v>211666.45</v>
      </c>
      <c r="O39">
        <v>0</v>
      </c>
      <c r="P39">
        <v>14268.37</v>
      </c>
      <c r="Q39">
        <v>5</v>
      </c>
      <c r="R39">
        <v>76</v>
      </c>
      <c r="S39">
        <v>2.1</v>
      </c>
      <c r="T39" s="1" t="s">
        <v>94</v>
      </c>
      <c r="U39" s="1" t="s">
        <v>101</v>
      </c>
      <c r="V39" s="1" t="s">
        <v>33</v>
      </c>
      <c r="W39" s="1" t="s">
        <v>59</v>
      </c>
    </row>
    <row r="40" spans="1:23" x14ac:dyDescent="0.35">
      <c r="A40" s="1" t="s">
        <v>239</v>
      </c>
      <c r="B40" s="1" t="s">
        <v>240</v>
      </c>
      <c r="C40">
        <v>11</v>
      </c>
      <c r="D40" s="1" t="s">
        <v>106</v>
      </c>
      <c r="E40" s="1" t="s">
        <v>203</v>
      </c>
      <c r="F40" s="1" t="s">
        <v>63</v>
      </c>
      <c r="G40" s="1" t="s">
        <v>241</v>
      </c>
      <c r="H40" s="2">
        <v>45639</v>
      </c>
      <c r="I40" s="1" t="s">
        <v>114</v>
      </c>
      <c r="J40" s="1" t="s">
        <v>242</v>
      </c>
      <c r="K40" s="1" t="s">
        <v>31</v>
      </c>
      <c r="L40" s="1" t="s">
        <v>44</v>
      </c>
      <c r="M40" s="1" t="s">
        <v>33</v>
      </c>
      <c r="N40">
        <v>158393.76999999999</v>
      </c>
      <c r="O40">
        <v>33268.51</v>
      </c>
      <c r="P40">
        <v>88238.2</v>
      </c>
      <c r="Q40">
        <v>9</v>
      </c>
      <c r="R40">
        <v>0</v>
      </c>
      <c r="S40">
        <v>5</v>
      </c>
      <c r="T40" s="1" t="s">
        <v>33</v>
      </c>
      <c r="U40" s="1" t="s">
        <v>67</v>
      </c>
      <c r="V40" s="1" t="s">
        <v>75</v>
      </c>
      <c r="W40" s="1" t="s">
        <v>33</v>
      </c>
    </row>
    <row r="41" spans="1:23" x14ac:dyDescent="0.35">
      <c r="A41" s="1" t="s">
        <v>243</v>
      </c>
      <c r="B41" s="1" t="s">
        <v>244</v>
      </c>
      <c r="C41">
        <v>21</v>
      </c>
      <c r="D41" s="1" t="s">
        <v>50</v>
      </c>
      <c r="E41" s="1" t="s">
        <v>157</v>
      </c>
      <c r="F41" s="1" t="s">
        <v>33</v>
      </c>
      <c r="G41" s="1" t="s">
        <v>245</v>
      </c>
      <c r="H41" s="2">
        <v>45832</v>
      </c>
      <c r="I41" s="1" t="s">
        <v>159</v>
      </c>
      <c r="J41" s="1" t="s">
        <v>242</v>
      </c>
      <c r="K41" s="1" t="s">
        <v>31</v>
      </c>
      <c r="L41" s="1" t="s">
        <v>66</v>
      </c>
      <c r="M41" s="1" t="s">
        <v>45</v>
      </c>
      <c r="N41">
        <v>284694.49</v>
      </c>
      <c r="O41">
        <v>34976.49</v>
      </c>
      <c r="P41">
        <v>26993.49</v>
      </c>
      <c r="Q41">
        <v>3</v>
      </c>
      <c r="R41">
        <v>100</v>
      </c>
      <c r="S41">
        <v>3.2</v>
      </c>
      <c r="T41" s="1" t="s">
        <v>34</v>
      </c>
      <c r="U41" s="1" t="s">
        <v>95</v>
      </c>
      <c r="V41" s="1" t="s">
        <v>102</v>
      </c>
      <c r="W41" s="1" t="s">
        <v>12</v>
      </c>
    </row>
    <row r="42" spans="1:23" x14ac:dyDescent="0.35">
      <c r="A42" s="1" t="s">
        <v>246</v>
      </c>
      <c r="B42" s="1" t="s">
        <v>77</v>
      </c>
      <c r="C42">
        <v>57</v>
      </c>
      <c r="D42" s="1" t="s">
        <v>119</v>
      </c>
      <c r="E42" s="1" t="s">
        <v>107</v>
      </c>
      <c r="F42" s="1" t="s">
        <v>41</v>
      </c>
      <c r="G42" s="1" t="s">
        <v>247</v>
      </c>
      <c r="H42" s="2">
        <v>45400</v>
      </c>
      <c r="I42" s="1" t="s">
        <v>33</v>
      </c>
      <c r="J42" s="1" t="s">
        <v>137</v>
      </c>
      <c r="K42" s="1" t="s">
        <v>122</v>
      </c>
      <c r="L42" s="1" t="s">
        <v>32</v>
      </c>
      <c r="M42" s="1" t="s">
        <v>169</v>
      </c>
      <c r="N42">
        <v>442042.35</v>
      </c>
      <c r="O42">
        <v>0</v>
      </c>
      <c r="P42">
        <v>108991</v>
      </c>
      <c r="Q42">
        <v>3</v>
      </c>
      <c r="R42">
        <v>0</v>
      </c>
      <c r="S42">
        <v>3.5</v>
      </c>
      <c r="T42" s="1" t="s">
        <v>154</v>
      </c>
      <c r="U42" s="1" t="s">
        <v>33</v>
      </c>
      <c r="V42" s="1" t="s">
        <v>75</v>
      </c>
      <c r="W42" s="1" t="s">
        <v>131</v>
      </c>
    </row>
    <row r="43" spans="1:23" x14ac:dyDescent="0.35">
      <c r="A43" s="1" t="s">
        <v>248</v>
      </c>
      <c r="B43" s="1" t="s">
        <v>249</v>
      </c>
      <c r="C43">
        <v>49</v>
      </c>
      <c r="D43" s="1" t="s">
        <v>50</v>
      </c>
      <c r="E43" s="1" t="s">
        <v>86</v>
      </c>
      <c r="F43" s="1" t="s">
        <v>108</v>
      </c>
      <c r="G43" s="1" t="s">
        <v>250</v>
      </c>
      <c r="H43" s="2">
        <v>46267</v>
      </c>
      <c r="I43" s="1" t="s">
        <v>127</v>
      </c>
      <c r="J43" s="1" t="s">
        <v>54</v>
      </c>
      <c r="K43" s="1" t="s">
        <v>33</v>
      </c>
      <c r="L43" s="1" t="s">
        <v>56</v>
      </c>
      <c r="M43" s="1" t="s">
        <v>82</v>
      </c>
      <c r="N43">
        <v>132822.07</v>
      </c>
      <c r="O43">
        <v>24796.94</v>
      </c>
      <c r="P43">
        <v>30209.97</v>
      </c>
      <c r="Q43">
        <v>4</v>
      </c>
      <c r="R43">
        <v>50</v>
      </c>
      <c r="S43">
        <v>4.8</v>
      </c>
      <c r="T43" s="1" t="s">
        <v>154</v>
      </c>
      <c r="U43" s="1" t="s">
        <v>101</v>
      </c>
      <c r="V43" s="1" t="s">
        <v>33</v>
      </c>
      <c r="W43" s="1" t="s">
        <v>33</v>
      </c>
    </row>
    <row r="44" spans="1:23" x14ac:dyDescent="0.35">
      <c r="A44" s="1" t="s">
        <v>251</v>
      </c>
      <c r="B44" s="1" t="s">
        <v>252</v>
      </c>
      <c r="C44">
        <v>27</v>
      </c>
      <c r="D44" s="1" t="s">
        <v>25</v>
      </c>
      <c r="E44" s="1" t="s">
        <v>112</v>
      </c>
      <c r="F44" s="1" t="s">
        <v>56</v>
      </c>
      <c r="G44" s="1" t="s">
        <v>253</v>
      </c>
      <c r="H44" s="2">
        <v>46053</v>
      </c>
      <c r="I44" s="1" t="s">
        <v>159</v>
      </c>
      <c r="J44" s="1" t="s">
        <v>242</v>
      </c>
      <c r="K44" s="1" t="s">
        <v>116</v>
      </c>
      <c r="L44" s="1" t="s">
        <v>44</v>
      </c>
      <c r="M44" s="1" t="s">
        <v>45</v>
      </c>
      <c r="N44">
        <v>345943.98</v>
      </c>
      <c r="O44">
        <v>37682.49</v>
      </c>
      <c r="P44">
        <v>69385.86</v>
      </c>
      <c r="Q44">
        <v>4</v>
      </c>
      <c r="R44">
        <v>142</v>
      </c>
      <c r="S44">
        <v>2.6</v>
      </c>
      <c r="T44" s="1" t="s">
        <v>34</v>
      </c>
      <c r="U44" s="1" t="s">
        <v>149</v>
      </c>
      <c r="V44" s="1" t="s">
        <v>75</v>
      </c>
      <c r="W44" s="1" t="s">
        <v>83</v>
      </c>
    </row>
    <row r="45" spans="1:23" x14ac:dyDescent="0.35">
      <c r="A45" s="1" t="s">
        <v>254</v>
      </c>
      <c r="B45" s="1" t="s">
        <v>255</v>
      </c>
      <c r="C45">
        <v>59</v>
      </c>
      <c r="D45" s="1" t="s">
        <v>33</v>
      </c>
      <c r="E45" s="1" t="s">
        <v>86</v>
      </c>
      <c r="F45" s="1" t="s">
        <v>56</v>
      </c>
      <c r="G45" s="1" t="s">
        <v>256</v>
      </c>
      <c r="H45" s="2">
        <v>45583</v>
      </c>
      <c r="I45" s="1" t="s">
        <v>257</v>
      </c>
      <c r="J45" s="1" t="s">
        <v>33</v>
      </c>
      <c r="K45" s="1" t="s">
        <v>153</v>
      </c>
      <c r="L45" s="1" t="s">
        <v>33</v>
      </c>
      <c r="M45" s="1" t="s">
        <v>33</v>
      </c>
      <c r="N45">
        <v>305451.84000000003</v>
      </c>
      <c r="O45">
        <v>29477.46</v>
      </c>
      <c r="P45">
        <v>48519.82</v>
      </c>
      <c r="Q45">
        <v>2</v>
      </c>
      <c r="R45">
        <v>190</v>
      </c>
      <c r="S45">
        <v>2.9</v>
      </c>
      <c r="T45" s="1" t="s">
        <v>33</v>
      </c>
      <c r="U45" s="1" t="s">
        <v>101</v>
      </c>
      <c r="V45" s="1" t="s">
        <v>33</v>
      </c>
      <c r="W45" s="1" t="s">
        <v>131</v>
      </c>
    </row>
    <row r="46" spans="1:23" x14ac:dyDescent="0.35">
      <c r="A46" s="1" t="s">
        <v>258</v>
      </c>
      <c r="B46" s="1" t="s">
        <v>259</v>
      </c>
      <c r="C46">
        <v>38</v>
      </c>
      <c r="D46" s="1" t="s">
        <v>50</v>
      </c>
      <c r="E46" s="1" t="s">
        <v>107</v>
      </c>
      <c r="F46" s="1" t="s">
        <v>41</v>
      </c>
      <c r="G46" s="1" t="s">
        <v>260</v>
      </c>
      <c r="H46" s="2">
        <v>46107</v>
      </c>
      <c r="I46" s="1" t="s">
        <v>127</v>
      </c>
      <c r="J46" s="1" t="s">
        <v>137</v>
      </c>
      <c r="K46" s="1" t="s">
        <v>208</v>
      </c>
      <c r="L46" s="1" t="s">
        <v>66</v>
      </c>
      <c r="M46" s="1" t="s">
        <v>33</v>
      </c>
      <c r="N46">
        <v>189524.63</v>
      </c>
      <c r="O46">
        <v>57469.42</v>
      </c>
      <c r="P46">
        <v>69762.490000000005</v>
      </c>
      <c r="Q46">
        <v>4</v>
      </c>
      <c r="R46">
        <v>156</v>
      </c>
      <c r="T46" s="1" t="s">
        <v>34</v>
      </c>
      <c r="U46" s="1" t="s">
        <v>58</v>
      </c>
      <c r="V46" s="1" t="s">
        <v>33</v>
      </c>
      <c r="W46" s="1" t="s">
        <v>33</v>
      </c>
    </row>
    <row r="47" spans="1:23" x14ac:dyDescent="0.35">
      <c r="A47" s="1" t="s">
        <v>261</v>
      </c>
      <c r="B47" s="1" t="s">
        <v>262</v>
      </c>
      <c r="C47">
        <v>58</v>
      </c>
      <c r="D47" s="1" t="s">
        <v>119</v>
      </c>
      <c r="E47" s="1" t="s">
        <v>263</v>
      </c>
      <c r="F47" s="1" t="s">
        <v>193</v>
      </c>
      <c r="G47" s="1" t="s">
        <v>264</v>
      </c>
      <c r="H47" s="2">
        <v>45529</v>
      </c>
      <c r="I47" s="1" t="s">
        <v>53</v>
      </c>
      <c r="J47" s="1" t="s">
        <v>43</v>
      </c>
      <c r="K47" s="1" t="s">
        <v>33</v>
      </c>
      <c r="L47" s="1" t="s">
        <v>32</v>
      </c>
      <c r="M47" s="1" t="s">
        <v>142</v>
      </c>
      <c r="N47">
        <v>176562.65</v>
      </c>
      <c r="O47">
        <v>38104.160000000003</v>
      </c>
      <c r="P47">
        <v>41095.71</v>
      </c>
      <c r="Q47">
        <v>3</v>
      </c>
      <c r="R47">
        <v>102</v>
      </c>
      <c r="S47">
        <v>4.5</v>
      </c>
      <c r="T47" s="1" t="s">
        <v>33</v>
      </c>
      <c r="U47" s="1" t="s">
        <v>33</v>
      </c>
      <c r="V47" s="1" t="s">
        <v>164</v>
      </c>
      <c r="W47" s="1" t="s">
        <v>83</v>
      </c>
    </row>
    <row r="48" spans="1:23" x14ac:dyDescent="0.35">
      <c r="A48" s="1" t="s">
        <v>265</v>
      </c>
      <c r="B48" s="1" t="s">
        <v>266</v>
      </c>
      <c r="C48">
        <v>89</v>
      </c>
      <c r="D48" s="1" t="s">
        <v>25</v>
      </c>
      <c r="E48" s="1" t="s">
        <v>192</v>
      </c>
      <c r="F48" s="1" t="s">
        <v>227</v>
      </c>
      <c r="G48" s="1" t="s">
        <v>267</v>
      </c>
      <c r="H48" s="2">
        <v>45621</v>
      </c>
      <c r="I48" s="1" t="s">
        <v>168</v>
      </c>
      <c r="J48" s="1" t="s">
        <v>80</v>
      </c>
      <c r="K48" s="1" t="s">
        <v>91</v>
      </c>
      <c r="L48" s="1" t="s">
        <v>66</v>
      </c>
      <c r="M48" s="1" t="s">
        <v>33</v>
      </c>
      <c r="N48">
        <v>79157.570000000007</v>
      </c>
      <c r="O48">
        <v>0</v>
      </c>
      <c r="P48">
        <v>79743.33</v>
      </c>
      <c r="Q48">
        <v>1</v>
      </c>
      <c r="R48">
        <v>154</v>
      </c>
      <c r="S48">
        <v>4.5</v>
      </c>
      <c r="T48" s="1" t="s">
        <v>94</v>
      </c>
      <c r="U48" s="1" t="s">
        <v>95</v>
      </c>
      <c r="V48" s="1" t="s">
        <v>33</v>
      </c>
      <c r="W48" s="1" t="s">
        <v>131</v>
      </c>
    </row>
    <row r="49" spans="1:23" x14ac:dyDescent="0.35">
      <c r="A49" s="1" t="s">
        <v>268</v>
      </c>
      <c r="B49" s="1" t="s">
        <v>269</v>
      </c>
      <c r="C49">
        <v>42</v>
      </c>
      <c r="D49" s="1" t="s">
        <v>33</v>
      </c>
      <c r="E49" s="1" t="s">
        <v>134</v>
      </c>
      <c r="F49" s="1" t="s">
        <v>44</v>
      </c>
      <c r="G49" s="1" t="s">
        <v>270</v>
      </c>
      <c r="H49" s="2">
        <v>45297</v>
      </c>
      <c r="I49" s="1" t="s">
        <v>159</v>
      </c>
      <c r="J49" s="1" t="s">
        <v>54</v>
      </c>
      <c r="K49" s="1" t="s">
        <v>122</v>
      </c>
      <c r="L49" s="1" t="s">
        <v>92</v>
      </c>
      <c r="M49" s="1" t="s">
        <v>142</v>
      </c>
      <c r="N49">
        <v>94384.39</v>
      </c>
      <c r="O49">
        <v>31895.11</v>
      </c>
      <c r="P49">
        <v>24685.15</v>
      </c>
      <c r="Q49">
        <v>4</v>
      </c>
      <c r="R49">
        <v>168</v>
      </c>
      <c r="S49">
        <v>3.5</v>
      </c>
      <c r="T49" s="1" t="s">
        <v>94</v>
      </c>
      <c r="U49" s="1" t="s">
        <v>33</v>
      </c>
      <c r="V49" s="1" t="s">
        <v>130</v>
      </c>
      <c r="W49" s="1" t="s">
        <v>59</v>
      </c>
    </row>
    <row r="50" spans="1:23" x14ac:dyDescent="0.35">
      <c r="A50" s="1" t="s">
        <v>271</v>
      </c>
      <c r="B50" s="1" t="s">
        <v>218</v>
      </c>
      <c r="C50">
        <v>35</v>
      </c>
      <c r="D50" s="1" t="s">
        <v>71</v>
      </c>
      <c r="E50" s="1" t="s">
        <v>192</v>
      </c>
      <c r="F50" s="1" t="s">
        <v>63</v>
      </c>
      <c r="G50" s="1" t="s">
        <v>272</v>
      </c>
      <c r="H50" s="2">
        <v>45938</v>
      </c>
      <c r="I50" s="1" t="s">
        <v>273</v>
      </c>
      <c r="J50" s="1" t="s">
        <v>54</v>
      </c>
      <c r="K50" s="1" t="s">
        <v>128</v>
      </c>
      <c r="L50" s="1" t="s">
        <v>44</v>
      </c>
      <c r="M50" s="1" t="s">
        <v>183</v>
      </c>
      <c r="N50">
        <v>277810.40000000002</v>
      </c>
      <c r="O50">
        <v>15906.89</v>
      </c>
      <c r="P50">
        <v>20333.39</v>
      </c>
      <c r="Q50">
        <v>1</v>
      </c>
      <c r="R50">
        <v>113</v>
      </c>
      <c r="S50">
        <v>4</v>
      </c>
      <c r="T50" s="1" t="s">
        <v>33</v>
      </c>
      <c r="U50" s="1" t="s">
        <v>35</v>
      </c>
      <c r="V50" s="1" t="s">
        <v>33</v>
      </c>
      <c r="W50" s="1" t="s">
        <v>131</v>
      </c>
    </row>
    <row r="51" spans="1:23" x14ac:dyDescent="0.35">
      <c r="A51" s="1" t="s">
        <v>274</v>
      </c>
      <c r="B51" s="1" t="s">
        <v>275</v>
      </c>
      <c r="C51">
        <v>32</v>
      </c>
      <c r="D51" s="1" t="s">
        <v>33</v>
      </c>
      <c r="E51" s="1" t="s">
        <v>40</v>
      </c>
      <c r="F51" s="1" t="s">
        <v>41</v>
      </c>
      <c r="G51" s="1" t="s">
        <v>276</v>
      </c>
      <c r="H51" s="2">
        <v>45788</v>
      </c>
      <c r="I51" s="1" t="s">
        <v>277</v>
      </c>
      <c r="J51" s="1" t="s">
        <v>115</v>
      </c>
      <c r="K51" s="1" t="s">
        <v>31</v>
      </c>
      <c r="L51" s="1" t="s">
        <v>92</v>
      </c>
      <c r="M51" s="1" t="s">
        <v>123</v>
      </c>
      <c r="N51">
        <v>252486.99</v>
      </c>
      <c r="O51">
        <v>0</v>
      </c>
      <c r="P51">
        <v>2776.09</v>
      </c>
      <c r="Q51">
        <v>2</v>
      </c>
      <c r="R51">
        <v>41</v>
      </c>
      <c r="S51">
        <v>3.4</v>
      </c>
      <c r="T51" s="1" t="s">
        <v>154</v>
      </c>
      <c r="U51" s="1" t="s">
        <v>149</v>
      </c>
      <c r="V51" s="1" t="s">
        <v>75</v>
      </c>
      <c r="W51" s="1" t="s">
        <v>12</v>
      </c>
    </row>
    <row r="52" spans="1:23" x14ac:dyDescent="0.35">
      <c r="A52" s="1" t="s">
        <v>278</v>
      </c>
      <c r="B52" s="1" t="s">
        <v>279</v>
      </c>
      <c r="C52">
        <v>75</v>
      </c>
      <c r="D52" s="1" t="s">
        <v>33</v>
      </c>
      <c r="E52" s="1" t="s">
        <v>177</v>
      </c>
      <c r="F52" s="1" t="s">
        <v>41</v>
      </c>
      <c r="G52" s="1" t="s">
        <v>280</v>
      </c>
      <c r="H52" s="2">
        <v>46152</v>
      </c>
      <c r="I52" s="1" t="s">
        <v>33</v>
      </c>
      <c r="J52" s="1" t="s">
        <v>152</v>
      </c>
      <c r="K52" s="1" t="s">
        <v>122</v>
      </c>
      <c r="L52" s="1" t="s">
        <v>92</v>
      </c>
      <c r="M52" s="1" t="s">
        <v>123</v>
      </c>
      <c r="N52">
        <v>340072.35</v>
      </c>
      <c r="O52">
        <v>26001.54</v>
      </c>
      <c r="P52">
        <v>44429.51</v>
      </c>
      <c r="Q52">
        <v>3</v>
      </c>
      <c r="R52">
        <v>19</v>
      </c>
      <c r="S52">
        <v>3.7</v>
      </c>
      <c r="T52" s="1" t="s">
        <v>33</v>
      </c>
      <c r="U52" s="1" t="s">
        <v>33</v>
      </c>
      <c r="V52" s="1" t="s">
        <v>47</v>
      </c>
      <c r="W52" s="1" t="s">
        <v>59</v>
      </c>
    </row>
    <row r="53" spans="1:23" x14ac:dyDescent="0.35">
      <c r="A53" s="1" t="s">
        <v>281</v>
      </c>
      <c r="B53" s="1" t="s">
        <v>282</v>
      </c>
      <c r="C53">
        <v>50</v>
      </c>
      <c r="D53" s="1" t="s">
        <v>39</v>
      </c>
      <c r="E53" s="1" t="s">
        <v>62</v>
      </c>
      <c r="F53" s="1" t="s">
        <v>56</v>
      </c>
      <c r="G53" s="1" t="s">
        <v>283</v>
      </c>
      <c r="H53" s="2">
        <v>45778</v>
      </c>
      <c r="I53" s="1" t="s">
        <v>277</v>
      </c>
      <c r="J53" s="1" t="s">
        <v>137</v>
      </c>
      <c r="K53" s="1" t="s">
        <v>148</v>
      </c>
      <c r="L53" s="1" t="s">
        <v>32</v>
      </c>
      <c r="M53" s="1" t="s">
        <v>123</v>
      </c>
      <c r="N53">
        <v>104187.67</v>
      </c>
      <c r="O53">
        <v>42983.66</v>
      </c>
      <c r="P53">
        <v>90982.17</v>
      </c>
      <c r="Q53">
        <v>2</v>
      </c>
      <c r="R53">
        <v>86</v>
      </c>
      <c r="S53">
        <v>4.2</v>
      </c>
      <c r="T53" s="1" t="s">
        <v>34</v>
      </c>
      <c r="U53" s="1" t="s">
        <v>67</v>
      </c>
      <c r="V53" s="1" t="s">
        <v>75</v>
      </c>
      <c r="W53" s="1" t="s">
        <v>33</v>
      </c>
    </row>
    <row r="54" spans="1:23" x14ac:dyDescent="0.35">
      <c r="A54" s="1" t="s">
        <v>284</v>
      </c>
      <c r="B54" s="1" t="s">
        <v>285</v>
      </c>
      <c r="C54">
        <v>34</v>
      </c>
      <c r="D54" s="1" t="s">
        <v>25</v>
      </c>
      <c r="E54" s="1" t="s">
        <v>33</v>
      </c>
      <c r="F54" s="1" t="s">
        <v>98</v>
      </c>
      <c r="G54" s="1" t="s">
        <v>286</v>
      </c>
      <c r="H54" s="2">
        <v>45455</v>
      </c>
      <c r="I54" s="1" t="s">
        <v>29</v>
      </c>
      <c r="J54" s="1" t="s">
        <v>152</v>
      </c>
      <c r="K54" s="1" t="s">
        <v>81</v>
      </c>
      <c r="L54" s="1" t="s">
        <v>33</v>
      </c>
      <c r="M54" s="1" t="s">
        <v>129</v>
      </c>
      <c r="N54">
        <v>251372.95</v>
      </c>
      <c r="O54">
        <v>30314.81</v>
      </c>
      <c r="P54">
        <v>47930.28</v>
      </c>
      <c r="Q54">
        <v>5</v>
      </c>
      <c r="R54">
        <v>37</v>
      </c>
      <c r="T54" s="1" t="s">
        <v>154</v>
      </c>
      <c r="U54" s="1" t="s">
        <v>35</v>
      </c>
      <c r="V54" s="1" t="s">
        <v>47</v>
      </c>
      <c r="W54" s="1" t="s">
        <v>33</v>
      </c>
    </row>
    <row r="55" spans="1:23" x14ac:dyDescent="0.35">
      <c r="A55" s="1" t="s">
        <v>287</v>
      </c>
      <c r="B55" s="1" t="s">
        <v>288</v>
      </c>
      <c r="C55">
        <v>74</v>
      </c>
      <c r="D55" s="1" t="s">
        <v>71</v>
      </c>
      <c r="E55" s="1" t="s">
        <v>107</v>
      </c>
      <c r="F55" s="1" t="s">
        <v>108</v>
      </c>
      <c r="G55" s="1" t="s">
        <v>289</v>
      </c>
      <c r="H55" s="2">
        <v>45366</v>
      </c>
      <c r="I55" s="1" t="s">
        <v>221</v>
      </c>
      <c r="J55" s="1" t="s">
        <v>115</v>
      </c>
      <c r="K55" s="1" t="s">
        <v>55</v>
      </c>
      <c r="L55" s="1" t="s">
        <v>33</v>
      </c>
      <c r="M55" s="1" t="s">
        <v>33</v>
      </c>
      <c r="N55">
        <v>354297.92</v>
      </c>
      <c r="O55">
        <v>83829.56</v>
      </c>
      <c r="P55">
        <v>21979.57</v>
      </c>
      <c r="Q55">
        <v>4</v>
      </c>
      <c r="R55">
        <v>160</v>
      </c>
      <c r="S55">
        <v>3.9</v>
      </c>
      <c r="T55" s="1" t="s">
        <v>33</v>
      </c>
      <c r="U55" s="1" t="s">
        <v>35</v>
      </c>
      <c r="V55" s="1" t="s">
        <v>33</v>
      </c>
      <c r="W55" s="1" t="s">
        <v>83</v>
      </c>
    </row>
    <row r="56" spans="1:23" x14ac:dyDescent="0.35">
      <c r="A56" s="1" t="s">
        <v>290</v>
      </c>
      <c r="B56" s="1" t="s">
        <v>291</v>
      </c>
      <c r="C56">
        <v>25</v>
      </c>
      <c r="D56" s="1" t="s">
        <v>78</v>
      </c>
      <c r="E56" s="1" t="s">
        <v>40</v>
      </c>
      <c r="F56" s="1" t="s">
        <v>145</v>
      </c>
      <c r="G56" s="1" t="s">
        <v>292</v>
      </c>
      <c r="H56" s="2">
        <v>45747</v>
      </c>
      <c r="I56" s="1" t="s">
        <v>168</v>
      </c>
      <c r="J56" s="1" t="s">
        <v>90</v>
      </c>
      <c r="K56" s="1" t="s">
        <v>116</v>
      </c>
      <c r="L56" s="1" t="s">
        <v>33</v>
      </c>
      <c r="M56" s="1" t="s">
        <v>45</v>
      </c>
      <c r="N56">
        <v>102438.94</v>
      </c>
      <c r="O56">
        <v>15015.18</v>
      </c>
      <c r="P56">
        <v>0</v>
      </c>
      <c r="Q56">
        <v>14</v>
      </c>
      <c r="R56">
        <v>55</v>
      </c>
      <c r="S56">
        <v>2.7</v>
      </c>
      <c r="T56" s="1" t="s">
        <v>33</v>
      </c>
      <c r="U56" s="1" t="s">
        <v>149</v>
      </c>
      <c r="V56" s="1" t="s">
        <v>75</v>
      </c>
      <c r="W56" s="1" t="s">
        <v>179</v>
      </c>
    </row>
    <row r="57" spans="1:23" x14ac:dyDescent="0.35">
      <c r="A57" s="1" t="s">
        <v>293</v>
      </c>
      <c r="B57" s="1" t="s">
        <v>294</v>
      </c>
      <c r="C57">
        <v>50</v>
      </c>
      <c r="D57" s="1" t="s">
        <v>119</v>
      </c>
      <c r="E57" s="1" t="s">
        <v>203</v>
      </c>
      <c r="F57" s="1" t="s">
        <v>63</v>
      </c>
      <c r="G57" s="1" t="s">
        <v>295</v>
      </c>
      <c r="H57" s="2">
        <v>45556</v>
      </c>
      <c r="I57" s="1" t="s">
        <v>100</v>
      </c>
      <c r="J57" s="1" t="s">
        <v>87</v>
      </c>
      <c r="K57" s="1" t="s">
        <v>91</v>
      </c>
      <c r="L57" s="1" t="s">
        <v>66</v>
      </c>
      <c r="M57" s="1" t="s">
        <v>82</v>
      </c>
      <c r="N57">
        <v>482663.92</v>
      </c>
      <c r="O57">
        <v>53760.6</v>
      </c>
      <c r="P57">
        <v>27692.89</v>
      </c>
      <c r="Q57">
        <v>3</v>
      </c>
      <c r="R57">
        <v>27</v>
      </c>
      <c r="S57">
        <v>4.3</v>
      </c>
      <c r="T57" s="1" t="s">
        <v>94</v>
      </c>
      <c r="U57" s="1" t="s">
        <v>33</v>
      </c>
      <c r="V57" s="1" t="s">
        <v>164</v>
      </c>
      <c r="W57" s="1" t="s">
        <v>33</v>
      </c>
    </row>
    <row r="58" spans="1:23" x14ac:dyDescent="0.35">
      <c r="A58" s="1" t="s">
        <v>296</v>
      </c>
      <c r="B58" s="1" t="s">
        <v>297</v>
      </c>
      <c r="C58">
        <v>83</v>
      </c>
      <c r="D58" s="1" t="s">
        <v>50</v>
      </c>
      <c r="E58" s="1" t="s">
        <v>26</v>
      </c>
      <c r="F58" s="1" t="s">
        <v>33</v>
      </c>
      <c r="G58" s="1" t="s">
        <v>298</v>
      </c>
      <c r="H58" s="2">
        <v>45595</v>
      </c>
      <c r="I58" s="1" t="s">
        <v>89</v>
      </c>
      <c r="J58" s="1" t="s">
        <v>242</v>
      </c>
      <c r="K58" s="1" t="s">
        <v>148</v>
      </c>
      <c r="L58" s="1" t="s">
        <v>92</v>
      </c>
      <c r="M58" s="1" t="s">
        <v>33</v>
      </c>
      <c r="N58">
        <v>385121.62</v>
      </c>
      <c r="O58">
        <v>18270.61</v>
      </c>
      <c r="P58">
        <v>0</v>
      </c>
      <c r="Q58">
        <v>1</v>
      </c>
      <c r="R58">
        <v>196</v>
      </c>
      <c r="S58">
        <v>3.6</v>
      </c>
      <c r="T58" s="1" t="s">
        <v>46</v>
      </c>
      <c r="U58" s="1" t="s">
        <v>95</v>
      </c>
      <c r="V58" s="1" t="s">
        <v>33</v>
      </c>
      <c r="W58" s="1" t="s">
        <v>12</v>
      </c>
    </row>
    <row r="59" spans="1:23" x14ac:dyDescent="0.35">
      <c r="A59" s="1" t="s">
        <v>299</v>
      </c>
      <c r="B59" s="1" t="s">
        <v>300</v>
      </c>
      <c r="C59">
        <v>7</v>
      </c>
      <c r="D59" s="1" t="s">
        <v>78</v>
      </c>
      <c r="E59" s="1" t="s">
        <v>157</v>
      </c>
      <c r="F59" s="1" t="s">
        <v>56</v>
      </c>
      <c r="G59" s="1" t="s">
        <v>301</v>
      </c>
      <c r="H59" s="2">
        <v>46037</v>
      </c>
      <c r="I59" s="1" t="s">
        <v>53</v>
      </c>
      <c r="J59" s="1" t="s">
        <v>242</v>
      </c>
      <c r="K59" s="1" t="s">
        <v>33</v>
      </c>
      <c r="L59" s="1" t="s">
        <v>56</v>
      </c>
      <c r="M59" s="1" t="s">
        <v>169</v>
      </c>
      <c r="N59">
        <v>136087.5</v>
      </c>
      <c r="O59">
        <v>30131.09</v>
      </c>
      <c r="P59">
        <v>46409.42</v>
      </c>
      <c r="Q59">
        <v>7</v>
      </c>
      <c r="R59">
        <v>61</v>
      </c>
      <c r="S59">
        <v>4.5</v>
      </c>
      <c r="T59" s="1" t="s">
        <v>94</v>
      </c>
      <c r="U59" s="1" t="s">
        <v>67</v>
      </c>
      <c r="V59" s="1" t="s">
        <v>102</v>
      </c>
      <c r="W59" s="1" t="s">
        <v>131</v>
      </c>
    </row>
    <row r="60" spans="1:23" x14ac:dyDescent="0.35">
      <c r="A60" s="1" t="s">
        <v>302</v>
      </c>
      <c r="B60" s="1" t="s">
        <v>303</v>
      </c>
      <c r="C60">
        <v>39</v>
      </c>
      <c r="D60" s="1" t="s">
        <v>50</v>
      </c>
      <c r="E60" s="1" t="s">
        <v>192</v>
      </c>
      <c r="F60" s="1" t="s">
        <v>63</v>
      </c>
      <c r="G60" s="1" t="s">
        <v>304</v>
      </c>
      <c r="H60" s="2">
        <v>45667</v>
      </c>
      <c r="I60" s="1" t="s">
        <v>33</v>
      </c>
      <c r="J60" s="1" t="s">
        <v>43</v>
      </c>
      <c r="K60" s="1" t="s">
        <v>153</v>
      </c>
      <c r="L60" s="1" t="s">
        <v>33</v>
      </c>
      <c r="M60" s="1" t="s">
        <v>74</v>
      </c>
      <c r="N60">
        <v>236841.39</v>
      </c>
      <c r="O60">
        <v>42860.97</v>
      </c>
      <c r="P60">
        <v>66348.45</v>
      </c>
      <c r="Q60">
        <v>1</v>
      </c>
      <c r="R60">
        <v>10</v>
      </c>
      <c r="S60">
        <v>1.7</v>
      </c>
      <c r="T60" s="1" t="s">
        <v>46</v>
      </c>
      <c r="U60" s="1" t="s">
        <v>35</v>
      </c>
      <c r="V60" s="1" t="s">
        <v>33</v>
      </c>
      <c r="W60" s="1" t="s">
        <v>131</v>
      </c>
    </row>
    <row r="61" spans="1:23" x14ac:dyDescent="0.35">
      <c r="A61" s="1" t="s">
        <v>305</v>
      </c>
      <c r="B61" s="1" t="s">
        <v>306</v>
      </c>
      <c r="C61">
        <v>50</v>
      </c>
      <c r="D61" s="1" t="s">
        <v>106</v>
      </c>
      <c r="E61" s="1" t="s">
        <v>86</v>
      </c>
      <c r="F61" s="1" t="s">
        <v>98</v>
      </c>
      <c r="G61" s="1" t="s">
        <v>307</v>
      </c>
      <c r="H61" s="2">
        <v>45869</v>
      </c>
      <c r="I61" s="1" t="s">
        <v>89</v>
      </c>
      <c r="J61" s="1" t="s">
        <v>141</v>
      </c>
      <c r="K61" s="1" t="s">
        <v>153</v>
      </c>
      <c r="L61" s="1" t="s">
        <v>92</v>
      </c>
      <c r="M61" s="1" t="s">
        <v>57</v>
      </c>
      <c r="N61">
        <v>115211.88</v>
      </c>
      <c r="O61">
        <v>68778.8</v>
      </c>
      <c r="P61">
        <v>48470.239999999998</v>
      </c>
      <c r="Q61">
        <v>7</v>
      </c>
      <c r="R61">
        <v>183</v>
      </c>
      <c r="S61">
        <v>3.8</v>
      </c>
      <c r="T61" s="1" t="s">
        <v>33</v>
      </c>
      <c r="U61" s="1" t="s">
        <v>67</v>
      </c>
      <c r="V61" s="1" t="s">
        <v>164</v>
      </c>
      <c r="W61" s="1" t="s">
        <v>179</v>
      </c>
    </row>
    <row r="62" spans="1:23" x14ac:dyDescent="0.35">
      <c r="A62" s="1" t="s">
        <v>308</v>
      </c>
      <c r="B62" s="1" t="s">
        <v>309</v>
      </c>
      <c r="C62">
        <v>81</v>
      </c>
      <c r="D62" s="1" t="s">
        <v>71</v>
      </c>
      <c r="E62" s="1" t="s">
        <v>86</v>
      </c>
      <c r="F62" s="1" t="s">
        <v>56</v>
      </c>
      <c r="G62" s="1" t="s">
        <v>310</v>
      </c>
      <c r="H62" s="2">
        <v>45640</v>
      </c>
      <c r="I62" s="1" t="s">
        <v>53</v>
      </c>
      <c r="J62" s="1" t="s">
        <v>33</v>
      </c>
      <c r="K62" s="1" t="s">
        <v>208</v>
      </c>
      <c r="L62" s="1" t="s">
        <v>66</v>
      </c>
      <c r="M62" s="1" t="s">
        <v>33</v>
      </c>
      <c r="N62">
        <v>185145.02</v>
      </c>
      <c r="O62">
        <v>54289.27</v>
      </c>
      <c r="P62">
        <v>64361.279999999999</v>
      </c>
      <c r="Q62">
        <v>13</v>
      </c>
      <c r="R62">
        <v>197</v>
      </c>
      <c r="S62">
        <v>2.4</v>
      </c>
      <c r="T62" s="1" t="s">
        <v>34</v>
      </c>
      <c r="U62" s="1" t="s">
        <v>35</v>
      </c>
      <c r="V62" s="1" t="s">
        <v>102</v>
      </c>
      <c r="W62" s="1" t="s">
        <v>36</v>
      </c>
    </row>
    <row r="63" spans="1:23" x14ac:dyDescent="0.35">
      <c r="A63" s="1" t="s">
        <v>311</v>
      </c>
      <c r="B63" s="1" t="s">
        <v>312</v>
      </c>
      <c r="C63">
        <v>66</v>
      </c>
      <c r="D63" s="1" t="s">
        <v>39</v>
      </c>
      <c r="E63" s="1" t="s">
        <v>177</v>
      </c>
      <c r="F63" s="1" t="s">
        <v>87</v>
      </c>
      <c r="G63" s="1" t="s">
        <v>313</v>
      </c>
      <c r="H63" s="2">
        <v>45676</v>
      </c>
      <c r="I63" s="1" t="s">
        <v>127</v>
      </c>
      <c r="J63" s="1" t="s">
        <v>33</v>
      </c>
      <c r="K63" s="1" t="s">
        <v>91</v>
      </c>
      <c r="L63" s="1" t="s">
        <v>92</v>
      </c>
      <c r="M63" s="1" t="s">
        <v>129</v>
      </c>
      <c r="N63">
        <v>0</v>
      </c>
      <c r="O63">
        <v>418.54</v>
      </c>
      <c r="P63">
        <v>0</v>
      </c>
      <c r="Q63">
        <v>5</v>
      </c>
      <c r="R63">
        <v>74</v>
      </c>
      <c r="S63">
        <v>4.5999999999999996</v>
      </c>
      <c r="T63" s="1" t="s">
        <v>154</v>
      </c>
      <c r="U63" s="1" t="s">
        <v>95</v>
      </c>
      <c r="V63" s="1" t="s">
        <v>47</v>
      </c>
      <c r="W63" s="1" t="s">
        <v>59</v>
      </c>
    </row>
    <row r="64" spans="1:23" x14ac:dyDescent="0.35">
      <c r="A64" s="1" t="s">
        <v>314</v>
      </c>
      <c r="B64" s="1" t="s">
        <v>315</v>
      </c>
      <c r="C64">
        <v>44</v>
      </c>
      <c r="D64" s="1" t="s">
        <v>106</v>
      </c>
      <c r="E64" s="1" t="s">
        <v>51</v>
      </c>
      <c r="F64" s="1" t="s">
        <v>87</v>
      </c>
      <c r="G64" s="1" t="s">
        <v>316</v>
      </c>
      <c r="H64" s="2">
        <v>45961</v>
      </c>
      <c r="I64" s="1" t="s">
        <v>29</v>
      </c>
      <c r="J64" s="1" t="s">
        <v>30</v>
      </c>
      <c r="K64" s="1" t="s">
        <v>55</v>
      </c>
      <c r="L64" s="1" t="s">
        <v>33</v>
      </c>
      <c r="M64" s="1" t="s">
        <v>142</v>
      </c>
      <c r="N64">
        <v>448006.18</v>
      </c>
      <c r="O64">
        <v>0</v>
      </c>
      <c r="P64">
        <v>0</v>
      </c>
      <c r="Q64">
        <v>9</v>
      </c>
      <c r="R64">
        <v>90</v>
      </c>
      <c r="S64">
        <v>4.2</v>
      </c>
      <c r="T64" s="1" t="s">
        <v>94</v>
      </c>
      <c r="U64" s="1" t="s">
        <v>101</v>
      </c>
      <c r="V64" s="1" t="s">
        <v>130</v>
      </c>
      <c r="W64" s="1" t="s">
        <v>36</v>
      </c>
    </row>
    <row r="65" spans="1:23" x14ac:dyDescent="0.35">
      <c r="A65" s="1" t="s">
        <v>317</v>
      </c>
      <c r="B65" s="1" t="s">
        <v>318</v>
      </c>
      <c r="C65">
        <v>0</v>
      </c>
      <c r="D65" s="1" t="s">
        <v>71</v>
      </c>
      <c r="E65" s="1" t="s">
        <v>40</v>
      </c>
      <c r="F65" s="1" t="s">
        <v>227</v>
      </c>
      <c r="G65" s="1" t="s">
        <v>319</v>
      </c>
      <c r="H65" s="2">
        <v>45895</v>
      </c>
      <c r="I65" s="1" t="s">
        <v>277</v>
      </c>
      <c r="J65" s="1" t="s">
        <v>43</v>
      </c>
      <c r="K65" s="1" t="s">
        <v>81</v>
      </c>
      <c r="L65" s="1" t="s">
        <v>44</v>
      </c>
      <c r="M65" s="1" t="s">
        <v>93</v>
      </c>
      <c r="N65">
        <v>207523.19</v>
      </c>
      <c r="O65">
        <v>0</v>
      </c>
      <c r="P65">
        <v>65090.18</v>
      </c>
      <c r="Q65">
        <v>3</v>
      </c>
      <c r="R65">
        <v>122</v>
      </c>
      <c r="S65">
        <v>2.5</v>
      </c>
      <c r="T65" s="1" t="s">
        <v>94</v>
      </c>
      <c r="U65" s="1" t="s">
        <v>149</v>
      </c>
      <c r="V65" s="1" t="s">
        <v>102</v>
      </c>
      <c r="W65" s="1" t="s">
        <v>33</v>
      </c>
    </row>
    <row r="66" spans="1:23" x14ac:dyDescent="0.35">
      <c r="A66" s="1" t="s">
        <v>320</v>
      </c>
      <c r="B66" s="1" t="s">
        <v>321</v>
      </c>
      <c r="C66">
        <v>19</v>
      </c>
      <c r="D66" s="1" t="s">
        <v>106</v>
      </c>
      <c r="E66" s="1" t="s">
        <v>26</v>
      </c>
      <c r="F66" s="1" t="s">
        <v>135</v>
      </c>
      <c r="G66" s="1" t="s">
        <v>322</v>
      </c>
      <c r="H66" s="2">
        <v>45537</v>
      </c>
      <c r="I66" s="1" t="s">
        <v>29</v>
      </c>
      <c r="J66" s="1" t="s">
        <v>141</v>
      </c>
      <c r="K66" s="1" t="s">
        <v>163</v>
      </c>
      <c r="L66" s="1" t="s">
        <v>33</v>
      </c>
      <c r="M66" s="1" t="s">
        <v>129</v>
      </c>
      <c r="N66">
        <v>211224.93</v>
      </c>
      <c r="O66">
        <v>53878.559999999998</v>
      </c>
      <c r="P66">
        <v>15428.22</v>
      </c>
      <c r="Q66">
        <v>2</v>
      </c>
      <c r="R66">
        <v>132</v>
      </c>
      <c r="S66">
        <v>3</v>
      </c>
      <c r="T66" s="1" t="s">
        <v>154</v>
      </c>
      <c r="U66" s="1" t="s">
        <v>35</v>
      </c>
      <c r="V66" s="1" t="s">
        <v>75</v>
      </c>
      <c r="W66" s="1" t="s">
        <v>33</v>
      </c>
    </row>
    <row r="67" spans="1:23" x14ac:dyDescent="0.35">
      <c r="A67" s="1" t="s">
        <v>323</v>
      </c>
      <c r="B67" s="1" t="s">
        <v>111</v>
      </c>
      <c r="C67">
        <v>40</v>
      </c>
      <c r="D67" s="1" t="s">
        <v>50</v>
      </c>
      <c r="E67" s="1" t="s">
        <v>203</v>
      </c>
      <c r="F67" s="1" t="s">
        <v>56</v>
      </c>
      <c r="G67" s="1" t="s">
        <v>324</v>
      </c>
      <c r="H67" s="2">
        <v>46037</v>
      </c>
      <c r="I67" s="1" t="s">
        <v>273</v>
      </c>
      <c r="J67" s="1" t="s">
        <v>141</v>
      </c>
      <c r="K67" s="1" t="s">
        <v>91</v>
      </c>
      <c r="L67" s="1" t="s">
        <v>33</v>
      </c>
      <c r="M67" s="1" t="s">
        <v>129</v>
      </c>
      <c r="N67">
        <v>75066.070000000007</v>
      </c>
      <c r="O67">
        <v>16158.77</v>
      </c>
      <c r="P67">
        <v>9063.66</v>
      </c>
      <c r="Q67">
        <v>1</v>
      </c>
      <c r="R67">
        <v>242</v>
      </c>
      <c r="S67">
        <v>3.7</v>
      </c>
      <c r="T67" s="1" t="s">
        <v>34</v>
      </c>
      <c r="U67" s="1" t="s">
        <v>35</v>
      </c>
      <c r="V67" s="1" t="s">
        <v>33</v>
      </c>
      <c r="W67" s="1" t="s">
        <v>33</v>
      </c>
    </row>
    <row r="68" spans="1:23" x14ac:dyDescent="0.35">
      <c r="A68" s="1" t="s">
        <v>325</v>
      </c>
      <c r="B68" s="1" t="s">
        <v>294</v>
      </c>
      <c r="C68">
        <v>47</v>
      </c>
      <c r="D68" s="1" t="s">
        <v>106</v>
      </c>
      <c r="E68" s="1" t="s">
        <v>62</v>
      </c>
      <c r="F68" s="1" t="s">
        <v>193</v>
      </c>
      <c r="G68" s="1" t="s">
        <v>326</v>
      </c>
      <c r="H68" s="2">
        <v>45854</v>
      </c>
      <c r="I68" s="1" t="s">
        <v>33</v>
      </c>
      <c r="J68" s="1" t="s">
        <v>242</v>
      </c>
      <c r="K68" s="1" t="s">
        <v>91</v>
      </c>
      <c r="L68" s="1" t="s">
        <v>92</v>
      </c>
      <c r="M68" s="1" t="s">
        <v>82</v>
      </c>
      <c r="N68">
        <v>204274.07</v>
      </c>
      <c r="O68">
        <v>24475.759999999998</v>
      </c>
      <c r="P68">
        <v>63425</v>
      </c>
      <c r="Q68">
        <v>1</v>
      </c>
      <c r="R68">
        <v>151</v>
      </c>
      <c r="S68">
        <v>3</v>
      </c>
      <c r="T68" s="1" t="s">
        <v>33</v>
      </c>
      <c r="U68" s="1" t="s">
        <v>35</v>
      </c>
      <c r="V68" s="1" t="s">
        <v>75</v>
      </c>
      <c r="W68" s="1" t="s">
        <v>33</v>
      </c>
    </row>
    <row r="69" spans="1:23" x14ac:dyDescent="0.35">
      <c r="A69" s="1" t="s">
        <v>327</v>
      </c>
      <c r="B69" s="1" t="s">
        <v>328</v>
      </c>
      <c r="C69">
        <v>36</v>
      </c>
      <c r="D69" s="1" t="s">
        <v>25</v>
      </c>
      <c r="E69" s="1" t="s">
        <v>72</v>
      </c>
      <c r="F69" s="1" t="s">
        <v>87</v>
      </c>
      <c r="G69" s="1" t="s">
        <v>329</v>
      </c>
      <c r="H69" s="2">
        <v>45719</v>
      </c>
      <c r="I69" s="1" t="s">
        <v>235</v>
      </c>
      <c r="J69" s="1" t="s">
        <v>65</v>
      </c>
      <c r="K69" s="1" t="s">
        <v>153</v>
      </c>
      <c r="L69" s="1" t="s">
        <v>66</v>
      </c>
      <c r="M69" s="1" t="s">
        <v>45</v>
      </c>
      <c r="N69">
        <v>0</v>
      </c>
      <c r="O69">
        <v>0</v>
      </c>
      <c r="P69">
        <v>86006.23</v>
      </c>
      <c r="Q69">
        <v>2</v>
      </c>
      <c r="R69">
        <v>218</v>
      </c>
      <c r="S69">
        <v>3.4</v>
      </c>
      <c r="T69" s="1" t="s">
        <v>34</v>
      </c>
      <c r="U69" s="1" t="s">
        <v>33</v>
      </c>
      <c r="V69" s="1" t="s">
        <v>75</v>
      </c>
      <c r="W69" s="1" t="s">
        <v>131</v>
      </c>
    </row>
    <row r="70" spans="1:23" x14ac:dyDescent="0.35">
      <c r="A70" s="1" t="s">
        <v>330</v>
      </c>
      <c r="B70" s="1" t="s">
        <v>331</v>
      </c>
      <c r="C70">
        <v>49</v>
      </c>
      <c r="D70" s="1" t="s">
        <v>106</v>
      </c>
      <c r="E70" s="1" t="s">
        <v>157</v>
      </c>
      <c r="F70" s="1" t="s">
        <v>87</v>
      </c>
      <c r="G70" s="1" t="s">
        <v>319</v>
      </c>
      <c r="H70" s="2">
        <v>45896</v>
      </c>
      <c r="I70" s="1" t="s">
        <v>173</v>
      </c>
      <c r="J70" s="1" t="s">
        <v>33</v>
      </c>
      <c r="K70" s="1" t="s">
        <v>116</v>
      </c>
      <c r="L70" s="1" t="s">
        <v>33</v>
      </c>
      <c r="M70" s="1" t="s">
        <v>129</v>
      </c>
      <c r="N70">
        <v>651043.31000000006</v>
      </c>
      <c r="O70">
        <v>57989.37</v>
      </c>
      <c r="P70">
        <v>41162.47</v>
      </c>
      <c r="Q70">
        <v>4</v>
      </c>
      <c r="R70">
        <v>23</v>
      </c>
      <c r="S70">
        <v>1.6</v>
      </c>
      <c r="T70" s="1" t="s">
        <v>94</v>
      </c>
      <c r="U70" s="1" t="s">
        <v>95</v>
      </c>
      <c r="V70" s="1" t="s">
        <v>164</v>
      </c>
      <c r="W70" s="1" t="s">
        <v>12</v>
      </c>
    </row>
    <row r="71" spans="1:23" x14ac:dyDescent="0.35">
      <c r="A71" s="1" t="s">
        <v>332</v>
      </c>
      <c r="B71" s="1" t="s">
        <v>333</v>
      </c>
      <c r="C71">
        <v>26</v>
      </c>
      <c r="D71" s="1" t="s">
        <v>106</v>
      </c>
      <c r="E71" s="1" t="s">
        <v>157</v>
      </c>
      <c r="F71" s="1" t="s">
        <v>98</v>
      </c>
      <c r="G71" s="1" t="s">
        <v>334</v>
      </c>
      <c r="H71" s="2">
        <v>45653</v>
      </c>
      <c r="I71" s="1" t="s">
        <v>29</v>
      </c>
      <c r="J71" s="1" t="s">
        <v>90</v>
      </c>
      <c r="K71" s="1" t="s">
        <v>31</v>
      </c>
      <c r="L71" s="1" t="s">
        <v>33</v>
      </c>
      <c r="M71" s="1" t="s">
        <v>129</v>
      </c>
      <c r="N71">
        <v>20884.48</v>
      </c>
      <c r="O71">
        <v>13835.68</v>
      </c>
      <c r="P71">
        <v>12553.56</v>
      </c>
      <c r="Q71">
        <v>3</v>
      </c>
      <c r="R71">
        <v>221</v>
      </c>
      <c r="S71">
        <v>4.8</v>
      </c>
      <c r="T71" s="1" t="s">
        <v>46</v>
      </c>
      <c r="U71" s="1" t="s">
        <v>95</v>
      </c>
      <c r="V71" s="1" t="s">
        <v>164</v>
      </c>
      <c r="W71" s="1" t="s">
        <v>36</v>
      </c>
    </row>
    <row r="72" spans="1:23" x14ac:dyDescent="0.35">
      <c r="A72" s="1" t="s">
        <v>335</v>
      </c>
      <c r="B72" s="1" t="s">
        <v>210</v>
      </c>
      <c r="C72">
        <v>75</v>
      </c>
      <c r="D72" s="1" t="s">
        <v>39</v>
      </c>
      <c r="E72" s="1" t="s">
        <v>86</v>
      </c>
      <c r="F72" s="1" t="s">
        <v>135</v>
      </c>
      <c r="G72" s="1" t="s">
        <v>336</v>
      </c>
      <c r="H72" s="2">
        <v>45441</v>
      </c>
      <c r="I72" s="1" t="s">
        <v>273</v>
      </c>
      <c r="J72" s="1" t="s">
        <v>87</v>
      </c>
      <c r="K72" s="1" t="s">
        <v>208</v>
      </c>
      <c r="L72" s="1" t="s">
        <v>92</v>
      </c>
      <c r="M72" s="1" t="s">
        <v>183</v>
      </c>
      <c r="N72">
        <v>230831.56</v>
      </c>
      <c r="O72">
        <v>8467.89</v>
      </c>
      <c r="P72">
        <v>90693.72</v>
      </c>
      <c r="Q72">
        <v>3</v>
      </c>
      <c r="R72">
        <v>135</v>
      </c>
      <c r="S72">
        <v>2.4</v>
      </c>
      <c r="T72" s="1" t="s">
        <v>46</v>
      </c>
      <c r="U72" s="1" t="s">
        <v>33</v>
      </c>
      <c r="V72" s="1" t="s">
        <v>33</v>
      </c>
      <c r="W72" s="1" t="s">
        <v>103</v>
      </c>
    </row>
    <row r="73" spans="1:23" x14ac:dyDescent="0.35">
      <c r="A73" s="1" t="s">
        <v>337</v>
      </c>
      <c r="B73" s="1" t="s">
        <v>338</v>
      </c>
      <c r="C73">
        <v>23</v>
      </c>
      <c r="D73" s="1" t="s">
        <v>78</v>
      </c>
      <c r="E73" s="1" t="s">
        <v>192</v>
      </c>
      <c r="F73" s="1" t="s">
        <v>98</v>
      </c>
      <c r="G73" s="1" t="s">
        <v>339</v>
      </c>
      <c r="H73" s="2">
        <v>45347</v>
      </c>
      <c r="I73" s="1" t="s">
        <v>53</v>
      </c>
      <c r="J73" s="1" t="s">
        <v>65</v>
      </c>
      <c r="K73" s="1" t="s">
        <v>55</v>
      </c>
      <c r="L73" s="1" t="s">
        <v>66</v>
      </c>
      <c r="M73" s="1" t="s">
        <v>142</v>
      </c>
      <c r="N73">
        <v>26408.04</v>
      </c>
      <c r="O73">
        <v>53154.44</v>
      </c>
      <c r="P73">
        <v>102282.5</v>
      </c>
      <c r="Q73">
        <v>2</v>
      </c>
      <c r="R73">
        <v>0</v>
      </c>
      <c r="S73">
        <v>4.4000000000000004</v>
      </c>
      <c r="T73" s="1" t="s">
        <v>154</v>
      </c>
      <c r="U73" s="1" t="s">
        <v>33</v>
      </c>
      <c r="V73" s="1" t="s">
        <v>33</v>
      </c>
      <c r="W73" s="1" t="s">
        <v>33</v>
      </c>
    </row>
    <row r="74" spans="1:23" x14ac:dyDescent="0.35">
      <c r="A74" s="1" t="s">
        <v>340</v>
      </c>
      <c r="B74" s="1" t="s">
        <v>341</v>
      </c>
      <c r="C74">
        <v>32</v>
      </c>
      <c r="D74" s="1" t="s">
        <v>33</v>
      </c>
      <c r="E74" s="1" t="s">
        <v>33</v>
      </c>
      <c r="F74" s="1" t="s">
        <v>56</v>
      </c>
      <c r="G74" s="1" t="s">
        <v>342</v>
      </c>
      <c r="H74" s="2">
        <v>45988</v>
      </c>
      <c r="I74" s="1" t="s">
        <v>114</v>
      </c>
      <c r="J74" s="1" t="s">
        <v>141</v>
      </c>
      <c r="K74" s="1" t="s">
        <v>31</v>
      </c>
      <c r="L74" s="1" t="s">
        <v>56</v>
      </c>
      <c r="M74" s="1" t="s">
        <v>82</v>
      </c>
      <c r="N74">
        <v>137064.85</v>
      </c>
      <c r="O74">
        <v>8400.23</v>
      </c>
      <c r="P74">
        <v>46455.65</v>
      </c>
      <c r="Q74">
        <v>2</v>
      </c>
      <c r="R74">
        <v>32</v>
      </c>
      <c r="S74">
        <v>4.0999999999999996</v>
      </c>
      <c r="T74" s="1" t="s">
        <v>46</v>
      </c>
      <c r="U74" s="1" t="s">
        <v>95</v>
      </c>
      <c r="V74" s="1" t="s">
        <v>68</v>
      </c>
      <c r="W74" s="1" t="s">
        <v>12</v>
      </c>
    </row>
    <row r="75" spans="1:23" x14ac:dyDescent="0.35">
      <c r="A75" s="1" t="s">
        <v>343</v>
      </c>
      <c r="B75" s="1" t="s">
        <v>344</v>
      </c>
      <c r="C75">
        <v>37</v>
      </c>
      <c r="D75" s="1" t="s">
        <v>78</v>
      </c>
      <c r="E75" s="1" t="s">
        <v>62</v>
      </c>
      <c r="F75" s="1" t="s">
        <v>145</v>
      </c>
      <c r="G75" s="1" t="s">
        <v>345</v>
      </c>
      <c r="H75" s="2">
        <v>45474</v>
      </c>
      <c r="I75" s="1" t="s">
        <v>257</v>
      </c>
      <c r="J75" s="1" t="s">
        <v>54</v>
      </c>
      <c r="K75" s="1" t="s">
        <v>174</v>
      </c>
      <c r="L75" s="1" t="s">
        <v>33</v>
      </c>
      <c r="M75" s="1" t="s">
        <v>33</v>
      </c>
      <c r="N75">
        <v>92941.09</v>
      </c>
      <c r="O75">
        <v>15580.72</v>
      </c>
      <c r="P75">
        <v>67661.740000000005</v>
      </c>
      <c r="Q75">
        <v>3</v>
      </c>
      <c r="R75">
        <v>132</v>
      </c>
      <c r="S75">
        <v>2.4</v>
      </c>
      <c r="T75" s="1" t="s">
        <v>33</v>
      </c>
      <c r="U75" s="1" t="s">
        <v>67</v>
      </c>
      <c r="V75" s="1" t="s">
        <v>75</v>
      </c>
      <c r="W75" s="1" t="s">
        <v>179</v>
      </c>
    </row>
    <row r="76" spans="1:23" x14ac:dyDescent="0.35">
      <c r="A76" s="1" t="s">
        <v>346</v>
      </c>
      <c r="B76" s="1" t="s">
        <v>347</v>
      </c>
      <c r="C76">
        <v>59</v>
      </c>
      <c r="D76" s="1" t="s">
        <v>39</v>
      </c>
      <c r="E76" s="1" t="s">
        <v>134</v>
      </c>
      <c r="F76" s="1" t="s">
        <v>63</v>
      </c>
      <c r="G76" s="1" t="s">
        <v>348</v>
      </c>
      <c r="H76" s="2">
        <v>45882</v>
      </c>
      <c r="I76" s="1" t="s">
        <v>127</v>
      </c>
      <c r="J76" s="1" t="s">
        <v>115</v>
      </c>
      <c r="K76" s="1" t="s">
        <v>148</v>
      </c>
      <c r="L76" s="1" t="s">
        <v>66</v>
      </c>
      <c r="M76" s="1" t="s">
        <v>45</v>
      </c>
      <c r="N76">
        <v>0</v>
      </c>
      <c r="O76">
        <v>43584</v>
      </c>
      <c r="P76">
        <v>25121.29</v>
      </c>
      <c r="Q76">
        <v>3</v>
      </c>
      <c r="R76">
        <v>137</v>
      </c>
      <c r="S76">
        <v>2.7</v>
      </c>
      <c r="T76" s="1" t="s">
        <v>154</v>
      </c>
      <c r="U76" s="1" t="s">
        <v>33</v>
      </c>
      <c r="V76" s="1" t="s">
        <v>47</v>
      </c>
      <c r="W76" s="1" t="s">
        <v>131</v>
      </c>
    </row>
    <row r="77" spans="1:23" x14ac:dyDescent="0.35">
      <c r="A77" s="1" t="s">
        <v>349</v>
      </c>
      <c r="B77" s="1" t="s">
        <v>350</v>
      </c>
      <c r="C77">
        <v>7</v>
      </c>
      <c r="D77" s="1" t="s">
        <v>106</v>
      </c>
      <c r="E77" s="1" t="s">
        <v>40</v>
      </c>
      <c r="F77" s="1" t="s">
        <v>227</v>
      </c>
      <c r="G77" s="1" t="s">
        <v>351</v>
      </c>
      <c r="H77" s="2">
        <v>46056</v>
      </c>
      <c r="I77" s="1" t="s">
        <v>100</v>
      </c>
      <c r="J77" s="1" t="s">
        <v>87</v>
      </c>
      <c r="K77" s="1" t="s">
        <v>174</v>
      </c>
      <c r="L77" s="1" t="s">
        <v>33</v>
      </c>
      <c r="M77" s="1" t="s">
        <v>57</v>
      </c>
      <c r="N77">
        <v>226731.89</v>
      </c>
      <c r="O77">
        <v>36493.06</v>
      </c>
      <c r="P77">
        <v>17870.5</v>
      </c>
      <c r="Q77">
        <v>1</v>
      </c>
      <c r="R77">
        <v>142</v>
      </c>
      <c r="S77">
        <v>1.5</v>
      </c>
      <c r="T77" s="1" t="s">
        <v>33</v>
      </c>
      <c r="U77" s="1" t="s">
        <v>101</v>
      </c>
      <c r="V77" s="1" t="s">
        <v>47</v>
      </c>
      <c r="W77" s="1" t="s">
        <v>103</v>
      </c>
    </row>
    <row r="78" spans="1:23" x14ac:dyDescent="0.35">
      <c r="A78" s="1" t="s">
        <v>352</v>
      </c>
      <c r="B78" s="1" t="s">
        <v>353</v>
      </c>
      <c r="C78">
        <v>16</v>
      </c>
      <c r="D78" s="1" t="s">
        <v>25</v>
      </c>
      <c r="E78" s="1" t="s">
        <v>192</v>
      </c>
      <c r="F78" s="1" t="s">
        <v>98</v>
      </c>
      <c r="G78" s="1" t="s">
        <v>354</v>
      </c>
      <c r="H78" s="2">
        <v>46072</v>
      </c>
      <c r="I78" s="1" t="s">
        <v>33</v>
      </c>
      <c r="J78" s="1" t="s">
        <v>137</v>
      </c>
      <c r="K78" s="1" t="s">
        <v>33</v>
      </c>
      <c r="L78" s="1" t="s">
        <v>92</v>
      </c>
      <c r="M78" s="1" t="s">
        <v>82</v>
      </c>
      <c r="N78">
        <v>128742.94</v>
      </c>
      <c r="O78">
        <v>31184.97</v>
      </c>
      <c r="P78">
        <v>19187.599999999999</v>
      </c>
      <c r="Q78">
        <v>3</v>
      </c>
      <c r="R78">
        <v>66</v>
      </c>
      <c r="S78">
        <v>5</v>
      </c>
      <c r="T78" s="1" t="s">
        <v>154</v>
      </c>
      <c r="U78" s="1" t="s">
        <v>67</v>
      </c>
      <c r="V78" s="1" t="s">
        <v>47</v>
      </c>
      <c r="W78" s="1" t="s">
        <v>83</v>
      </c>
    </row>
    <row r="79" spans="1:23" x14ac:dyDescent="0.35">
      <c r="A79" s="1" t="s">
        <v>355</v>
      </c>
      <c r="B79" s="1" t="s">
        <v>97</v>
      </c>
      <c r="C79">
        <v>61</v>
      </c>
      <c r="D79" s="1" t="s">
        <v>25</v>
      </c>
      <c r="E79" s="1" t="s">
        <v>107</v>
      </c>
      <c r="F79" s="1" t="s">
        <v>41</v>
      </c>
      <c r="G79" s="1" t="s">
        <v>356</v>
      </c>
      <c r="H79" s="2">
        <v>45813</v>
      </c>
      <c r="I79" s="1" t="s">
        <v>53</v>
      </c>
      <c r="J79" s="1" t="s">
        <v>141</v>
      </c>
      <c r="K79" s="1" t="s">
        <v>148</v>
      </c>
      <c r="L79" s="1" t="s">
        <v>66</v>
      </c>
      <c r="M79" s="1" t="s">
        <v>93</v>
      </c>
      <c r="N79">
        <v>61841.04</v>
      </c>
      <c r="O79">
        <v>43245.1</v>
      </c>
      <c r="P79">
        <v>88247.06</v>
      </c>
      <c r="Q79">
        <v>2</v>
      </c>
      <c r="R79">
        <v>0</v>
      </c>
      <c r="S79">
        <v>2.7</v>
      </c>
      <c r="T79" s="1" t="s">
        <v>33</v>
      </c>
      <c r="U79" s="1" t="s">
        <v>35</v>
      </c>
      <c r="V79" s="1" t="s">
        <v>33</v>
      </c>
      <c r="W79" s="1" t="s">
        <v>33</v>
      </c>
    </row>
    <row r="80" spans="1:23" x14ac:dyDescent="0.35">
      <c r="A80" s="1" t="s">
        <v>357</v>
      </c>
      <c r="B80" s="1" t="s">
        <v>358</v>
      </c>
      <c r="C80">
        <v>38</v>
      </c>
      <c r="D80" s="1" t="s">
        <v>106</v>
      </c>
      <c r="E80" s="1" t="s">
        <v>33</v>
      </c>
      <c r="F80" s="1" t="s">
        <v>145</v>
      </c>
      <c r="G80" s="1" t="s">
        <v>359</v>
      </c>
      <c r="H80" s="2">
        <v>45488</v>
      </c>
      <c r="I80" s="1" t="s">
        <v>277</v>
      </c>
      <c r="J80" s="1" t="s">
        <v>141</v>
      </c>
      <c r="K80" s="1" t="s">
        <v>91</v>
      </c>
      <c r="L80" s="1" t="s">
        <v>44</v>
      </c>
      <c r="M80" s="1" t="s">
        <v>74</v>
      </c>
      <c r="N80">
        <v>271960.42</v>
      </c>
      <c r="O80">
        <v>14900.37</v>
      </c>
      <c r="P80">
        <v>47597.69</v>
      </c>
      <c r="Q80">
        <v>4</v>
      </c>
      <c r="R80">
        <v>83</v>
      </c>
      <c r="S80">
        <v>5</v>
      </c>
      <c r="T80" s="1" t="s">
        <v>46</v>
      </c>
      <c r="U80" s="1" t="s">
        <v>35</v>
      </c>
      <c r="V80" s="1" t="s">
        <v>102</v>
      </c>
      <c r="W80" s="1" t="s">
        <v>36</v>
      </c>
    </row>
    <row r="81" spans="1:23" x14ac:dyDescent="0.35">
      <c r="A81" s="1" t="s">
        <v>360</v>
      </c>
      <c r="B81" s="1" t="s">
        <v>215</v>
      </c>
      <c r="C81">
        <v>50</v>
      </c>
      <c r="D81" s="1" t="s">
        <v>39</v>
      </c>
      <c r="E81" s="1" t="s">
        <v>72</v>
      </c>
      <c r="F81" s="1" t="s">
        <v>56</v>
      </c>
      <c r="G81" s="1" t="s">
        <v>361</v>
      </c>
      <c r="H81" s="2">
        <v>45691</v>
      </c>
      <c r="I81" s="1" t="s">
        <v>53</v>
      </c>
      <c r="J81" s="1" t="s">
        <v>43</v>
      </c>
      <c r="K81" s="1" t="s">
        <v>116</v>
      </c>
      <c r="L81" s="1" t="s">
        <v>33</v>
      </c>
      <c r="M81" s="1" t="s">
        <v>74</v>
      </c>
      <c r="N81">
        <v>162337.22</v>
      </c>
      <c r="O81">
        <v>17809.84</v>
      </c>
      <c r="P81">
        <v>32023.25</v>
      </c>
      <c r="Q81">
        <v>3</v>
      </c>
      <c r="R81">
        <v>124</v>
      </c>
      <c r="S81">
        <v>3.2</v>
      </c>
      <c r="T81" s="1" t="s">
        <v>33</v>
      </c>
      <c r="U81" s="1" t="s">
        <v>67</v>
      </c>
      <c r="V81" s="1" t="s">
        <v>75</v>
      </c>
      <c r="W81" s="1" t="s">
        <v>33</v>
      </c>
    </row>
    <row r="82" spans="1:23" x14ac:dyDescent="0.35">
      <c r="A82" s="1" t="s">
        <v>362</v>
      </c>
      <c r="B82" s="1" t="s">
        <v>363</v>
      </c>
      <c r="C82">
        <v>88</v>
      </c>
      <c r="D82" s="1" t="s">
        <v>106</v>
      </c>
      <c r="E82" s="1" t="s">
        <v>86</v>
      </c>
      <c r="F82" s="1" t="s">
        <v>193</v>
      </c>
      <c r="G82" s="1" t="s">
        <v>364</v>
      </c>
      <c r="H82" s="2">
        <v>45448</v>
      </c>
      <c r="I82" s="1" t="s">
        <v>277</v>
      </c>
      <c r="J82" s="1" t="s">
        <v>33</v>
      </c>
      <c r="K82" s="1" t="s">
        <v>122</v>
      </c>
      <c r="L82" s="1" t="s">
        <v>66</v>
      </c>
      <c r="M82" s="1" t="s">
        <v>33</v>
      </c>
      <c r="N82">
        <v>341957.46</v>
      </c>
      <c r="O82">
        <v>21849.41</v>
      </c>
      <c r="P82">
        <v>81036.42</v>
      </c>
      <c r="Q82">
        <v>3</v>
      </c>
      <c r="R82">
        <v>64</v>
      </c>
      <c r="S82">
        <v>1.1000000000000001</v>
      </c>
      <c r="T82" s="1" t="s">
        <v>94</v>
      </c>
      <c r="U82" s="1" t="s">
        <v>33</v>
      </c>
      <c r="V82" s="1" t="s">
        <v>102</v>
      </c>
      <c r="W82" s="1" t="s">
        <v>131</v>
      </c>
    </row>
    <row r="83" spans="1:23" x14ac:dyDescent="0.35">
      <c r="A83" s="1" t="s">
        <v>365</v>
      </c>
      <c r="B83" s="1" t="s">
        <v>206</v>
      </c>
      <c r="C83">
        <v>1</v>
      </c>
      <c r="D83" s="1" t="s">
        <v>25</v>
      </c>
      <c r="E83" s="1" t="s">
        <v>134</v>
      </c>
      <c r="F83" s="1" t="s">
        <v>145</v>
      </c>
      <c r="G83" s="1" t="s">
        <v>366</v>
      </c>
      <c r="H83" s="2">
        <v>46262</v>
      </c>
      <c r="I83" s="1" t="s">
        <v>173</v>
      </c>
      <c r="J83" s="1" t="s">
        <v>141</v>
      </c>
      <c r="K83" s="1" t="s">
        <v>122</v>
      </c>
      <c r="L83" s="1" t="s">
        <v>66</v>
      </c>
      <c r="M83" s="1" t="s">
        <v>45</v>
      </c>
      <c r="N83">
        <v>170788.11</v>
      </c>
      <c r="O83">
        <v>30460.46</v>
      </c>
      <c r="P83">
        <v>95293.119999999995</v>
      </c>
      <c r="Q83">
        <v>1</v>
      </c>
      <c r="R83">
        <v>119</v>
      </c>
      <c r="S83">
        <v>3.4</v>
      </c>
      <c r="T83" s="1" t="s">
        <v>46</v>
      </c>
      <c r="U83" s="1" t="s">
        <v>67</v>
      </c>
      <c r="V83" s="1" t="s">
        <v>33</v>
      </c>
      <c r="W83" s="1" t="s">
        <v>59</v>
      </c>
    </row>
    <row r="84" spans="1:23" x14ac:dyDescent="0.35">
      <c r="A84" s="1" t="s">
        <v>367</v>
      </c>
      <c r="B84" s="1" t="s">
        <v>368</v>
      </c>
      <c r="C84">
        <v>0</v>
      </c>
      <c r="D84" s="1" t="s">
        <v>119</v>
      </c>
      <c r="E84" s="1" t="s">
        <v>72</v>
      </c>
      <c r="F84" s="1" t="s">
        <v>98</v>
      </c>
      <c r="G84" s="1" t="s">
        <v>369</v>
      </c>
      <c r="H84" s="2">
        <v>46152</v>
      </c>
      <c r="I84" s="1" t="s">
        <v>277</v>
      </c>
      <c r="J84" s="1" t="s">
        <v>90</v>
      </c>
      <c r="K84" s="1" t="s">
        <v>128</v>
      </c>
      <c r="L84" s="1" t="s">
        <v>32</v>
      </c>
      <c r="M84" s="1" t="s">
        <v>45</v>
      </c>
      <c r="N84">
        <v>252986.04</v>
      </c>
      <c r="O84">
        <v>49271.63</v>
      </c>
      <c r="P84">
        <v>642.41</v>
      </c>
      <c r="Q84">
        <v>5</v>
      </c>
      <c r="R84">
        <v>180</v>
      </c>
      <c r="S84">
        <v>4.0999999999999996</v>
      </c>
      <c r="T84" s="1" t="s">
        <v>154</v>
      </c>
      <c r="U84" s="1" t="s">
        <v>149</v>
      </c>
      <c r="V84" s="1" t="s">
        <v>33</v>
      </c>
      <c r="W84" s="1" t="s">
        <v>36</v>
      </c>
    </row>
    <row r="85" spans="1:23" x14ac:dyDescent="0.35">
      <c r="A85" s="1" t="s">
        <v>370</v>
      </c>
      <c r="B85" s="1" t="s">
        <v>371</v>
      </c>
      <c r="C85">
        <v>56</v>
      </c>
      <c r="D85" s="1" t="s">
        <v>33</v>
      </c>
      <c r="E85" s="1" t="s">
        <v>40</v>
      </c>
      <c r="F85" s="1" t="s">
        <v>145</v>
      </c>
      <c r="G85" s="1" t="s">
        <v>372</v>
      </c>
      <c r="H85" s="2">
        <v>46096</v>
      </c>
      <c r="I85" s="1" t="s">
        <v>257</v>
      </c>
      <c r="J85" s="1" t="s">
        <v>242</v>
      </c>
      <c r="K85" s="1" t="s">
        <v>33</v>
      </c>
      <c r="L85" s="1" t="s">
        <v>33</v>
      </c>
      <c r="M85" s="1" t="s">
        <v>142</v>
      </c>
      <c r="N85">
        <v>537897</v>
      </c>
      <c r="O85">
        <v>34546.660000000003</v>
      </c>
      <c r="P85">
        <v>52446.62</v>
      </c>
      <c r="Q85">
        <v>2</v>
      </c>
      <c r="R85">
        <v>60</v>
      </c>
      <c r="S85">
        <v>2.6</v>
      </c>
      <c r="T85" s="1" t="s">
        <v>154</v>
      </c>
      <c r="U85" s="1" t="s">
        <v>101</v>
      </c>
      <c r="V85" s="1" t="s">
        <v>47</v>
      </c>
      <c r="W85" s="1" t="s">
        <v>33</v>
      </c>
    </row>
    <row r="86" spans="1:23" x14ac:dyDescent="0.35">
      <c r="A86" s="1" t="s">
        <v>373</v>
      </c>
      <c r="B86" s="1" t="s">
        <v>374</v>
      </c>
      <c r="C86">
        <v>24</v>
      </c>
      <c r="D86" s="1" t="s">
        <v>78</v>
      </c>
      <c r="E86" s="1" t="s">
        <v>263</v>
      </c>
      <c r="F86" s="1" t="s">
        <v>44</v>
      </c>
      <c r="G86" s="1" t="s">
        <v>375</v>
      </c>
      <c r="H86" s="2">
        <v>46117</v>
      </c>
      <c r="I86" s="1" t="s">
        <v>33</v>
      </c>
      <c r="J86" s="1" t="s">
        <v>33</v>
      </c>
      <c r="K86" s="1" t="s">
        <v>122</v>
      </c>
      <c r="L86" s="1" t="s">
        <v>92</v>
      </c>
      <c r="M86" s="1" t="s">
        <v>57</v>
      </c>
      <c r="N86">
        <v>230019.27</v>
      </c>
      <c r="O86">
        <v>18058.560000000001</v>
      </c>
      <c r="P86">
        <v>59369.39</v>
      </c>
      <c r="Q86">
        <v>5</v>
      </c>
      <c r="R86">
        <v>120</v>
      </c>
      <c r="S86">
        <v>5</v>
      </c>
      <c r="T86" s="1" t="s">
        <v>46</v>
      </c>
      <c r="U86" s="1" t="s">
        <v>35</v>
      </c>
      <c r="V86" s="1" t="s">
        <v>164</v>
      </c>
      <c r="W86" s="1" t="s">
        <v>131</v>
      </c>
    </row>
    <row r="87" spans="1:23" x14ac:dyDescent="0.35">
      <c r="A87" s="1" t="s">
        <v>376</v>
      </c>
      <c r="B87" s="1" t="s">
        <v>377</v>
      </c>
      <c r="C87">
        <v>37</v>
      </c>
      <c r="D87" s="1" t="s">
        <v>33</v>
      </c>
      <c r="E87" s="1" t="s">
        <v>219</v>
      </c>
      <c r="F87" s="1" t="s">
        <v>44</v>
      </c>
      <c r="G87" s="1" t="s">
        <v>378</v>
      </c>
      <c r="H87" s="2">
        <v>45521</v>
      </c>
      <c r="I87" s="1" t="s">
        <v>168</v>
      </c>
      <c r="J87" s="1" t="s">
        <v>141</v>
      </c>
      <c r="K87" s="1" t="s">
        <v>128</v>
      </c>
      <c r="L87" s="1" t="s">
        <v>92</v>
      </c>
      <c r="M87" s="1" t="s">
        <v>74</v>
      </c>
      <c r="N87">
        <v>82973.08</v>
      </c>
      <c r="O87">
        <v>18892.669999999998</v>
      </c>
      <c r="P87">
        <v>56319.01</v>
      </c>
      <c r="Q87">
        <v>2</v>
      </c>
      <c r="R87">
        <v>151</v>
      </c>
      <c r="S87">
        <v>2.5</v>
      </c>
      <c r="T87" s="1" t="s">
        <v>46</v>
      </c>
      <c r="U87" s="1" t="s">
        <v>33</v>
      </c>
      <c r="V87" s="1" t="s">
        <v>75</v>
      </c>
      <c r="W87" s="1" t="s">
        <v>103</v>
      </c>
    </row>
    <row r="88" spans="1:23" x14ac:dyDescent="0.35">
      <c r="A88" s="1" t="s">
        <v>379</v>
      </c>
      <c r="B88" s="1" t="s">
        <v>338</v>
      </c>
      <c r="C88">
        <v>72</v>
      </c>
      <c r="D88" s="1" t="s">
        <v>119</v>
      </c>
      <c r="E88" s="1" t="s">
        <v>107</v>
      </c>
      <c r="F88" s="1" t="s">
        <v>33</v>
      </c>
      <c r="G88" s="1" t="s">
        <v>380</v>
      </c>
      <c r="H88" s="2">
        <v>45437</v>
      </c>
      <c r="I88" s="1" t="s">
        <v>33</v>
      </c>
      <c r="J88" s="1" t="s">
        <v>80</v>
      </c>
      <c r="K88" s="1" t="s">
        <v>33</v>
      </c>
      <c r="L88" s="1" t="s">
        <v>32</v>
      </c>
      <c r="M88" s="1" t="s">
        <v>33</v>
      </c>
      <c r="N88">
        <v>277880.89</v>
      </c>
      <c r="O88">
        <v>76919.899999999994</v>
      </c>
      <c r="P88">
        <v>21786.32</v>
      </c>
      <c r="Q88">
        <v>5</v>
      </c>
      <c r="R88">
        <v>1</v>
      </c>
      <c r="S88">
        <v>1.4</v>
      </c>
      <c r="T88" s="1" t="s">
        <v>34</v>
      </c>
      <c r="U88" s="1" t="s">
        <v>33</v>
      </c>
      <c r="V88" s="1" t="s">
        <v>130</v>
      </c>
      <c r="W88" s="1" t="s">
        <v>131</v>
      </c>
    </row>
    <row r="89" spans="1:23" x14ac:dyDescent="0.35">
      <c r="A89" s="1" t="s">
        <v>381</v>
      </c>
      <c r="B89" s="1" t="s">
        <v>185</v>
      </c>
      <c r="C89">
        <v>999</v>
      </c>
      <c r="D89" s="1" t="s">
        <v>50</v>
      </c>
      <c r="E89" s="1" t="s">
        <v>40</v>
      </c>
      <c r="F89" s="1" t="s">
        <v>63</v>
      </c>
      <c r="G89" s="1" t="s">
        <v>382</v>
      </c>
      <c r="H89" s="2">
        <v>45414</v>
      </c>
      <c r="I89" s="1" t="s">
        <v>127</v>
      </c>
      <c r="J89" s="1" t="s">
        <v>141</v>
      </c>
      <c r="K89" s="1" t="s">
        <v>31</v>
      </c>
      <c r="L89" s="1" t="s">
        <v>56</v>
      </c>
      <c r="M89" s="1" t="s">
        <v>33</v>
      </c>
      <c r="N89">
        <v>212218.15</v>
      </c>
      <c r="O89">
        <v>36999.22</v>
      </c>
      <c r="P89">
        <v>11235.33</v>
      </c>
      <c r="Q89">
        <v>9</v>
      </c>
      <c r="R89">
        <v>278</v>
      </c>
      <c r="S89">
        <v>3.9</v>
      </c>
      <c r="T89" s="1" t="s">
        <v>154</v>
      </c>
      <c r="U89" s="1" t="s">
        <v>33</v>
      </c>
      <c r="V89" s="1" t="s">
        <v>75</v>
      </c>
      <c r="W89" s="1" t="s">
        <v>131</v>
      </c>
    </row>
    <row r="90" spans="1:23" x14ac:dyDescent="0.35">
      <c r="A90" s="1" t="s">
        <v>383</v>
      </c>
      <c r="B90" s="1" t="s">
        <v>384</v>
      </c>
      <c r="C90">
        <v>58</v>
      </c>
      <c r="D90" s="1" t="s">
        <v>119</v>
      </c>
      <c r="E90" s="1" t="s">
        <v>219</v>
      </c>
      <c r="F90" s="1" t="s">
        <v>108</v>
      </c>
      <c r="G90" s="1" t="s">
        <v>385</v>
      </c>
      <c r="H90" s="2">
        <v>45734</v>
      </c>
      <c r="I90" s="1" t="s">
        <v>168</v>
      </c>
      <c r="J90" s="1" t="s">
        <v>147</v>
      </c>
      <c r="K90" s="1" t="s">
        <v>116</v>
      </c>
      <c r="L90" s="1" t="s">
        <v>33</v>
      </c>
      <c r="M90" s="1" t="s">
        <v>57</v>
      </c>
      <c r="N90">
        <v>287341.28999999998</v>
      </c>
      <c r="O90">
        <v>35597.1</v>
      </c>
      <c r="P90">
        <v>21285.77</v>
      </c>
      <c r="Q90">
        <v>3</v>
      </c>
      <c r="R90">
        <v>130</v>
      </c>
      <c r="S90">
        <v>5</v>
      </c>
      <c r="T90" s="1" t="s">
        <v>33</v>
      </c>
      <c r="U90" s="1" t="s">
        <v>67</v>
      </c>
      <c r="V90" s="1" t="s">
        <v>75</v>
      </c>
      <c r="W90" s="1" t="s">
        <v>33</v>
      </c>
    </row>
    <row r="91" spans="1:23" x14ac:dyDescent="0.35">
      <c r="A91" s="1" t="s">
        <v>386</v>
      </c>
      <c r="B91" s="1" t="s">
        <v>321</v>
      </c>
      <c r="C91">
        <v>78</v>
      </c>
      <c r="D91" s="1" t="s">
        <v>39</v>
      </c>
      <c r="E91" s="1" t="s">
        <v>219</v>
      </c>
      <c r="F91" s="1" t="s">
        <v>63</v>
      </c>
      <c r="G91" s="1" t="s">
        <v>387</v>
      </c>
      <c r="H91" s="2">
        <v>45950</v>
      </c>
      <c r="I91" s="1" t="s">
        <v>273</v>
      </c>
      <c r="J91" s="1" t="s">
        <v>152</v>
      </c>
      <c r="K91" s="1" t="s">
        <v>33</v>
      </c>
      <c r="L91" s="1" t="s">
        <v>44</v>
      </c>
      <c r="M91" s="1" t="s">
        <v>74</v>
      </c>
      <c r="N91">
        <v>148429.81</v>
      </c>
      <c r="O91">
        <v>5259.88</v>
      </c>
      <c r="P91">
        <v>41226.39</v>
      </c>
      <c r="Q91">
        <v>8</v>
      </c>
      <c r="R91">
        <v>99</v>
      </c>
      <c r="S91">
        <v>5</v>
      </c>
      <c r="T91" s="1" t="s">
        <v>34</v>
      </c>
      <c r="U91" s="1" t="s">
        <v>35</v>
      </c>
      <c r="V91" s="1" t="s">
        <v>47</v>
      </c>
      <c r="W91" s="1" t="s">
        <v>83</v>
      </c>
    </row>
    <row r="92" spans="1:23" x14ac:dyDescent="0.35">
      <c r="A92" s="1" t="s">
        <v>388</v>
      </c>
      <c r="B92" s="1" t="s">
        <v>389</v>
      </c>
      <c r="C92">
        <v>76</v>
      </c>
      <c r="D92" s="1" t="s">
        <v>33</v>
      </c>
      <c r="E92" s="1" t="s">
        <v>192</v>
      </c>
      <c r="F92" s="1" t="s">
        <v>98</v>
      </c>
      <c r="G92" s="1" t="s">
        <v>390</v>
      </c>
      <c r="H92" s="2">
        <v>46005</v>
      </c>
      <c r="I92" s="1" t="s">
        <v>277</v>
      </c>
      <c r="J92" s="1" t="s">
        <v>87</v>
      </c>
      <c r="K92" s="1" t="s">
        <v>208</v>
      </c>
      <c r="L92" s="1" t="s">
        <v>33</v>
      </c>
      <c r="M92" s="1" t="s">
        <v>142</v>
      </c>
      <c r="N92">
        <v>197878.89</v>
      </c>
      <c r="O92">
        <v>19327.97</v>
      </c>
      <c r="P92">
        <v>14636.87</v>
      </c>
      <c r="Q92">
        <v>1</v>
      </c>
      <c r="R92">
        <v>0</v>
      </c>
      <c r="S92">
        <v>4.8</v>
      </c>
      <c r="T92" s="1" t="s">
        <v>46</v>
      </c>
      <c r="U92" s="1" t="s">
        <v>58</v>
      </c>
      <c r="V92" s="1" t="s">
        <v>68</v>
      </c>
      <c r="W92" s="1" t="s">
        <v>36</v>
      </c>
    </row>
    <row r="93" spans="1:23" x14ac:dyDescent="0.35">
      <c r="A93" s="1" t="s">
        <v>391</v>
      </c>
      <c r="B93" s="1" t="s">
        <v>125</v>
      </c>
      <c r="C93">
        <v>14</v>
      </c>
      <c r="D93" s="1" t="s">
        <v>119</v>
      </c>
      <c r="E93" s="1" t="s">
        <v>112</v>
      </c>
      <c r="F93" s="1" t="s">
        <v>63</v>
      </c>
      <c r="G93" s="1" t="s">
        <v>392</v>
      </c>
      <c r="H93" s="2">
        <v>45554</v>
      </c>
      <c r="I93" s="1" t="s">
        <v>173</v>
      </c>
      <c r="J93" s="1" t="s">
        <v>33</v>
      </c>
      <c r="K93" s="1" t="s">
        <v>33</v>
      </c>
      <c r="L93" s="1" t="s">
        <v>44</v>
      </c>
      <c r="M93" s="1" t="s">
        <v>33</v>
      </c>
      <c r="N93">
        <v>38688.97</v>
      </c>
      <c r="O93">
        <v>21605.38</v>
      </c>
      <c r="P93">
        <v>95070.65</v>
      </c>
      <c r="Q93">
        <v>3</v>
      </c>
      <c r="R93">
        <v>75</v>
      </c>
      <c r="S93">
        <v>1.7</v>
      </c>
      <c r="T93" s="1" t="s">
        <v>154</v>
      </c>
      <c r="U93" s="1" t="s">
        <v>58</v>
      </c>
      <c r="V93" s="1" t="s">
        <v>75</v>
      </c>
      <c r="W93" s="1" t="s">
        <v>103</v>
      </c>
    </row>
    <row r="94" spans="1:23" x14ac:dyDescent="0.35">
      <c r="A94" s="1" t="s">
        <v>393</v>
      </c>
      <c r="B94" s="1" t="s">
        <v>394</v>
      </c>
      <c r="C94">
        <v>37</v>
      </c>
      <c r="D94" s="1" t="s">
        <v>33</v>
      </c>
      <c r="E94" s="1" t="s">
        <v>219</v>
      </c>
      <c r="F94" s="1" t="s">
        <v>98</v>
      </c>
      <c r="G94" s="1" t="s">
        <v>395</v>
      </c>
      <c r="H94" s="2">
        <v>46002</v>
      </c>
      <c r="I94" s="1" t="s">
        <v>33</v>
      </c>
      <c r="J94" s="1" t="s">
        <v>242</v>
      </c>
      <c r="K94" s="1" t="s">
        <v>33</v>
      </c>
      <c r="L94" s="1" t="s">
        <v>44</v>
      </c>
      <c r="M94" s="1" t="s">
        <v>33</v>
      </c>
      <c r="N94">
        <v>0</v>
      </c>
      <c r="O94">
        <v>28642.63</v>
      </c>
      <c r="P94">
        <v>38071.96</v>
      </c>
      <c r="Q94">
        <v>2</v>
      </c>
      <c r="R94">
        <v>147</v>
      </c>
      <c r="S94">
        <v>5</v>
      </c>
      <c r="T94" s="1" t="s">
        <v>33</v>
      </c>
      <c r="U94" s="1" t="s">
        <v>35</v>
      </c>
      <c r="V94" s="1" t="s">
        <v>33</v>
      </c>
      <c r="W94" s="1" t="s">
        <v>83</v>
      </c>
    </row>
    <row r="95" spans="1:23" x14ac:dyDescent="0.35">
      <c r="A95" s="1" t="s">
        <v>396</v>
      </c>
      <c r="B95" s="1" t="s">
        <v>397</v>
      </c>
      <c r="C95">
        <v>37</v>
      </c>
      <c r="D95" s="1" t="s">
        <v>39</v>
      </c>
      <c r="E95" s="1" t="s">
        <v>192</v>
      </c>
      <c r="F95" s="1" t="s">
        <v>27</v>
      </c>
      <c r="G95" s="1" t="s">
        <v>398</v>
      </c>
      <c r="H95" s="2">
        <v>46032</v>
      </c>
      <c r="I95" s="1" t="s">
        <v>53</v>
      </c>
      <c r="J95" s="1" t="s">
        <v>152</v>
      </c>
      <c r="K95" s="1" t="s">
        <v>91</v>
      </c>
      <c r="L95" s="1" t="s">
        <v>44</v>
      </c>
      <c r="M95" s="1" t="s">
        <v>33</v>
      </c>
      <c r="N95">
        <v>65086.37</v>
      </c>
      <c r="O95">
        <v>94334</v>
      </c>
      <c r="P95">
        <v>46776.55</v>
      </c>
      <c r="Q95">
        <v>6</v>
      </c>
      <c r="R95">
        <v>96</v>
      </c>
      <c r="S95">
        <v>3.7</v>
      </c>
      <c r="T95" s="1" t="s">
        <v>33</v>
      </c>
      <c r="U95" s="1" t="s">
        <v>67</v>
      </c>
      <c r="V95" s="1" t="s">
        <v>33</v>
      </c>
      <c r="W95" s="1" t="s">
        <v>12</v>
      </c>
    </row>
    <row r="96" spans="1:23" x14ac:dyDescent="0.35">
      <c r="A96" s="1" t="s">
        <v>399</v>
      </c>
      <c r="B96" s="1" t="s">
        <v>400</v>
      </c>
      <c r="C96">
        <v>39</v>
      </c>
      <c r="D96" s="1" t="s">
        <v>119</v>
      </c>
      <c r="E96" s="1" t="s">
        <v>177</v>
      </c>
      <c r="F96" s="1" t="s">
        <v>33</v>
      </c>
      <c r="G96" s="1" t="s">
        <v>401</v>
      </c>
      <c r="H96" s="2">
        <v>45458</v>
      </c>
      <c r="I96" s="1" t="s">
        <v>53</v>
      </c>
      <c r="J96" s="1" t="s">
        <v>141</v>
      </c>
      <c r="K96" s="1" t="s">
        <v>163</v>
      </c>
      <c r="L96" s="1" t="s">
        <v>44</v>
      </c>
      <c r="M96" s="1" t="s">
        <v>183</v>
      </c>
      <c r="N96">
        <v>139687.32</v>
      </c>
      <c r="O96">
        <v>16328.53</v>
      </c>
      <c r="P96">
        <v>44017.4</v>
      </c>
      <c r="Q96">
        <v>3</v>
      </c>
      <c r="R96">
        <v>54</v>
      </c>
      <c r="S96">
        <v>2.8</v>
      </c>
      <c r="T96" s="1" t="s">
        <v>33</v>
      </c>
      <c r="U96" s="1" t="s">
        <v>67</v>
      </c>
      <c r="V96" s="1" t="s">
        <v>47</v>
      </c>
      <c r="W96" s="1" t="s">
        <v>179</v>
      </c>
    </row>
    <row r="97" spans="1:23" x14ac:dyDescent="0.35">
      <c r="A97" s="1" t="s">
        <v>402</v>
      </c>
      <c r="B97" s="1" t="s">
        <v>403</v>
      </c>
      <c r="C97">
        <v>37</v>
      </c>
      <c r="D97" s="1" t="s">
        <v>78</v>
      </c>
      <c r="E97" s="1" t="s">
        <v>33</v>
      </c>
      <c r="F97" s="1" t="s">
        <v>227</v>
      </c>
      <c r="G97" s="1" t="s">
        <v>404</v>
      </c>
      <c r="H97" s="2">
        <v>45373</v>
      </c>
      <c r="I97" s="1" t="s">
        <v>89</v>
      </c>
      <c r="J97" s="1" t="s">
        <v>152</v>
      </c>
      <c r="K97" s="1" t="s">
        <v>116</v>
      </c>
      <c r="L97" s="1" t="s">
        <v>66</v>
      </c>
      <c r="M97" s="1" t="s">
        <v>183</v>
      </c>
      <c r="N97">
        <v>430559.02</v>
      </c>
      <c r="O97">
        <v>0</v>
      </c>
      <c r="P97">
        <v>77745.210000000006</v>
      </c>
      <c r="Q97">
        <v>3</v>
      </c>
      <c r="R97">
        <v>188</v>
      </c>
      <c r="S97">
        <v>1</v>
      </c>
      <c r="T97" s="1" t="s">
        <v>33</v>
      </c>
      <c r="U97" s="1" t="s">
        <v>95</v>
      </c>
      <c r="V97" s="1" t="s">
        <v>102</v>
      </c>
      <c r="W97" s="1" t="s">
        <v>33</v>
      </c>
    </row>
    <row r="98" spans="1:23" x14ac:dyDescent="0.35">
      <c r="A98" s="1" t="s">
        <v>405</v>
      </c>
      <c r="B98" s="1" t="s">
        <v>406</v>
      </c>
      <c r="C98">
        <v>34</v>
      </c>
      <c r="D98" s="1" t="s">
        <v>50</v>
      </c>
      <c r="E98" s="1" t="s">
        <v>33</v>
      </c>
      <c r="F98" s="1" t="s">
        <v>108</v>
      </c>
      <c r="G98" s="1" t="s">
        <v>407</v>
      </c>
      <c r="H98" s="2">
        <v>45920</v>
      </c>
      <c r="I98" s="1" t="s">
        <v>127</v>
      </c>
      <c r="J98" s="1" t="s">
        <v>147</v>
      </c>
      <c r="K98" s="1" t="s">
        <v>33</v>
      </c>
      <c r="L98" s="1" t="s">
        <v>44</v>
      </c>
      <c r="M98" s="1" t="s">
        <v>142</v>
      </c>
      <c r="N98">
        <v>22948.36</v>
      </c>
      <c r="O98">
        <v>10554.58</v>
      </c>
      <c r="P98">
        <v>11682.72</v>
      </c>
      <c r="Q98">
        <v>2</v>
      </c>
      <c r="R98">
        <v>226</v>
      </c>
      <c r="S98">
        <v>4.9000000000000004</v>
      </c>
      <c r="T98" s="1" t="s">
        <v>33</v>
      </c>
      <c r="U98" s="1" t="s">
        <v>33</v>
      </c>
      <c r="V98" s="1" t="s">
        <v>75</v>
      </c>
      <c r="W98" s="1" t="s">
        <v>103</v>
      </c>
    </row>
    <row r="99" spans="1:23" x14ac:dyDescent="0.35">
      <c r="A99" s="1" t="s">
        <v>408</v>
      </c>
      <c r="B99" s="1" t="s">
        <v>237</v>
      </c>
      <c r="C99">
        <v>58</v>
      </c>
      <c r="D99" s="1" t="s">
        <v>78</v>
      </c>
      <c r="E99" s="1" t="s">
        <v>219</v>
      </c>
      <c r="F99" s="1" t="s">
        <v>145</v>
      </c>
      <c r="G99" s="1" t="s">
        <v>409</v>
      </c>
      <c r="H99" s="2">
        <v>46027</v>
      </c>
      <c r="I99" s="1" t="s">
        <v>257</v>
      </c>
      <c r="J99" s="1" t="s">
        <v>87</v>
      </c>
      <c r="K99" s="1" t="s">
        <v>31</v>
      </c>
      <c r="L99" s="1" t="s">
        <v>33</v>
      </c>
      <c r="M99" s="1" t="s">
        <v>45</v>
      </c>
      <c r="N99">
        <v>61932.75</v>
      </c>
      <c r="O99">
        <v>16886.990000000002</v>
      </c>
      <c r="P99">
        <v>59681.24</v>
      </c>
      <c r="Q99">
        <v>7</v>
      </c>
      <c r="R99">
        <v>3</v>
      </c>
      <c r="S99">
        <v>4.5999999999999996</v>
      </c>
      <c r="T99" s="1" t="s">
        <v>33</v>
      </c>
      <c r="U99" s="1" t="s">
        <v>33</v>
      </c>
      <c r="V99" s="1" t="s">
        <v>130</v>
      </c>
      <c r="W99" s="1" t="s">
        <v>103</v>
      </c>
    </row>
    <row r="100" spans="1:23" x14ac:dyDescent="0.35">
      <c r="A100" s="1" t="s">
        <v>410</v>
      </c>
      <c r="B100" s="1" t="s">
        <v>353</v>
      </c>
      <c r="C100">
        <v>34</v>
      </c>
      <c r="D100" s="1" t="s">
        <v>50</v>
      </c>
      <c r="E100" s="1" t="s">
        <v>62</v>
      </c>
      <c r="F100" s="1" t="s">
        <v>27</v>
      </c>
      <c r="G100" s="1" t="s">
        <v>411</v>
      </c>
      <c r="H100" s="2">
        <v>45361</v>
      </c>
      <c r="I100" s="1" t="s">
        <v>33</v>
      </c>
      <c r="J100" s="1" t="s">
        <v>54</v>
      </c>
      <c r="K100" s="1" t="s">
        <v>128</v>
      </c>
      <c r="L100" s="1" t="s">
        <v>33</v>
      </c>
      <c r="M100" s="1" t="s">
        <v>129</v>
      </c>
      <c r="N100">
        <v>319534.40000000002</v>
      </c>
      <c r="O100">
        <v>41106.58</v>
      </c>
      <c r="P100">
        <v>34171.019999999997</v>
      </c>
      <c r="Q100">
        <v>2</v>
      </c>
      <c r="R100">
        <v>181</v>
      </c>
      <c r="S100">
        <v>2.2999999999999998</v>
      </c>
      <c r="T100" s="1" t="s">
        <v>33</v>
      </c>
      <c r="U100" s="1" t="s">
        <v>35</v>
      </c>
      <c r="V100" s="1" t="s">
        <v>102</v>
      </c>
      <c r="W100" s="1" t="s">
        <v>103</v>
      </c>
    </row>
    <row r="101" spans="1:23" x14ac:dyDescent="0.35">
      <c r="A101" s="1" t="s">
        <v>412</v>
      </c>
      <c r="B101" s="1" t="s">
        <v>275</v>
      </c>
      <c r="C101">
        <v>56</v>
      </c>
      <c r="D101" s="1" t="s">
        <v>78</v>
      </c>
      <c r="E101" s="1" t="s">
        <v>177</v>
      </c>
      <c r="F101" s="1" t="s">
        <v>87</v>
      </c>
      <c r="G101" s="1" t="s">
        <v>413</v>
      </c>
      <c r="H101" s="2">
        <v>45860</v>
      </c>
      <c r="I101" s="1" t="s">
        <v>33</v>
      </c>
      <c r="J101" s="1" t="s">
        <v>33</v>
      </c>
      <c r="K101" s="1" t="s">
        <v>33</v>
      </c>
      <c r="L101" s="1" t="s">
        <v>44</v>
      </c>
      <c r="M101" s="1" t="s">
        <v>57</v>
      </c>
      <c r="N101">
        <v>176663.5</v>
      </c>
      <c r="O101">
        <v>38153.33</v>
      </c>
      <c r="P101">
        <v>7466.59</v>
      </c>
      <c r="Q101">
        <v>4</v>
      </c>
      <c r="R101">
        <v>164</v>
      </c>
      <c r="S101">
        <v>3.5</v>
      </c>
      <c r="T101" s="1" t="s">
        <v>46</v>
      </c>
      <c r="U101" s="1" t="s">
        <v>149</v>
      </c>
      <c r="V101" s="1" t="s">
        <v>164</v>
      </c>
      <c r="W101" s="1" t="s">
        <v>83</v>
      </c>
    </row>
    <row r="102" spans="1:23" x14ac:dyDescent="0.35">
      <c r="A102" s="1" t="s">
        <v>414</v>
      </c>
      <c r="B102" s="1" t="s">
        <v>415</v>
      </c>
      <c r="C102">
        <v>66</v>
      </c>
      <c r="D102" s="1" t="s">
        <v>25</v>
      </c>
      <c r="E102" s="1" t="s">
        <v>263</v>
      </c>
      <c r="F102" s="1" t="s">
        <v>108</v>
      </c>
      <c r="G102" s="1" t="s">
        <v>416</v>
      </c>
      <c r="H102" s="2">
        <v>46160</v>
      </c>
      <c r="I102" s="1" t="s">
        <v>29</v>
      </c>
      <c r="J102" s="1" t="s">
        <v>147</v>
      </c>
      <c r="K102" s="1" t="s">
        <v>116</v>
      </c>
      <c r="L102" s="1" t="s">
        <v>66</v>
      </c>
      <c r="M102" s="1" t="s">
        <v>82</v>
      </c>
      <c r="N102">
        <v>121391.88</v>
      </c>
      <c r="O102">
        <v>0</v>
      </c>
      <c r="P102">
        <v>0</v>
      </c>
      <c r="Q102">
        <v>2</v>
      </c>
      <c r="R102">
        <v>140</v>
      </c>
      <c r="T102" s="1" t="s">
        <v>46</v>
      </c>
      <c r="U102" s="1" t="s">
        <v>35</v>
      </c>
      <c r="V102" s="1" t="s">
        <v>102</v>
      </c>
      <c r="W102" s="1" t="s">
        <v>83</v>
      </c>
    </row>
    <row r="103" spans="1:23" x14ac:dyDescent="0.35">
      <c r="A103" s="1" t="s">
        <v>417</v>
      </c>
      <c r="B103" s="1" t="s">
        <v>309</v>
      </c>
      <c r="C103">
        <v>0</v>
      </c>
      <c r="D103" s="1" t="s">
        <v>119</v>
      </c>
      <c r="E103" s="1" t="s">
        <v>86</v>
      </c>
      <c r="F103" s="1" t="s">
        <v>44</v>
      </c>
      <c r="G103" s="1" t="s">
        <v>418</v>
      </c>
      <c r="H103" s="2">
        <v>46186</v>
      </c>
      <c r="I103" s="1" t="s">
        <v>29</v>
      </c>
      <c r="J103" s="1" t="s">
        <v>65</v>
      </c>
      <c r="K103" s="1" t="s">
        <v>31</v>
      </c>
      <c r="L103" s="1" t="s">
        <v>33</v>
      </c>
      <c r="M103" s="1" t="s">
        <v>82</v>
      </c>
      <c r="N103">
        <v>457503.89</v>
      </c>
      <c r="O103">
        <v>35275.440000000002</v>
      </c>
      <c r="P103">
        <v>42098.61</v>
      </c>
      <c r="Q103">
        <v>10</v>
      </c>
      <c r="R103">
        <v>54</v>
      </c>
      <c r="S103">
        <v>4.2</v>
      </c>
      <c r="T103" s="1" t="s">
        <v>94</v>
      </c>
      <c r="U103" s="1" t="s">
        <v>95</v>
      </c>
      <c r="V103" s="1" t="s">
        <v>33</v>
      </c>
      <c r="W103" s="1" t="s">
        <v>33</v>
      </c>
    </row>
    <row r="104" spans="1:23" x14ac:dyDescent="0.35">
      <c r="A104" s="1" t="s">
        <v>419</v>
      </c>
      <c r="B104" s="1" t="s">
        <v>420</v>
      </c>
      <c r="C104">
        <v>67</v>
      </c>
      <c r="D104" s="1" t="s">
        <v>119</v>
      </c>
      <c r="E104" s="1" t="s">
        <v>192</v>
      </c>
      <c r="F104" s="1" t="s">
        <v>41</v>
      </c>
      <c r="G104" s="1" t="s">
        <v>421</v>
      </c>
      <c r="H104" s="2">
        <v>46000</v>
      </c>
      <c r="I104" s="1" t="s">
        <v>168</v>
      </c>
      <c r="J104" s="1" t="s">
        <v>137</v>
      </c>
      <c r="K104" s="1" t="s">
        <v>91</v>
      </c>
      <c r="L104" s="1" t="s">
        <v>32</v>
      </c>
      <c r="M104" s="1" t="s">
        <v>74</v>
      </c>
      <c r="N104">
        <v>235991.87</v>
      </c>
      <c r="O104">
        <v>33757.54</v>
      </c>
      <c r="P104">
        <v>34091.629999999997</v>
      </c>
      <c r="Q104">
        <v>3</v>
      </c>
      <c r="R104">
        <v>90</v>
      </c>
      <c r="S104">
        <v>4.0999999999999996</v>
      </c>
      <c r="T104" s="1" t="s">
        <v>33</v>
      </c>
      <c r="U104" s="1" t="s">
        <v>149</v>
      </c>
      <c r="V104" s="1" t="s">
        <v>47</v>
      </c>
      <c r="W104" s="1" t="s">
        <v>103</v>
      </c>
    </row>
    <row r="105" spans="1:23" x14ac:dyDescent="0.35">
      <c r="A105" s="1" t="s">
        <v>422</v>
      </c>
      <c r="B105" s="1" t="s">
        <v>423</v>
      </c>
      <c r="C105">
        <v>13</v>
      </c>
      <c r="D105" s="1" t="s">
        <v>25</v>
      </c>
      <c r="E105" s="1" t="s">
        <v>263</v>
      </c>
      <c r="F105" s="1" t="s">
        <v>41</v>
      </c>
      <c r="G105" s="1" t="s">
        <v>424</v>
      </c>
      <c r="H105" s="2">
        <v>45770</v>
      </c>
      <c r="I105" s="1" t="s">
        <v>257</v>
      </c>
      <c r="J105" s="1" t="s">
        <v>147</v>
      </c>
      <c r="K105" s="1" t="s">
        <v>55</v>
      </c>
      <c r="L105" s="1" t="s">
        <v>44</v>
      </c>
      <c r="M105" s="1" t="s">
        <v>93</v>
      </c>
      <c r="N105">
        <v>324056.96999999997</v>
      </c>
      <c r="O105">
        <v>34271.64</v>
      </c>
      <c r="P105">
        <v>39480.5</v>
      </c>
      <c r="Q105">
        <v>1</v>
      </c>
      <c r="R105">
        <v>96</v>
      </c>
      <c r="S105">
        <v>4.2</v>
      </c>
      <c r="T105" s="1" t="s">
        <v>94</v>
      </c>
      <c r="U105" s="1" t="s">
        <v>33</v>
      </c>
      <c r="V105" s="1" t="s">
        <v>68</v>
      </c>
      <c r="W105" s="1" t="s">
        <v>83</v>
      </c>
    </row>
    <row r="106" spans="1:23" x14ac:dyDescent="0.35">
      <c r="A106" s="1" t="s">
        <v>425</v>
      </c>
      <c r="B106" s="1" t="s">
        <v>426</v>
      </c>
      <c r="C106">
        <v>25</v>
      </c>
      <c r="D106" s="1" t="s">
        <v>50</v>
      </c>
      <c r="E106" s="1" t="s">
        <v>33</v>
      </c>
      <c r="F106" s="1" t="s">
        <v>44</v>
      </c>
      <c r="G106" s="1" t="s">
        <v>427</v>
      </c>
      <c r="H106" s="2">
        <v>45804</v>
      </c>
      <c r="I106" s="1" t="s">
        <v>221</v>
      </c>
      <c r="J106" s="1" t="s">
        <v>115</v>
      </c>
      <c r="K106" s="1" t="s">
        <v>174</v>
      </c>
      <c r="L106" s="1" t="s">
        <v>56</v>
      </c>
      <c r="M106" s="1" t="s">
        <v>183</v>
      </c>
      <c r="N106">
        <v>247418.34</v>
      </c>
      <c r="O106">
        <v>5540.68</v>
      </c>
      <c r="P106">
        <v>57247.58</v>
      </c>
      <c r="Q106">
        <v>2</v>
      </c>
      <c r="R106">
        <v>0</v>
      </c>
      <c r="S106">
        <v>5</v>
      </c>
      <c r="T106" s="1" t="s">
        <v>94</v>
      </c>
      <c r="U106" s="1" t="s">
        <v>67</v>
      </c>
      <c r="V106" s="1" t="s">
        <v>130</v>
      </c>
      <c r="W106" s="1" t="s">
        <v>36</v>
      </c>
    </row>
    <row r="107" spans="1:23" x14ac:dyDescent="0.35">
      <c r="A107" s="1" t="s">
        <v>428</v>
      </c>
      <c r="B107" s="1" t="s">
        <v>429</v>
      </c>
      <c r="C107">
        <v>48</v>
      </c>
      <c r="D107" s="1" t="s">
        <v>25</v>
      </c>
      <c r="E107" s="1" t="s">
        <v>134</v>
      </c>
      <c r="F107" s="1" t="s">
        <v>135</v>
      </c>
      <c r="G107" s="1" t="s">
        <v>430</v>
      </c>
      <c r="H107" s="2">
        <v>46163</v>
      </c>
      <c r="I107" s="1" t="s">
        <v>29</v>
      </c>
      <c r="J107" s="1" t="s">
        <v>80</v>
      </c>
      <c r="K107" s="1" t="s">
        <v>122</v>
      </c>
      <c r="L107" s="1" t="s">
        <v>33</v>
      </c>
      <c r="M107" s="1" t="s">
        <v>129</v>
      </c>
      <c r="N107">
        <v>357576.74</v>
      </c>
      <c r="O107">
        <v>71636.86</v>
      </c>
      <c r="P107">
        <v>75431.100000000006</v>
      </c>
      <c r="Q107">
        <v>4</v>
      </c>
      <c r="R107">
        <v>0</v>
      </c>
      <c r="S107">
        <v>2</v>
      </c>
      <c r="T107" s="1" t="s">
        <v>33</v>
      </c>
      <c r="U107" s="1" t="s">
        <v>95</v>
      </c>
      <c r="V107" s="1" t="s">
        <v>33</v>
      </c>
      <c r="W107" s="1" t="s">
        <v>36</v>
      </c>
    </row>
    <row r="108" spans="1:23" x14ac:dyDescent="0.35">
      <c r="A108" s="1" t="s">
        <v>431</v>
      </c>
      <c r="B108" s="1" t="s">
        <v>432</v>
      </c>
      <c r="C108">
        <v>43</v>
      </c>
      <c r="D108" s="1" t="s">
        <v>50</v>
      </c>
      <c r="E108" s="1" t="s">
        <v>157</v>
      </c>
      <c r="F108" s="1" t="s">
        <v>135</v>
      </c>
      <c r="G108" s="1" t="s">
        <v>433</v>
      </c>
      <c r="H108" s="2">
        <v>45857</v>
      </c>
      <c r="I108" s="1" t="s">
        <v>127</v>
      </c>
      <c r="J108" s="1" t="s">
        <v>115</v>
      </c>
      <c r="K108" s="1" t="s">
        <v>122</v>
      </c>
      <c r="L108" s="1" t="s">
        <v>33</v>
      </c>
      <c r="M108" s="1" t="s">
        <v>74</v>
      </c>
      <c r="N108">
        <v>292472.26</v>
      </c>
      <c r="O108">
        <v>11856.4</v>
      </c>
      <c r="P108">
        <v>50603</v>
      </c>
      <c r="Q108">
        <v>2</v>
      </c>
      <c r="R108">
        <v>38</v>
      </c>
      <c r="S108">
        <v>2.9</v>
      </c>
      <c r="T108" s="1" t="s">
        <v>33</v>
      </c>
      <c r="U108" s="1" t="s">
        <v>67</v>
      </c>
      <c r="V108" s="1" t="s">
        <v>102</v>
      </c>
      <c r="W108" s="1" t="s">
        <v>59</v>
      </c>
    </row>
    <row r="109" spans="1:23" x14ac:dyDescent="0.35">
      <c r="A109" s="1" t="s">
        <v>434</v>
      </c>
      <c r="B109" s="1" t="s">
        <v>435</v>
      </c>
      <c r="C109">
        <v>22</v>
      </c>
      <c r="D109" s="1" t="s">
        <v>33</v>
      </c>
      <c r="E109" s="1" t="s">
        <v>177</v>
      </c>
      <c r="F109" s="1" t="s">
        <v>193</v>
      </c>
      <c r="G109" s="1" t="s">
        <v>436</v>
      </c>
      <c r="H109" s="2">
        <v>45778</v>
      </c>
      <c r="I109" s="1" t="s">
        <v>33</v>
      </c>
      <c r="J109" s="1" t="s">
        <v>147</v>
      </c>
      <c r="K109" s="1" t="s">
        <v>122</v>
      </c>
      <c r="L109" s="1" t="s">
        <v>92</v>
      </c>
      <c r="M109" s="1" t="s">
        <v>74</v>
      </c>
      <c r="N109">
        <v>30764.16</v>
      </c>
      <c r="O109">
        <v>5603.17</v>
      </c>
      <c r="P109">
        <v>76609.25</v>
      </c>
      <c r="Q109">
        <v>1</v>
      </c>
      <c r="R109">
        <v>23</v>
      </c>
      <c r="T109" s="1" t="s">
        <v>33</v>
      </c>
      <c r="U109" s="1" t="s">
        <v>33</v>
      </c>
      <c r="V109" s="1" t="s">
        <v>164</v>
      </c>
      <c r="W109" s="1" t="s">
        <v>103</v>
      </c>
    </row>
    <row r="110" spans="1:23" x14ac:dyDescent="0.35">
      <c r="A110" s="1" t="s">
        <v>437</v>
      </c>
      <c r="B110" s="1" t="s">
        <v>438</v>
      </c>
      <c r="C110">
        <v>47</v>
      </c>
      <c r="D110" s="1" t="s">
        <v>25</v>
      </c>
      <c r="E110" s="1" t="s">
        <v>134</v>
      </c>
      <c r="F110" s="1" t="s">
        <v>193</v>
      </c>
      <c r="G110" s="1" t="s">
        <v>439</v>
      </c>
      <c r="H110" s="2">
        <v>45635</v>
      </c>
      <c r="I110" s="1" t="s">
        <v>114</v>
      </c>
      <c r="J110" s="1" t="s">
        <v>43</v>
      </c>
      <c r="K110" s="1" t="s">
        <v>208</v>
      </c>
      <c r="L110" s="1" t="s">
        <v>33</v>
      </c>
      <c r="M110" s="1" t="s">
        <v>33</v>
      </c>
      <c r="N110">
        <v>99829.91</v>
      </c>
      <c r="O110">
        <v>47507.75</v>
      </c>
      <c r="P110">
        <v>27730.87</v>
      </c>
      <c r="Q110">
        <v>4</v>
      </c>
      <c r="R110">
        <v>104</v>
      </c>
      <c r="S110">
        <v>5</v>
      </c>
      <c r="T110" s="1" t="s">
        <v>33</v>
      </c>
      <c r="U110" s="1" t="s">
        <v>95</v>
      </c>
      <c r="V110" s="1" t="s">
        <v>33</v>
      </c>
      <c r="W110" s="1" t="s">
        <v>12</v>
      </c>
    </row>
    <row r="111" spans="1:23" x14ac:dyDescent="0.35">
      <c r="A111" s="1" t="s">
        <v>440</v>
      </c>
      <c r="B111" s="1" t="s">
        <v>441</v>
      </c>
      <c r="C111">
        <v>68</v>
      </c>
      <c r="D111" s="1" t="s">
        <v>39</v>
      </c>
      <c r="E111" s="1" t="s">
        <v>177</v>
      </c>
      <c r="F111" s="1" t="s">
        <v>33</v>
      </c>
      <c r="G111" s="1" t="s">
        <v>301</v>
      </c>
      <c r="H111" s="2">
        <v>46032</v>
      </c>
      <c r="I111" s="1" t="s">
        <v>257</v>
      </c>
      <c r="J111" s="1" t="s">
        <v>141</v>
      </c>
      <c r="K111" s="1" t="s">
        <v>81</v>
      </c>
      <c r="L111" s="1" t="s">
        <v>33</v>
      </c>
      <c r="M111" s="1" t="s">
        <v>57</v>
      </c>
      <c r="N111">
        <v>121555.3</v>
      </c>
      <c r="O111">
        <v>29125.29</v>
      </c>
      <c r="P111">
        <v>98124.02</v>
      </c>
      <c r="Q111">
        <v>2</v>
      </c>
      <c r="R111">
        <v>47</v>
      </c>
      <c r="S111">
        <v>5</v>
      </c>
      <c r="T111" s="1" t="s">
        <v>154</v>
      </c>
      <c r="U111" s="1" t="s">
        <v>95</v>
      </c>
      <c r="V111" s="1" t="s">
        <v>33</v>
      </c>
      <c r="W111" s="1" t="s">
        <v>103</v>
      </c>
    </row>
    <row r="112" spans="1:23" x14ac:dyDescent="0.35">
      <c r="A112" s="1" t="s">
        <v>442</v>
      </c>
      <c r="B112" s="1" t="s">
        <v>443</v>
      </c>
      <c r="C112">
        <v>30</v>
      </c>
      <c r="D112" s="1" t="s">
        <v>119</v>
      </c>
      <c r="E112" s="1" t="s">
        <v>177</v>
      </c>
      <c r="F112" s="1" t="s">
        <v>145</v>
      </c>
      <c r="G112" s="1" t="s">
        <v>444</v>
      </c>
      <c r="H112" s="2">
        <v>46190</v>
      </c>
      <c r="I112" s="1" t="s">
        <v>159</v>
      </c>
      <c r="J112" s="1" t="s">
        <v>54</v>
      </c>
      <c r="K112" s="1" t="s">
        <v>122</v>
      </c>
      <c r="L112" s="1" t="s">
        <v>33</v>
      </c>
      <c r="M112" s="1" t="s">
        <v>142</v>
      </c>
      <c r="N112">
        <v>308537.08</v>
      </c>
      <c r="O112">
        <v>54313.86</v>
      </c>
      <c r="P112">
        <v>63654.3</v>
      </c>
      <c r="Q112">
        <v>5</v>
      </c>
      <c r="R112">
        <v>0</v>
      </c>
      <c r="S112">
        <v>2.8</v>
      </c>
      <c r="T112" s="1" t="s">
        <v>154</v>
      </c>
      <c r="U112" s="1" t="s">
        <v>33</v>
      </c>
      <c r="V112" s="1" t="s">
        <v>47</v>
      </c>
      <c r="W112" s="1" t="s">
        <v>83</v>
      </c>
    </row>
    <row r="113" spans="1:23" x14ac:dyDescent="0.35">
      <c r="A113" s="1" t="s">
        <v>445</v>
      </c>
      <c r="B113" s="1" t="s">
        <v>446</v>
      </c>
      <c r="C113">
        <v>41</v>
      </c>
      <c r="D113" s="1" t="s">
        <v>50</v>
      </c>
      <c r="E113" s="1" t="s">
        <v>33</v>
      </c>
      <c r="F113" s="1" t="s">
        <v>108</v>
      </c>
      <c r="G113" s="1" t="s">
        <v>447</v>
      </c>
      <c r="H113" s="2">
        <v>46116</v>
      </c>
      <c r="I113" s="1" t="s">
        <v>257</v>
      </c>
      <c r="J113" s="1" t="s">
        <v>242</v>
      </c>
      <c r="K113" s="1" t="s">
        <v>174</v>
      </c>
      <c r="L113" s="1" t="s">
        <v>66</v>
      </c>
      <c r="M113" s="1" t="s">
        <v>183</v>
      </c>
      <c r="N113">
        <v>306894.09000000003</v>
      </c>
      <c r="O113">
        <v>34442.53</v>
      </c>
      <c r="P113">
        <v>4939.67</v>
      </c>
      <c r="Q113">
        <v>2</v>
      </c>
      <c r="R113">
        <v>123</v>
      </c>
      <c r="S113">
        <v>4.5</v>
      </c>
      <c r="T113" s="1" t="s">
        <v>94</v>
      </c>
      <c r="U113" s="1" t="s">
        <v>58</v>
      </c>
      <c r="V113" s="1" t="s">
        <v>68</v>
      </c>
      <c r="W113" s="1" t="s">
        <v>33</v>
      </c>
    </row>
    <row r="114" spans="1:23" x14ac:dyDescent="0.35">
      <c r="A114" s="1" t="s">
        <v>448</v>
      </c>
      <c r="B114" s="1" t="s">
        <v>333</v>
      </c>
      <c r="C114">
        <v>66</v>
      </c>
      <c r="D114" s="1" t="s">
        <v>39</v>
      </c>
      <c r="E114" s="1" t="s">
        <v>62</v>
      </c>
      <c r="F114" s="1" t="s">
        <v>33</v>
      </c>
      <c r="G114" s="1" t="s">
        <v>348</v>
      </c>
      <c r="H114" s="2">
        <v>45883</v>
      </c>
      <c r="I114" s="1" t="s">
        <v>173</v>
      </c>
      <c r="J114" s="1" t="s">
        <v>43</v>
      </c>
      <c r="K114" s="1" t="s">
        <v>33</v>
      </c>
      <c r="L114" s="1" t="s">
        <v>32</v>
      </c>
      <c r="M114" s="1" t="s">
        <v>93</v>
      </c>
      <c r="N114">
        <v>336749.1</v>
      </c>
      <c r="O114">
        <v>41479.5</v>
      </c>
      <c r="P114">
        <v>42895.03</v>
      </c>
      <c r="Q114">
        <v>4</v>
      </c>
      <c r="R114">
        <v>0</v>
      </c>
      <c r="S114">
        <v>4.3</v>
      </c>
      <c r="T114" s="1" t="s">
        <v>154</v>
      </c>
      <c r="U114" s="1" t="s">
        <v>58</v>
      </c>
      <c r="V114" s="1" t="s">
        <v>75</v>
      </c>
      <c r="W114" s="1" t="s">
        <v>103</v>
      </c>
    </row>
    <row r="115" spans="1:23" x14ac:dyDescent="0.35">
      <c r="A115" s="1" t="s">
        <v>449</v>
      </c>
      <c r="B115" s="1" t="s">
        <v>300</v>
      </c>
      <c r="C115">
        <v>48</v>
      </c>
      <c r="D115" s="1" t="s">
        <v>50</v>
      </c>
      <c r="E115" s="1" t="s">
        <v>177</v>
      </c>
      <c r="F115" s="1" t="s">
        <v>120</v>
      </c>
      <c r="G115" s="1" t="s">
        <v>390</v>
      </c>
      <c r="H115" s="2">
        <v>46007</v>
      </c>
      <c r="I115" s="1" t="s">
        <v>257</v>
      </c>
      <c r="J115" s="1" t="s">
        <v>30</v>
      </c>
      <c r="K115" s="1" t="s">
        <v>148</v>
      </c>
      <c r="L115" s="1" t="s">
        <v>33</v>
      </c>
      <c r="M115" s="1" t="s">
        <v>123</v>
      </c>
      <c r="N115">
        <v>41255.199999999997</v>
      </c>
      <c r="O115">
        <v>2973.59</v>
      </c>
      <c r="P115">
        <v>76594.59</v>
      </c>
      <c r="Q115">
        <v>3</v>
      </c>
      <c r="R115">
        <v>92</v>
      </c>
      <c r="S115">
        <v>4.5999999999999996</v>
      </c>
      <c r="T115" s="1" t="s">
        <v>154</v>
      </c>
      <c r="U115" s="1" t="s">
        <v>101</v>
      </c>
      <c r="V115" s="1" t="s">
        <v>130</v>
      </c>
      <c r="W115" s="1" t="s">
        <v>131</v>
      </c>
    </row>
    <row r="116" spans="1:23" x14ac:dyDescent="0.35">
      <c r="A116" s="1" t="s">
        <v>450</v>
      </c>
      <c r="B116" s="1" t="s">
        <v>451</v>
      </c>
      <c r="C116">
        <v>43</v>
      </c>
      <c r="D116" s="1" t="s">
        <v>78</v>
      </c>
      <c r="E116" s="1" t="s">
        <v>134</v>
      </c>
      <c r="F116" s="1" t="s">
        <v>56</v>
      </c>
      <c r="G116" s="1" t="s">
        <v>452</v>
      </c>
      <c r="H116" s="2">
        <v>46246</v>
      </c>
      <c r="I116" s="1" t="s">
        <v>33</v>
      </c>
      <c r="J116" s="1" t="s">
        <v>137</v>
      </c>
      <c r="K116" s="1" t="s">
        <v>116</v>
      </c>
      <c r="L116" s="1" t="s">
        <v>32</v>
      </c>
      <c r="M116" s="1" t="s">
        <v>93</v>
      </c>
      <c r="N116">
        <v>351359.73</v>
      </c>
      <c r="O116">
        <v>17098.88</v>
      </c>
      <c r="P116">
        <v>47883.62</v>
      </c>
      <c r="Q116">
        <v>3</v>
      </c>
      <c r="R116">
        <v>60</v>
      </c>
      <c r="S116">
        <v>3.1</v>
      </c>
      <c r="T116" s="1" t="s">
        <v>33</v>
      </c>
      <c r="U116" s="1" t="s">
        <v>58</v>
      </c>
      <c r="V116" s="1" t="s">
        <v>130</v>
      </c>
      <c r="W116" s="1" t="s">
        <v>131</v>
      </c>
    </row>
    <row r="117" spans="1:23" x14ac:dyDescent="0.35">
      <c r="A117" s="1" t="s">
        <v>453</v>
      </c>
      <c r="B117" s="1" t="s">
        <v>438</v>
      </c>
      <c r="C117">
        <v>47</v>
      </c>
      <c r="D117" s="1" t="s">
        <v>39</v>
      </c>
      <c r="E117" s="1" t="s">
        <v>192</v>
      </c>
      <c r="F117" s="1" t="s">
        <v>44</v>
      </c>
      <c r="G117" s="1" t="s">
        <v>454</v>
      </c>
      <c r="H117" s="2">
        <v>45473</v>
      </c>
      <c r="I117" s="1" t="s">
        <v>89</v>
      </c>
      <c r="J117" s="1" t="s">
        <v>43</v>
      </c>
      <c r="K117" s="1" t="s">
        <v>91</v>
      </c>
      <c r="L117" s="1" t="s">
        <v>32</v>
      </c>
      <c r="M117" s="1" t="s">
        <v>33</v>
      </c>
      <c r="N117">
        <v>152975.19</v>
      </c>
      <c r="O117">
        <v>61393.9</v>
      </c>
      <c r="P117">
        <v>18161.78</v>
      </c>
      <c r="Q117">
        <v>2</v>
      </c>
      <c r="R117">
        <v>80</v>
      </c>
      <c r="S117">
        <v>3.1</v>
      </c>
      <c r="T117" s="1" t="s">
        <v>94</v>
      </c>
      <c r="U117" s="1" t="s">
        <v>58</v>
      </c>
      <c r="V117" s="1" t="s">
        <v>130</v>
      </c>
      <c r="W117" s="1" t="s">
        <v>36</v>
      </c>
    </row>
    <row r="118" spans="1:23" x14ac:dyDescent="0.35">
      <c r="A118" s="1" t="s">
        <v>455</v>
      </c>
      <c r="B118" s="1" t="s">
        <v>456</v>
      </c>
      <c r="C118">
        <v>47</v>
      </c>
      <c r="D118" s="1" t="s">
        <v>33</v>
      </c>
      <c r="E118" s="1" t="s">
        <v>177</v>
      </c>
      <c r="F118" s="1" t="s">
        <v>33</v>
      </c>
      <c r="G118" s="1" t="s">
        <v>457</v>
      </c>
      <c r="H118" s="2">
        <v>45856</v>
      </c>
      <c r="I118" s="1" t="s">
        <v>33</v>
      </c>
      <c r="J118" s="1" t="s">
        <v>137</v>
      </c>
      <c r="K118" s="1" t="s">
        <v>153</v>
      </c>
      <c r="L118" s="1" t="s">
        <v>32</v>
      </c>
      <c r="M118" s="1" t="s">
        <v>57</v>
      </c>
      <c r="N118">
        <v>364458.23999999999</v>
      </c>
      <c r="O118">
        <v>0</v>
      </c>
      <c r="P118">
        <v>53011.51</v>
      </c>
      <c r="Q118">
        <v>8</v>
      </c>
      <c r="R118">
        <v>161</v>
      </c>
      <c r="S118">
        <v>3.8</v>
      </c>
      <c r="T118" s="1" t="s">
        <v>33</v>
      </c>
      <c r="U118" s="1" t="s">
        <v>149</v>
      </c>
      <c r="V118" s="1" t="s">
        <v>33</v>
      </c>
      <c r="W118" s="1" t="s">
        <v>12</v>
      </c>
    </row>
    <row r="119" spans="1:23" x14ac:dyDescent="0.35">
      <c r="A119" s="1" t="s">
        <v>458</v>
      </c>
      <c r="B119" s="1" t="s">
        <v>459</v>
      </c>
      <c r="C119">
        <v>31</v>
      </c>
      <c r="D119" s="1" t="s">
        <v>39</v>
      </c>
      <c r="E119" s="1" t="s">
        <v>134</v>
      </c>
      <c r="F119" s="1" t="s">
        <v>145</v>
      </c>
      <c r="G119" s="1" t="s">
        <v>454</v>
      </c>
      <c r="H119" s="2">
        <v>45477</v>
      </c>
      <c r="I119" s="1" t="s">
        <v>235</v>
      </c>
      <c r="J119" s="1" t="s">
        <v>87</v>
      </c>
      <c r="K119" s="1" t="s">
        <v>128</v>
      </c>
      <c r="L119" s="1" t="s">
        <v>33</v>
      </c>
      <c r="M119" s="1" t="s">
        <v>57</v>
      </c>
      <c r="N119">
        <v>417308.64</v>
      </c>
      <c r="O119">
        <v>87472.45</v>
      </c>
      <c r="P119">
        <v>34114.839999999997</v>
      </c>
      <c r="Q119">
        <v>6</v>
      </c>
      <c r="R119">
        <v>61</v>
      </c>
      <c r="S119">
        <v>5</v>
      </c>
      <c r="T119" s="1" t="s">
        <v>46</v>
      </c>
      <c r="U119" s="1" t="s">
        <v>149</v>
      </c>
      <c r="V119" s="1" t="s">
        <v>33</v>
      </c>
      <c r="W119" s="1" t="s">
        <v>103</v>
      </c>
    </row>
    <row r="120" spans="1:23" x14ac:dyDescent="0.35">
      <c r="A120" s="1" t="s">
        <v>460</v>
      </c>
      <c r="B120" s="1" t="s">
        <v>282</v>
      </c>
      <c r="C120">
        <v>31</v>
      </c>
      <c r="D120" s="1" t="s">
        <v>119</v>
      </c>
      <c r="E120" s="1" t="s">
        <v>263</v>
      </c>
      <c r="F120" s="1" t="s">
        <v>56</v>
      </c>
      <c r="G120" s="1" t="s">
        <v>461</v>
      </c>
      <c r="H120" s="2">
        <v>45897</v>
      </c>
      <c r="I120" s="1" t="s">
        <v>173</v>
      </c>
      <c r="J120" s="1" t="s">
        <v>80</v>
      </c>
      <c r="K120" s="1" t="s">
        <v>31</v>
      </c>
      <c r="L120" s="1" t="s">
        <v>44</v>
      </c>
      <c r="M120" s="1" t="s">
        <v>33</v>
      </c>
      <c r="N120">
        <v>161173.85</v>
      </c>
      <c r="O120">
        <v>22955.38</v>
      </c>
      <c r="P120">
        <v>4666.4799999999996</v>
      </c>
      <c r="Q120">
        <v>9</v>
      </c>
      <c r="R120">
        <v>26</v>
      </c>
      <c r="S120">
        <v>2.4</v>
      </c>
      <c r="T120" s="1" t="s">
        <v>154</v>
      </c>
      <c r="U120" s="1" t="s">
        <v>33</v>
      </c>
      <c r="V120" s="1" t="s">
        <v>164</v>
      </c>
      <c r="W120" s="1" t="s">
        <v>83</v>
      </c>
    </row>
    <row r="121" spans="1:23" x14ac:dyDescent="0.35">
      <c r="A121" s="1" t="s">
        <v>462</v>
      </c>
      <c r="B121" s="1" t="s">
        <v>97</v>
      </c>
      <c r="C121">
        <v>42</v>
      </c>
      <c r="D121" s="1" t="s">
        <v>50</v>
      </c>
      <c r="E121" s="1" t="s">
        <v>219</v>
      </c>
      <c r="F121" s="1" t="s">
        <v>193</v>
      </c>
      <c r="G121" s="1" t="s">
        <v>463</v>
      </c>
      <c r="H121" s="2">
        <v>46231</v>
      </c>
      <c r="I121" s="1" t="s">
        <v>257</v>
      </c>
      <c r="J121" s="1" t="s">
        <v>30</v>
      </c>
      <c r="K121" s="1" t="s">
        <v>163</v>
      </c>
      <c r="L121" s="1" t="s">
        <v>56</v>
      </c>
      <c r="M121" s="1" t="s">
        <v>45</v>
      </c>
      <c r="N121">
        <v>252790.06</v>
      </c>
      <c r="O121">
        <v>68762.509999999995</v>
      </c>
      <c r="P121">
        <v>15049.38</v>
      </c>
      <c r="Q121">
        <v>1</v>
      </c>
      <c r="R121">
        <v>168</v>
      </c>
      <c r="S121">
        <v>3.4</v>
      </c>
      <c r="T121" s="1" t="s">
        <v>154</v>
      </c>
      <c r="U121" s="1" t="s">
        <v>67</v>
      </c>
      <c r="V121" s="1" t="s">
        <v>33</v>
      </c>
      <c r="W121" s="1" t="s">
        <v>33</v>
      </c>
    </row>
    <row r="122" spans="1:23" x14ac:dyDescent="0.35">
      <c r="A122" s="1" t="s">
        <v>464</v>
      </c>
      <c r="B122" s="1" t="s">
        <v>465</v>
      </c>
      <c r="C122">
        <v>57</v>
      </c>
      <c r="D122" s="1" t="s">
        <v>25</v>
      </c>
      <c r="E122" s="1" t="s">
        <v>33</v>
      </c>
      <c r="F122" s="1" t="s">
        <v>41</v>
      </c>
      <c r="G122" s="1" t="s">
        <v>466</v>
      </c>
      <c r="H122" s="2">
        <v>46189</v>
      </c>
      <c r="I122" s="1" t="s">
        <v>33</v>
      </c>
      <c r="J122" s="1" t="s">
        <v>80</v>
      </c>
      <c r="K122" s="1" t="s">
        <v>122</v>
      </c>
      <c r="L122" s="1" t="s">
        <v>44</v>
      </c>
      <c r="M122" s="1" t="s">
        <v>82</v>
      </c>
      <c r="N122">
        <v>62818.92</v>
      </c>
      <c r="O122">
        <v>39560.239999999998</v>
      </c>
      <c r="P122">
        <v>49993.57</v>
      </c>
      <c r="Q122">
        <v>3</v>
      </c>
      <c r="R122">
        <v>131</v>
      </c>
      <c r="S122">
        <v>4.0999999999999996</v>
      </c>
      <c r="T122" s="1" t="s">
        <v>46</v>
      </c>
      <c r="U122" s="1" t="s">
        <v>95</v>
      </c>
      <c r="V122" s="1" t="s">
        <v>68</v>
      </c>
      <c r="W122" s="1" t="s">
        <v>33</v>
      </c>
    </row>
    <row r="123" spans="1:23" x14ac:dyDescent="0.35">
      <c r="A123" s="1" t="s">
        <v>467</v>
      </c>
      <c r="B123" s="1" t="s">
        <v>468</v>
      </c>
      <c r="C123">
        <v>28</v>
      </c>
      <c r="D123" s="1" t="s">
        <v>25</v>
      </c>
      <c r="E123" s="1" t="s">
        <v>33</v>
      </c>
      <c r="F123" s="1" t="s">
        <v>41</v>
      </c>
      <c r="G123" s="1" t="s">
        <v>238</v>
      </c>
      <c r="H123" s="2">
        <v>45809</v>
      </c>
      <c r="I123" s="1" t="s">
        <v>53</v>
      </c>
      <c r="J123" s="1" t="s">
        <v>137</v>
      </c>
      <c r="K123" s="1" t="s">
        <v>163</v>
      </c>
      <c r="L123" s="1" t="s">
        <v>92</v>
      </c>
      <c r="M123" s="1" t="s">
        <v>129</v>
      </c>
      <c r="N123">
        <v>145660.43</v>
      </c>
      <c r="O123">
        <v>14421.49</v>
      </c>
      <c r="P123">
        <v>28335.69</v>
      </c>
      <c r="Q123">
        <v>17</v>
      </c>
      <c r="R123">
        <v>47</v>
      </c>
      <c r="S123">
        <v>5</v>
      </c>
      <c r="T123" s="1" t="s">
        <v>33</v>
      </c>
      <c r="U123" s="1" t="s">
        <v>95</v>
      </c>
      <c r="V123" s="1" t="s">
        <v>33</v>
      </c>
      <c r="W123" s="1" t="s">
        <v>12</v>
      </c>
    </row>
    <row r="124" spans="1:23" x14ac:dyDescent="0.35">
      <c r="A124" s="1" t="s">
        <v>469</v>
      </c>
      <c r="B124" s="1" t="s">
        <v>470</v>
      </c>
      <c r="C124">
        <v>30</v>
      </c>
      <c r="D124" s="1" t="s">
        <v>106</v>
      </c>
      <c r="E124" s="1" t="s">
        <v>86</v>
      </c>
      <c r="F124" s="1" t="s">
        <v>145</v>
      </c>
      <c r="G124" s="1" t="s">
        <v>471</v>
      </c>
      <c r="H124" s="2">
        <v>45733</v>
      </c>
      <c r="I124" s="1" t="s">
        <v>53</v>
      </c>
      <c r="J124" s="1" t="s">
        <v>33</v>
      </c>
      <c r="K124" s="1" t="s">
        <v>55</v>
      </c>
      <c r="L124" s="1" t="s">
        <v>56</v>
      </c>
      <c r="M124" s="1" t="s">
        <v>169</v>
      </c>
      <c r="N124">
        <v>103470.22</v>
      </c>
      <c r="O124">
        <v>41785.39</v>
      </c>
      <c r="P124">
        <v>28433.31</v>
      </c>
      <c r="Q124">
        <v>8</v>
      </c>
      <c r="R124">
        <v>142</v>
      </c>
      <c r="S124">
        <v>4</v>
      </c>
      <c r="T124" s="1" t="s">
        <v>33</v>
      </c>
      <c r="U124" s="1" t="s">
        <v>33</v>
      </c>
      <c r="V124" s="1" t="s">
        <v>102</v>
      </c>
      <c r="W124" s="1" t="s">
        <v>83</v>
      </c>
    </row>
    <row r="125" spans="1:23" x14ac:dyDescent="0.35">
      <c r="A125" s="1" t="s">
        <v>472</v>
      </c>
      <c r="B125" s="1" t="s">
        <v>309</v>
      </c>
      <c r="C125">
        <v>77</v>
      </c>
      <c r="D125" s="1" t="s">
        <v>25</v>
      </c>
      <c r="E125" s="1" t="s">
        <v>177</v>
      </c>
      <c r="F125" s="1" t="s">
        <v>56</v>
      </c>
      <c r="G125" s="1" t="s">
        <v>473</v>
      </c>
      <c r="H125" s="2">
        <v>45677</v>
      </c>
      <c r="I125" s="1" t="s">
        <v>173</v>
      </c>
      <c r="J125" s="1" t="s">
        <v>87</v>
      </c>
      <c r="K125" s="1" t="s">
        <v>163</v>
      </c>
      <c r="L125" s="1" t="s">
        <v>92</v>
      </c>
      <c r="M125" s="1" t="s">
        <v>129</v>
      </c>
      <c r="N125">
        <v>471422.87</v>
      </c>
      <c r="O125">
        <v>14680.28</v>
      </c>
      <c r="P125">
        <v>33368.949999999997</v>
      </c>
      <c r="Q125">
        <v>1</v>
      </c>
      <c r="R125">
        <v>116</v>
      </c>
      <c r="S125">
        <v>4.0999999999999996</v>
      </c>
      <c r="T125" s="1" t="s">
        <v>34</v>
      </c>
      <c r="U125" s="1" t="s">
        <v>149</v>
      </c>
      <c r="V125" s="1" t="s">
        <v>68</v>
      </c>
      <c r="W125" s="1" t="s">
        <v>36</v>
      </c>
    </row>
    <row r="126" spans="1:23" x14ac:dyDescent="0.35">
      <c r="A126" s="1" t="s">
        <v>474</v>
      </c>
      <c r="B126" s="1" t="s">
        <v>475</v>
      </c>
      <c r="C126">
        <v>87</v>
      </c>
      <c r="D126" s="1" t="s">
        <v>33</v>
      </c>
      <c r="E126" s="1" t="s">
        <v>219</v>
      </c>
      <c r="F126" s="1" t="s">
        <v>135</v>
      </c>
      <c r="G126" s="1" t="s">
        <v>476</v>
      </c>
      <c r="H126" s="2">
        <v>45550</v>
      </c>
      <c r="I126" s="1" t="s">
        <v>29</v>
      </c>
      <c r="J126" s="1" t="s">
        <v>30</v>
      </c>
      <c r="K126" s="1" t="s">
        <v>208</v>
      </c>
      <c r="L126" s="1" t="s">
        <v>33</v>
      </c>
      <c r="M126" s="1" t="s">
        <v>57</v>
      </c>
      <c r="N126">
        <v>195227.39</v>
      </c>
      <c r="O126">
        <v>10042.57</v>
      </c>
      <c r="P126">
        <v>3620.42</v>
      </c>
      <c r="Q126">
        <v>5</v>
      </c>
      <c r="R126">
        <v>40</v>
      </c>
      <c r="S126">
        <v>3.7</v>
      </c>
      <c r="T126" s="1" t="s">
        <v>46</v>
      </c>
      <c r="U126" s="1" t="s">
        <v>33</v>
      </c>
      <c r="V126" s="1" t="s">
        <v>130</v>
      </c>
      <c r="W126" s="1" t="s">
        <v>59</v>
      </c>
    </row>
    <row r="127" spans="1:23" x14ac:dyDescent="0.35">
      <c r="A127" s="1" t="s">
        <v>477</v>
      </c>
      <c r="B127" s="1" t="s">
        <v>297</v>
      </c>
      <c r="C127">
        <v>31</v>
      </c>
      <c r="D127" s="1" t="s">
        <v>119</v>
      </c>
      <c r="E127" s="1" t="s">
        <v>62</v>
      </c>
      <c r="F127" s="1" t="s">
        <v>41</v>
      </c>
      <c r="G127" s="1" t="s">
        <v>478</v>
      </c>
      <c r="H127" s="2">
        <v>45553</v>
      </c>
      <c r="I127" s="1" t="s">
        <v>257</v>
      </c>
      <c r="J127" s="1" t="s">
        <v>54</v>
      </c>
      <c r="K127" s="1" t="s">
        <v>31</v>
      </c>
      <c r="L127" s="1" t="s">
        <v>33</v>
      </c>
      <c r="M127" s="1" t="s">
        <v>169</v>
      </c>
      <c r="N127">
        <v>251330.31</v>
      </c>
      <c r="O127">
        <v>29589.43</v>
      </c>
      <c r="P127">
        <v>80651.8</v>
      </c>
      <c r="Q127">
        <v>11</v>
      </c>
      <c r="R127">
        <v>284</v>
      </c>
      <c r="S127">
        <v>3</v>
      </c>
      <c r="T127" s="1" t="s">
        <v>33</v>
      </c>
      <c r="U127" s="1" t="s">
        <v>58</v>
      </c>
      <c r="V127" s="1" t="s">
        <v>68</v>
      </c>
      <c r="W127" s="1" t="s">
        <v>103</v>
      </c>
    </row>
    <row r="128" spans="1:23" x14ac:dyDescent="0.35">
      <c r="A128" s="1" t="s">
        <v>479</v>
      </c>
      <c r="B128" s="1" t="s">
        <v>480</v>
      </c>
      <c r="C128">
        <v>65</v>
      </c>
      <c r="D128" s="1" t="s">
        <v>71</v>
      </c>
      <c r="E128" s="1" t="s">
        <v>134</v>
      </c>
      <c r="F128" s="1" t="s">
        <v>63</v>
      </c>
      <c r="G128" s="1" t="s">
        <v>481</v>
      </c>
      <c r="H128" s="2">
        <v>45970</v>
      </c>
      <c r="I128" s="1" t="s">
        <v>29</v>
      </c>
      <c r="J128" s="1" t="s">
        <v>141</v>
      </c>
      <c r="K128" s="1" t="s">
        <v>174</v>
      </c>
      <c r="L128" s="1" t="s">
        <v>92</v>
      </c>
      <c r="M128" s="1" t="s">
        <v>33</v>
      </c>
      <c r="N128">
        <v>315464.81</v>
      </c>
      <c r="O128">
        <v>76167.679999999993</v>
      </c>
      <c r="P128">
        <v>62517.85</v>
      </c>
      <c r="Q128">
        <v>2</v>
      </c>
      <c r="R128">
        <v>68</v>
      </c>
      <c r="S128">
        <v>4.5</v>
      </c>
      <c r="T128" s="1" t="s">
        <v>94</v>
      </c>
      <c r="U128" s="1" t="s">
        <v>33</v>
      </c>
      <c r="V128" s="1" t="s">
        <v>33</v>
      </c>
      <c r="W128" s="1" t="s">
        <v>36</v>
      </c>
    </row>
    <row r="129" spans="1:23" x14ac:dyDescent="0.35">
      <c r="A129" s="1" t="s">
        <v>482</v>
      </c>
      <c r="B129" s="1" t="s">
        <v>483</v>
      </c>
      <c r="C129">
        <v>61</v>
      </c>
      <c r="D129" s="1" t="s">
        <v>33</v>
      </c>
      <c r="E129" s="1" t="s">
        <v>40</v>
      </c>
      <c r="F129" s="1" t="s">
        <v>33</v>
      </c>
      <c r="G129" s="1" t="s">
        <v>484</v>
      </c>
      <c r="H129" s="2">
        <v>45486</v>
      </c>
      <c r="I129" s="1" t="s">
        <v>257</v>
      </c>
      <c r="J129" s="1" t="s">
        <v>242</v>
      </c>
      <c r="K129" s="1" t="s">
        <v>33</v>
      </c>
      <c r="L129" s="1" t="s">
        <v>33</v>
      </c>
      <c r="M129" s="1" t="s">
        <v>45</v>
      </c>
      <c r="N129">
        <v>291018.36</v>
      </c>
      <c r="O129">
        <v>56666.87</v>
      </c>
      <c r="P129">
        <v>80078.87</v>
      </c>
      <c r="Q129">
        <v>6</v>
      </c>
      <c r="R129">
        <v>198</v>
      </c>
      <c r="S129">
        <v>4.5</v>
      </c>
      <c r="T129" s="1" t="s">
        <v>154</v>
      </c>
      <c r="U129" s="1" t="s">
        <v>33</v>
      </c>
      <c r="V129" s="1" t="s">
        <v>130</v>
      </c>
      <c r="W129" s="1" t="s">
        <v>33</v>
      </c>
    </row>
    <row r="130" spans="1:23" x14ac:dyDescent="0.35">
      <c r="A130" s="1" t="s">
        <v>485</v>
      </c>
      <c r="B130" s="1" t="s">
        <v>429</v>
      </c>
      <c r="C130">
        <v>46</v>
      </c>
      <c r="D130" s="1" t="s">
        <v>33</v>
      </c>
      <c r="E130" s="1" t="s">
        <v>219</v>
      </c>
      <c r="F130" s="1" t="s">
        <v>120</v>
      </c>
      <c r="G130" s="1" t="s">
        <v>486</v>
      </c>
      <c r="H130" s="2">
        <v>45374</v>
      </c>
      <c r="I130" s="1" t="s">
        <v>159</v>
      </c>
      <c r="J130" s="1" t="s">
        <v>141</v>
      </c>
      <c r="K130" s="1" t="s">
        <v>153</v>
      </c>
      <c r="L130" s="1" t="s">
        <v>56</v>
      </c>
      <c r="M130" s="1" t="s">
        <v>33</v>
      </c>
      <c r="N130">
        <v>388911.26</v>
      </c>
      <c r="O130">
        <v>9576.61</v>
      </c>
      <c r="P130">
        <v>56060.2</v>
      </c>
      <c r="Q130">
        <v>2</v>
      </c>
      <c r="R130">
        <v>65</v>
      </c>
      <c r="S130">
        <v>3.7</v>
      </c>
      <c r="T130" s="1" t="s">
        <v>33</v>
      </c>
      <c r="U130" s="1" t="s">
        <v>95</v>
      </c>
      <c r="V130" s="1" t="s">
        <v>75</v>
      </c>
      <c r="W130" s="1" t="s">
        <v>59</v>
      </c>
    </row>
    <row r="131" spans="1:23" x14ac:dyDescent="0.35">
      <c r="A131" s="1" t="s">
        <v>487</v>
      </c>
      <c r="B131" s="1" t="s">
        <v>488</v>
      </c>
      <c r="C131">
        <v>47</v>
      </c>
      <c r="D131" s="1" t="s">
        <v>71</v>
      </c>
      <c r="E131" s="1" t="s">
        <v>112</v>
      </c>
      <c r="F131" s="1" t="s">
        <v>27</v>
      </c>
      <c r="G131" s="1" t="s">
        <v>489</v>
      </c>
      <c r="H131" s="2">
        <v>45314</v>
      </c>
      <c r="I131" s="1" t="s">
        <v>127</v>
      </c>
      <c r="J131" s="1" t="s">
        <v>80</v>
      </c>
      <c r="K131" s="1" t="s">
        <v>33</v>
      </c>
      <c r="L131" s="1" t="s">
        <v>56</v>
      </c>
      <c r="M131" s="1" t="s">
        <v>183</v>
      </c>
      <c r="N131">
        <v>226501.12</v>
      </c>
      <c r="O131">
        <v>0</v>
      </c>
      <c r="P131">
        <v>67387.61</v>
      </c>
      <c r="Q131">
        <v>7</v>
      </c>
      <c r="R131">
        <v>143</v>
      </c>
      <c r="S131">
        <v>5</v>
      </c>
      <c r="T131" s="1" t="s">
        <v>33</v>
      </c>
      <c r="U131" s="1" t="s">
        <v>101</v>
      </c>
      <c r="V131" s="1" t="s">
        <v>33</v>
      </c>
      <c r="W131" s="1" t="s">
        <v>59</v>
      </c>
    </row>
    <row r="132" spans="1:23" x14ac:dyDescent="0.35">
      <c r="A132" s="1" t="s">
        <v>490</v>
      </c>
      <c r="B132" s="1" t="s">
        <v>491</v>
      </c>
      <c r="C132">
        <v>47</v>
      </c>
      <c r="D132" s="1" t="s">
        <v>33</v>
      </c>
      <c r="E132" s="1" t="s">
        <v>203</v>
      </c>
      <c r="F132" s="1" t="s">
        <v>120</v>
      </c>
      <c r="G132" s="1" t="s">
        <v>492</v>
      </c>
      <c r="H132" s="2">
        <v>45662</v>
      </c>
      <c r="I132" s="1" t="s">
        <v>33</v>
      </c>
      <c r="J132" s="1" t="s">
        <v>43</v>
      </c>
      <c r="K132" s="1" t="s">
        <v>33</v>
      </c>
      <c r="L132" s="1" t="s">
        <v>66</v>
      </c>
      <c r="M132" s="1" t="s">
        <v>183</v>
      </c>
      <c r="N132">
        <v>254913.72</v>
      </c>
      <c r="O132">
        <v>69436.33</v>
      </c>
      <c r="P132">
        <v>42141.13</v>
      </c>
      <c r="Q132">
        <v>2</v>
      </c>
      <c r="R132">
        <v>115</v>
      </c>
      <c r="S132">
        <v>4.5</v>
      </c>
      <c r="T132" s="1" t="s">
        <v>33</v>
      </c>
      <c r="U132" s="1" t="s">
        <v>67</v>
      </c>
      <c r="V132" s="1" t="s">
        <v>33</v>
      </c>
      <c r="W132" s="1" t="s">
        <v>36</v>
      </c>
    </row>
    <row r="133" spans="1:23" x14ac:dyDescent="0.35">
      <c r="A133" s="1" t="s">
        <v>493</v>
      </c>
      <c r="B133" s="1" t="s">
        <v>494</v>
      </c>
      <c r="C133">
        <v>33</v>
      </c>
      <c r="D133" s="1" t="s">
        <v>50</v>
      </c>
      <c r="E133" s="1" t="s">
        <v>177</v>
      </c>
      <c r="F133" s="1" t="s">
        <v>108</v>
      </c>
      <c r="G133" s="1" t="s">
        <v>495</v>
      </c>
      <c r="H133" s="2">
        <v>45722</v>
      </c>
      <c r="I133" s="1" t="s">
        <v>235</v>
      </c>
      <c r="J133" s="1" t="s">
        <v>30</v>
      </c>
      <c r="K133" s="1" t="s">
        <v>128</v>
      </c>
      <c r="L133" s="1" t="s">
        <v>92</v>
      </c>
      <c r="M133" s="1" t="s">
        <v>183</v>
      </c>
      <c r="N133">
        <v>247172.6</v>
      </c>
      <c r="O133">
        <v>56840.79</v>
      </c>
      <c r="P133">
        <v>14204.54</v>
      </c>
      <c r="Q133">
        <v>3</v>
      </c>
      <c r="R133">
        <v>104</v>
      </c>
      <c r="S133">
        <v>2.8</v>
      </c>
      <c r="T133" s="1" t="s">
        <v>33</v>
      </c>
      <c r="U133" s="1" t="s">
        <v>67</v>
      </c>
      <c r="V133" s="1" t="s">
        <v>164</v>
      </c>
      <c r="W133" s="1" t="s">
        <v>33</v>
      </c>
    </row>
    <row r="134" spans="1:23" x14ac:dyDescent="0.35">
      <c r="A134" s="1" t="s">
        <v>496</v>
      </c>
      <c r="B134" s="1" t="s">
        <v>497</v>
      </c>
      <c r="C134">
        <v>9</v>
      </c>
      <c r="D134" s="1" t="s">
        <v>78</v>
      </c>
      <c r="E134" s="1" t="s">
        <v>51</v>
      </c>
      <c r="F134" s="1" t="s">
        <v>145</v>
      </c>
      <c r="G134" s="1" t="s">
        <v>238</v>
      </c>
      <c r="H134" s="2">
        <v>45799</v>
      </c>
      <c r="I134" s="1" t="s">
        <v>53</v>
      </c>
      <c r="J134" s="1" t="s">
        <v>33</v>
      </c>
      <c r="K134" s="1" t="s">
        <v>33</v>
      </c>
      <c r="L134" s="1" t="s">
        <v>44</v>
      </c>
      <c r="M134" s="1" t="s">
        <v>33</v>
      </c>
      <c r="N134">
        <v>141750.94</v>
      </c>
      <c r="O134">
        <v>39430.300000000003</v>
      </c>
      <c r="P134">
        <v>91965.72</v>
      </c>
      <c r="Q134">
        <v>7</v>
      </c>
      <c r="R134">
        <v>90</v>
      </c>
      <c r="S134">
        <v>3</v>
      </c>
      <c r="T134" s="1" t="s">
        <v>33</v>
      </c>
      <c r="U134" s="1" t="s">
        <v>95</v>
      </c>
      <c r="V134" s="1" t="s">
        <v>33</v>
      </c>
      <c r="W134" s="1" t="s">
        <v>83</v>
      </c>
    </row>
    <row r="135" spans="1:23" x14ac:dyDescent="0.35">
      <c r="A135" s="1" t="s">
        <v>498</v>
      </c>
      <c r="B135" s="1" t="s">
        <v>499</v>
      </c>
      <c r="C135">
        <v>11</v>
      </c>
      <c r="D135" s="1" t="s">
        <v>33</v>
      </c>
      <c r="E135" s="1" t="s">
        <v>33</v>
      </c>
      <c r="F135" s="1" t="s">
        <v>44</v>
      </c>
      <c r="G135" s="1" t="s">
        <v>500</v>
      </c>
      <c r="H135" s="2">
        <v>45935</v>
      </c>
      <c r="I135" s="1" t="s">
        <v>273</v>
      </c>
      <c r="J135" s="1" t="s">
        <v>54</v>
      </c>
      <c r="K135" s="1" t="s">
        <v>174</v>
      </c>
      <c r="L135" s="1" t="s">
        <v>56</v>
      </c>
      <c r="M135" s="1" t="s">
        <v>169</v>
      </c>
      <c r="N135">
        <v>0</v>
      </c>
      <c r="O135">
        <v>41000.36</v>
      </c>
      <c r="P135">
        <v>29938.37</v>
      </c>
      <c r="Q135">
        <v>11</v>
      </c>
      <c r="R135">
        <v>18</v>
      </c>
      <c r="S135">
        <v>4.5999999999999996</v>
      </c>
      <c r="T135" s="1" t="s">
        <v>33</v>
      </c>
      <c r="U135" s="1" t="s">
        <v>58</v>
      </c>
      <c r="V135" s="1" t="s">
        <v>164</v>
      </c>
      <c r="W135" s="1" t="s">
        <v>36</v>
      </c>
    </row>
    <row r="136" spans="1:23" x14ac:dyDescent="0.35">
      <c r="A136" s="1" t="s">
        <v>501</v>
      </c>
      <c r="B136" s="1" t="s">
        <v>176</v>
      </c>
      <c r="C136">
        <v>30</v>
      </c>
      <c r="D136" s="1" t="s">
        <v>71</v>
      </c>
      <c r="E136" s="1" t="s">
        <v>33</v>
      </c>
      <c r="F136" s="1" t="s">
        <v>63</v>
      </c>
      <c r="G136" s="1" t="s">
        <v>502</v>
      </c>
      <c r="H136" s="2">
        <v>45541</v>
      </c>
      <c r="I136" s="1" t="s">
        <v>173</v>
      </c>
      <c r="J136" s="1" t="s">
        <v>242</v>
      </c>
      <c r="K136" s="1" t="s">
        <v>33</v>
      </c>
      <c r="L136" s="1" t="s">
        <v>56</v>
      </c>
      <c r="M136" s="1" t="s">
        <v>57</v>
      </c>
      <c r="N136">
        <v>40757.379999999997</v>
      </c>
      <c r="O136">
        <v>51811.43</v>
      </c>
      <c r="P136">
        <v>64506.04</v>
      </c>
      <c r="Q136">
        <v>3</v>
      </c>
      <c r="R136">
        <v>87</v>
      </c>
      <c r="S136">
        <v>5</v>
      </c>
      <c r="T136" s="1" t="s">
        <v>33</v>
      </c>
      <c r="U136" s="1" t="s">
        <v>33</v>
      </c>
      <c r="V136" s="1" t="s">
        <v>33</v>
      </c>
      <c r="W136" s="1" t="s">
        <v>59</v>
      </c>
    </row>
    <row r="137" spans="1:23" x14ac:dyDescent="0.35">
      <c r="A137" s="1" t="s">
        <v>503</v>
      </c>
      <c r="B137" s="1" t="s">
        <v>262</v>
      </c>
      <c r="C137">
        <v>9</v>
      </c>
      <c r="D137" s="1" t="s">
        <v>119</v>
      </c>
      <c r="E137" s="1" t="s">
        <v>86</v>
      </c>
      <c r="F137" s="1" t="s">
        <v>87</v>
      </c>
      <c r="G137" s="1" t="s">
        <v>354</v>
      </c>
      <c r="H137" s="2">
        <v>46070</v>
      </c>
      <c r="I137" s="1" t="s">
        <v>89</v>
      </c>
      <c r="J137" s="1" t="s">
        <v>115</v>
      </c>
      <c r="K137" s="1" t="s">
        <v>174</v>
      </c>
      <c r="L137" s="1" t="s">
        <v>56</v>
      </c>
      <c r="M137" s="1" t="s">
        <v>169</v>
      </c>
      <c r="N137">
        <v>123132.87</v>
      </c>
      <c r="O137">
        <v>28860.35</v>
      </c>
      <c r="P137">
        <v>52300.18</v>
      </c>
      <c r="Q137">
        <v>1</v>
      </c>
      <c r="R137">
        <v>76</v>
      </c>
      <c r="S137">
        <v>4.2</v>
      </c>
      <c r="T137" s="1" t="s">
        <v>154</v>
      </c>
      <c r="U137" s="1" t="s">
        <v>95</v>
      </c>
      <c r="V137" s="1" t="s">
        <v>102</v>
      </c>
      <c r="W137" s="1" t="s">
        <v>131</v>
      </c>
    </row>
    <row r="138" spans="1:23" x14ac:dyDescent="0.35">
      <c r="A138" s="1" t="s">
        <v>504</v>
      </c>
      <c r="B138" s="1" t="s">
        <v>505</v>
      </c>
      <c r="C138">
        <v>74</v>
      </c>
      <c r="D138" s="1" t="s">
        <v>119</v>
      </c>
      <c r="E138" s="1" t="s">
        <v>40</v>
      </c>
      <c r="F138" s="1" t="s">
        <v>108</v>
      </c>
      <c r="G138" s="1" t="s">
        <v>506</v>
      </c>
      <c r="H138" s="2">
        <v>45833</v>
      </c>
      <c r="I138" s="1" t="s">
        <v>33</v>
      </c>
      <c r="J138" s="1" t="s">
        <v>242</v>
      </c>
      <c r="K138" s="1" t="s">
        <v>148</v>
      </c>
      <c r="L138" s="1" t="s">
        <v>44</v>
      </c>
      <c r="M138" s="1" t="s">
        <v>33</v>
      </c>
      <c r="N138">
        <v>208498.84</v>
      </c>
      <c r="O138">
        <v>57932.4</v>
      </c>
      <c r="P138">
        <v>55281.760000000002</v>
      </c>
      <c r="Q138">
        <v>1</v>
      </c>
      <c r="R138">
        <v>129</v>
      </c>
      <c r="S138">
        <v>4.4000000000000004</v>
      </c>
      <c r="T138" s="1" t="s">
        <v>34</v>
      </c>
      <c r="U138" s="1" t="s">
        <v>95</v>
      </c>
      <c r="V138" s="1" t="s">
        <v>102</v>
      </c>
      <c r="W138" s="1" t="s">
        <v>103</v>
      </c>
    </row>
    <row r="139" spans="1:23" x14ac:dyDescent="0.35">
      <c r="A139" s="1" t="s">
        <v>507</v>
      </c>
      <c r="B139" s="1" t="s">
        <v>508</v>
      </c>
      <c r="C139">
        <v>57</v>
      </c>
      <c r="D139" s="1" t="s">
        <v>78</v>
      </c>
      <c r="E139" s="1" t="s">
        <v>40</v>
      </c>
      <c r="F139" s="1" t="s">
        <v>193</v>
      </c>
      <c r="G139" s="1" t="s">
        <v>509</v>
      </c>
      <c r="H139" s="2">
        <v>45602</v>
      </c>
      <c r="I139" s="1" t="s">
        <v>89</v>
      </c>
      <c r="J139" s="1" t="s">
        <v>65</v>
      </c>
      <c r="K139" s="1" t="s">
        <v>174</v>
      </c>
      <c r="L139" s="1" t="s">
        <v>66</v>
      </c>
      <c r="M139" s="1" t="s">
        <v>129</v>
      </c>
      <c r="N139">
        <v>406081.35</v>
      </c>
      <c r="O139">
        <v>34913.03</v>
      </c>
      <c r="P139">
        <v>66270.11</v>
      </c>
      <c r="Q139">
        <v>4</v>
      </c>
      <c r="R139">
        <v>88</v>
      </c>
      <c r="S139">
        <v>5</v>
      </c>
      <c r="T139" s="1" t="s">
        <v>33</v>
      </c>
      <c r="U139" s="1" t="s">
        <v>149</v>
      </c>
      <c r="V139" s="1" t="s">
        <v>75</v>
      </c>
      <c r="W139" s="1" t="s">
        <v>33</v>
      </c>
    </row>
    <row r="140" spans="1:23" x14ac:dyDescent="0.35">
      <c r="A140" s="1" t="s">
        <v>510</v>
      </c>
      <c r="B140" s="1" t="s">
        <v>511</v>
      </c>
      <c r="C140">
        <v>82</v>
      </c>
      <c r="D140" s="1" t="s">
        <v>39</v>
      </c>
      <c r="E140" s="1" t="s">
        <v>72</v>
      </c>
      <c r="F140" s="1" t="s">
        <v>44</v>
      </c>
      <c r="G140" s="1" t="s">
        <v>512</v>
      </c>
      <c r="H140" s="2">
        <v>45921</v>
      </c>
      <c r="I140" s="1" t="s">
        <v>29</v>
      </c>
      <c r="J140" s="1" t="s">
        <v>43</v>
      </c>
      <c r="K140" s="1" t="s">
        <v>91</v>
      </c>
      <c r="L140" s="1" t="s">
        <v>56</v>
      </c>
      <c r="M140" s="1" t="s">
        <v>183</v>
      </c>
      <c r="N140">
        <v>214377.89</v>
      </c>
      <c r="O140">
        <v>0</v>
      </c>
      <c r="P140">
        <v>48843.13</v>
      </c>
      <c r="Q140">
        <v>1</v>
      </c>
      <c r="R140">
        <v>43</v>
      </c>
      <c r="S140">
        <v>4.8</v>
      </c>
      <c r="T140" s="1" t="s">
        <v>33</v>
      </c>
      <c r="U140" s="1" t="s">
        <v>33</v>
      </c>
      <c r="V140" s="1" t="s">
        <v>33</v>
      </c>
      <c r="W140" s="1" t="s">
        <v>83</v>
      </c>
    </row>
    <row r="141" spans="1:23" x14ac:dyDescent="0.35">
      <c r="A141" s="1" t="s">
        <v>513</v>
      </c>
      <c r="B141" s="1" t="s">
        <v>49</v>
      </c>
      <c r="C141">
        <v>33</v>
      </c>
      <c r="D141" s="1" t="s">
        <v>25</v>
      </c>
      <c r="E141" s="1" t="s">
        <v>263</v>
      </c>
      <c r="F141" s="1" t="s">
        <v>135</v>
      </c>
      <c r="G141" s="1" t="s">
        <v>514</v>
      </c>
      <c r="H141" s="2">
        <v>45369</v>
      </c>
      <c r="I141" s="1" t="s">
        <v>89</v>
      </c>
      <c r="J141" s="1" t="s">
        <v>80</v>
      </c>
      <c r="K141" s="1" t="s">
        <v>33</v>
      </c>
      <c r="L141" s="1" t="s">
        <v>33</v>
      </c>
      <c r="M141" s="1" t="s">
        <v>45</v>
      </c>
      <c r="N141">
        <v>0</v>
      </c>
      <c r="O141">
        <v>18692.34</v>
      </c>
      <c r="P141">
        <v>0</v>
      </c>
      <c r="Q141">
        <v>2</v>
      </c>
      <c r="R141">
        <v>0</v>
      </c>
      <c r="S141">
        <v>4.7</v>
      </c>
      <c r="T141" s="1" t="s">
        <v>34</v>
      </c>
      <c r="U141" s="1" t="s">
        <v>33</v>
      </c>
      <c r="V141" s="1" t="s">
        <v>47</v>
      </c>
      <c r="W141" s="1" t="s">
        <v>103</v>
      </c>
    </row>
    <row r="142" spans="1:23" x14ac:dyDescent="0.35">
      <c r="A142" s="1" t="s">
        <v>515</v>
      </c>
      <c r="B142" s="1" t="s">
        <v>516</v>
      </c>
      <c r="C142">
        <v>52</v>
      </c>
      <c r="D142" s="1" t="s">
        <v>78</v>
      </c>
      <c r="E142" s="1" t="s">
        <v>134</v>
      </c>
      <c r="F142" s="1" t="s">
        <v>41</v>
      </c>
      <c r="G142" s="1" t="s">
        <v>517</v>
      </c>
      <c r="H142" s="2">
        <v>45386</v>
      </c>
      <c r="I142" s="1" t="s">
        <v>33</v>
      </c>
      <c r="J142" s="1" t="s">
        <v>115</v>
      </c>
      <c r="K142" s="1" t="s">
        <v>55</v>
      </c>
      <c r="L142" s="1" t="s">
        <v>44</v>
      </c>
      <c r="M142" s="1" t="s">
        <v>57</v>
      </c>
      <c r="N142">
        <v>84623.34</v>
      </c>
      <c r="O142">
        <v>28807.22</v>
      </c>
      <c r="P142">
        <v>44891.92</v>
      </c>
      <c r="Q142">
        <v>5</v>
      </c>
      <c r="R142">
        <v>8</v>
      </c>
      <c r="S142">
        <v>5</v>
      </c>
      <c r="T142" s="1" t="s">
        <v>34</v>
      </c>
      <c r="U142" s="1" t="s">
        <v>35</v>
      </c>
      <c r="V142" s="1" t="s">
        <v>47</v>
      </c>
      <c r="W142" s="1" t="s">
        <v>179</v>
      </c>
    </row>
    <row r="143" spans="1:23" x14ac:dyDescent="0.35">
      <c r="A143" s="1" t="s">
        <v>518</v>
      </c>
      <c r="B143" s="1" t="s">
        <v>519</v>
      </c>
      <c r="C143">
        <v>38</v>
      </c>
      <c r="D143" s="1" t="s">
        <v>78</v>
      </c>
      <c r="E143" s="1" t="s">
        <v>62</v>
      </c>
      <c r="F143" s="1" t="s">
        <v>135</v>
      </c>
      <c r="G143" s="1" t="s">
        <v>520</v>
      </c>
      <c r="H143" s="2">
        <v>45545</v>
      </c>
      <c r="I143" s="1" t="s">
        <v>277</v>
      </c>
      <c r="J143" s="1" t="s">
        <v>242</v>
      </c>
      <c r="K143" s="1" t="s">
        <v>153</v>
      </c>
      <c r="L143" s="1" t="s">
        <v>66</v>
      </c>
      <c r="M143" s="1" t="s">
        <v>142</v>
      </c>
      <c r="N143">
        <v>223764.02</v>
      </c>
      <c r="O143">
        <v>35209.57</v>
      </c>
      <c r="P143">
        <v>0</v>
      </c>
      <c r="Q143">
        <v>5</v>
      </c>
      <c r="R143">
        <v>76</v>
      </c>
      <c r="S143">
        <v>2.8</v>
      </c>
      <c r="T143" s="1" t="s">
        <v>94</v>
      </c>
      <c r="U143" s="1" t="s">
        <v>35</v>
      </c>
      <c r="V143" s="1" t="s">
        <v>102</v>
      </c>
      <c r="W143" s="1" t="s">
        <v>179</v>
      </c>
    </row>
    <row r="144" spans="1:23" x14ac:dyDescent="0.35">
      <c r="A144" s="1" t="s">
        <v>521</v>
      </c>
      <c r="B144" s="1" t="s">
        <v>522</v>
      </c>
      <c r="C144">
        <v>36</v>
      </c>
      <c r="D144" s="1" t="s">
        <v>33</v>
      </c>
      <c r="E144" s="1" t="s">
        <v>112</v>
      </c>
      <c r="F144" s="1" t="s">
        <v>41</v>
      </c>
      <c r="G144" s="1" t="s">
        <v>523</v>
      </c>
      <c r="H144" s="2">
        <v>45933</v>
      </c>
      <c r="I144" s="1" t="s">
        <v>127</v>
      </c>
      <c r="J144" s="1" t="s">
        <v>147</v>
      </c>
      <c r="K144" s="1" t="s">
        <v>153</v>
      </c>
      <c r="L144" s="1" t="s">
        <v>44</v>
      </c>
      <c r="M144" s="1" t="s">
        <v>129</v>
      </c>
      <c r="N144">
        <v>471676.11</v>
      </c>
      <c r="O144">
        <v>46021.07</v>
      </c>
      <c r="P144">
        <v>27864.63</v>
      </c>
      <c r="Q144">
        <v>1</v>
      </c>
      <c r="R144">
        <v>137</v>
      </c>
      <c r="S144">
        <v>5</v>
      </c>
      <c r="T144" s="1" t="s">
        <v>94</v>
      </c>
      <c r="U144" s="1" t="s">
        <v>33</v>
      </c>
      <c r="V144" s="1" t="s">
        <v>47</v>
      </c>
      <c r="W144" s="1" t="s">
        <v>33</v>
      </c>
    </row>
    <row r="145" spans="1:23" x14ac:dyDescent="0.35">
      <c r="A145" s="1" t="s">
        <v>524</v>
      </c>
      <c r="B145" s="1" t="s">
        <v>181</v>
      </c>
      <c r="C145">
        <v>44</v>
      </c>
      <c r="D145" s="1" t="s">
        <v>71</v>
      </c>
      <c r="E145" s="1" t="s">
        <v>33</v>
      </c>
      <c r="F145" s="1" t="s">
        <v>227</v>
      </c>
      <c r="G145" s="1" t="s">
        <v>525</v>
      </c>
      <c r="H145" s="2">
        <v>45915</v>
      </c>
      <c r="I145" s="1" t="s">
        <v>100</v>
      </c>
      <c r="J145" s="1" t="s">
        <v>115</v>
      </c>
      <c r="K145" s="1" t="s">
        <v>122</v>
      </c>
      <c r="L145" s="1" t="s">
        <v>66</v>
      </c>
      <c r="M145" s="1" t="s">
        <v>33</v>
      </c>
      <c r="N145">
        <v>129428.85</v>
      </c>
      <c r="O145">
        <v>47455.58</v>
      </c>
      <c r="P145">
        <v>56804.56</v>
      </c>
      <c r="Q145">
        <v>6</v>
      </c>
      <c r="R145">
        <v>162</v>
      </c>
      <c r="S145">
        <v>4.5</v>
      </c>
      <c r="T145" s="1" t="s">
        <v>154</v>
      </c>
      <c r="U145" s="1" t="s">
        <v>33</v>
      </c>
      <c r="V145" s="1" t="s">
        <v>68</v>
      </c>
      <c r="W145" s="1" t="s">
        <v>103</v>
      </c>
    </row>
    <row r="146" spans="1:23" x14ac:dyDescent="0.35">
      <c r="A146" s="1" t="s">
        <v>526</v>
      </c>
      <c r="B146" s="1" t="s">
        <v>139</v>
      </c>
      <c r="C146">
        <v>31</v>
      </c>
      <c r="D146" s="1" t="s">
        <v>78</v>
      </c>
      <c r="E146" s="1" t="s">
        <v>26</v>
      </c>
      <c r="F146" s="1" t="s">
        <v>27</v>
      </c>
      <c r="G146" s="1" t="s">
        <v>527</v>
      </c>
      <c r="H146" s="2">
        <v>45856</v>
      </c>
      <c r="I146" s="1" t="s">
        <v>53</v>
      </c>
      <c r="J146" s="1" t="s">
        <v>80</v>
      </c>
      <c r="K146" s="1" t="s">
        <v>31</v>
      </c>
      <c r="L146" s="1" t="s">
        <v>56</v>
      </c>
      <c r="M146" s="1" t="s">
        <v>93</v>
      </c>
      <c r="N146">
        <v>404435.17</v>
      </c>
      <c r="O146">
        <v>34939.99</v>
      </c>
      <c r="P146">
        <v>107257.83</v>
      </c>
      <c r="Q146">
        <v>6</v>
      </c>
      <c r="R146">
        <v>43</v>
      </c>
      <c r="S146">
        <v>5</v>
      </c>
      <c r="T146" s="1" t="s">
        <v>46</v>
      </c>
      <c r="U146" s="1" t="s">
        <v>35</v>
      </c>
      <c r="V146" s="1" t="s">
        <v>33</v>
      </c>
      <c r="W146" s="1" t="s">
        <v>33</v>
      </c>
    </row>
    <row r="147" spans="1:23" x14ac:dyDescent="0.35">
      <c r="A147" s="1" t="s">
        <v>528</v>
      </c>
      <c r="B147" s="1" t="s">
        <v>475</v>
      </c>
      <c r="C147">
        <v>28</v>
      </c>
      <c r="D147" s="1" t="s">
        <v>33</v>
      </c>
      <c r="E147" s="1" t="s">
        <v>62</v>
      </c>
      <c r="F147" s="1" t="s">
        <v>145</v>
      </c>
      <c r="G147" s="1" t="s">
        <v>136</v>
      </c>
      <c r="H147" s="2">
        <v>45754</v>
      </c>
      <c r="I147" s="1" t="s">
        <v>33</v>
      </c>
      <c r="J147" s="1" t="s">
        <v>33</v>
      </c>
      <c r="K147" s="1" t="s">
        <v>33</v>
      </c>
      <c r="L147" s="1" t="s">
        <v>33</v>
      </c>
      <c r="M147" s="1" t="s">
        <v>129</v>
      </c>
      <c r="N147">
        <v>152255.98000000001</v>
      </c>
      <c r="O147">
        <v>21991.32</v>
      </c>
      <c r="P147">
        <v>57724.98</v>
      </c>
      <c r="Q147">
        <v>3</v>
      </c>
      <c r="R147">
        <v>134</v>
      </c>
      <c r="S147">
        <v>3</v>
      </c>
      <c r="T147" s="1" t="s">
        <v>33</v>
      </c>
      <c r="U147" s="1" t="s">
        <v>95</v>
      </c>
      <c r="V147" s="1" t="s">
        <v>47</v>
      </c>
      <c r="W147" s="1" t="s">
        <v>33</v>
      </c>
    </row>
    <row r="148" spans="1:23" x14ac:dyDescent="0.35">
      <c r="A148" s="1" t="s">
        <v>529</v>
      </c>
      <c r="B148" s="1" t="s">
        <v>530</v>
      </c>
      <c r="C148">
        <v>90</v>
      </c>
      <c r="D148" s="1" t="s">
        <v>39</v>
      </c>
      <c r="E148" s="1" t="s">
        <v>72</v>
      </c>
      <c r="F148" s="1" t="s">
        <v>98</v>
      </c>
      <c r="G148" s="1" t="s">
        <v>531</v>
      </c>
      <c r="H148" s="2">
        <v>45340</v>
      </c>
      <c r="I148" s="1" t="s">
        <v>168</v>
      </c>
      <c r="J148" s="1" t="s">
        <v>87</v>
      </c>
      <c r="K148" s="1" t="s">
        <v>148</v>
      </c>
      <c r="L148" s="1" t="s">
        <v>44</v>
      </c>
      <c r="M148" s="1" t="s">
        <v>93</v>
      </c>
      <c r="N148">
        <v>461856.04</v>
      </c>
      <c r="O148">
        <v>40908.089999999997</v>
      </c>
      <c r="P148">
        <v>46140.1</v>
      </c>
      <c r="Q148">
        <v>3</v>
      </c>
      <c r="R148">
        <v>104</v>
      </c>
      <c r="S148">
        <v>4.5</v>
      </c>
      <c r="T148" s="1" t="s">
        <v>154</v>
      </c>
      <c r="U148" s="1" t="s">
        <v>101</v>
      </c>
      <c r="V148" s="1" t="s">
        <v>33</v>
      </c>
      <c r="W148" s="1" t="s">
        <v>103</v>
      </c>
    </row>
    <row r="149" spans="1:23" x14ac:dyDescent="0.35">
      <c r="A149" s="1" t="s">
        <v>532</v>
      </c>
      <c r="B149" s="1" t="s">
        <v>533</v>
      </c>
      <c r="C149">
        <v>37</v>
      </c>
      <c r="D149" s="1" t="s">
        <v>25</v>
      </c>
      <c r="E149" s="1" t="s">
        <v>107</v>
      </c>
      <c r="F149" s="1" t="s">
        <v>87</v>
      </c>
      <c r="G149" s="1" t="s">
        <v>276</v>
      </c>
      <c r="H149" s="2">
        <v>45787</v>
      </c>
      <c r="I149" s="1" t="s">
        <v>221</v>
      </c>
      <c r="J149" s="1" t="s">
        <v>87</v>
      </c>
      <c r="K149" s="1" t="s">
        <v>33</v>
      </c>
      <c r="L149" s="1" t="s">
        <v>33</v>
      </c>
      <c r="M149" s="1" t="s">
        <v>45</v>
      </c>
      <c r="N149">
        <v>0</v>
      </c>
      <c r="O149">
        <v>39980.58</v>
      </c>
      <c r="P149">
        <v>64415.88</v>
      </c>
      <c r="Q149">
        <v>1</v>
      </c>
      <c r="R149">
        <v>58</v>
      </c>
      <c r="S149">
        <v>5</v>
      </c>
      <c r="T149" s="1" t="s">
        <v>46</v>
      </c>
      <c r="U149" s="1" t="s">
        <v>58</v>
      </c>
      <c r="V149" s="1" t="s">
        <v>47</v>
      </c>
      <c r="W149" s="1" t="s">
        <v>33</v>
      </c>
    </row>
    <row r="150" spans="1:23" x14ac:dyDescent="0.35">
      <c r="A150" s="1" t="s">
        <v>534</v>
      </c>
      <c r="B150" s="1" t="s">
        <v>269</v>
      </c>
      <c r="C150">
        <v>10</v>
      </c>
      <c r="D150" s="1" t="s">
        <v>50</v>
      </c>
      <c r="E150" s="1" t="s">
        <v>51</v>
      </c>
      <c r="F150" s="1" t="s">
        <v>98</v>
      </c>
      <c r="G150" s="1" t="s">
        <v>535</v>
      </c>
      <c r="H150" s="2">
        <v>45361</v>
      </c>
      <c r="I150" s="1" t="s">
        <v>127</v>
      </c>
      <c r="J150" s="1" t="s">
        <v>141</v>
      </c>
      <c r="K150" s="1" t="s">
        <v>33</v>
      </c>
      <c r="L150" s="1" t="s">
        <v>66</v>
      </c>
      <c r="M150" s="1" t="s">
        <v>33</v>
      </c>
      <c r="N150">
        <v>251423.25</v>
      </c>
      <c r="O150">
        <v>56177.46</v>
      </c>
      <c r="P150">
        <v>95517.83</v>
      </c>
      <c r="Q150">
        <v>1</v>
      </c>
      <c r="R150">
        <v>60</v>
      </c>
      <c r="S150">
        <v>5</v>
      </c>
      <c r="T150" s="1" t="s">
        <v>46</v>
      </c>
      <c r="U150" s="1" t="s">
        <v>149</v>
      </c>
      <c r="V150" s="1" t="s">
        <v>68</v>
      </c>
      <c r="W150" s="1" t="s">
        <v>33</v>
      </c>
    </row>
    <row r="151" spans="1:23" x14ac:dyDescent="0.35">
      <c r="A151" s="1" t="s">
        <v>536</v>
      </c>
      <c r="B151" s="1" t="s">
        <v>537</v>
      </c>
      <c r="C151">
        <v>39</v>
      </c>
      <c r="D151" s="1" t="s">
        <v>78</v>
      </c>
      <c r="E151" s="1" t="s">
        <v>192</v>
      </c>
      <c r="F151" s="1" t="s">
        <v>56</v>
      </c>
      <c r="G151" s="1" t="s">
        <v>538</v>
      </c>
      <c r="H151" s="2">
        <v>45939</v>
      </c>
      <c r="I151" s="1" t="s">
        <v>168</v>
      </c>
      <c r="J151" s="1" t="s">
        <v>115</v>
      </c>
      <c r="K151" s="1" t="s">
        <v>148</v>
      </c>
      <c r="L151" s="1" t="s">
        <v>33</v>
      </c>
      <c r="M151" s="1" t="s">
        <v>82</v>
      </c>
      <c r="N151">
        <v>343712.39</v>
      </c>
      <c r="O151">
        <v>46308.07</v>
      </c>
      <c r="P151">
        <v>0</v>
      </c>
      <c r="Q151">
        <v>3</v>
      </c>
      <c r="R151">
        <v>205</v>
      </c>
      <c r="S151">
        <v>5</v>
      </c>
      <c r="T151" s="1" t="s">
        <v>34</v>
      </c>
      <c r="U151" s="1" t="s">
        <v>33</v>
      </c>
      <c r="V151" s="1" t="s">
        <v>33</v>
      </c>
      <c r="W151" s="1" t="s">
        <v>179</v>
      </c>
    </row>
    <row r="152" spans="1:23" x14ac:dyDescent="0.35">
      <c r="A152" s="1" t="s">
        <v>539</v>
      </c>
      <c r="B152" s="1" t="s">
        <v>540</v>
      </c>
      <c r="C152">
        <v>51</v>
      </c>
      <c r="D152" s="1" t="s">
        <v>78</v>
      </c>
      <c r="E152" s="1" t="s">
        <v>219</v>
      </c>
      <c r="F152" s="1" t="s">
        <v>227</v>
      </c>
      <c r="G152" s="1" t="s">
        <v>541</v>
      </c>
      <c r="H152" s="2">
        <v>46112</v>
      </c>
      <c r="I152" s="1" t="s">
        <v>159</v>
      </c>
      <c r="J152" s="1" t="s">
        <v>137</v>
      </c>
      <c r="K152" s="1" t="s">
        <v>55</v>
      </c>
      <c r="L152" s="1" t="s">
        <v>66</v>
      </c>
      <c r="M152" s="1" t="s">
        <v>33</v>
      </c>
      <c r="N152">
        <v>289164.23</v>
      </c>
      <c r="O152">
        <v>36516.839999999997</v>
      </c>
      <c r="P152">
        <v>28490.85</v>
      </c>
      <c r="Q152">
        <v>2</v>
      </c>
      <c r="R152">
        <v>44</v>
      </c>
      <c r="S152">
        <v>3.7</v>
      </c>
      <c r="T152" s="1" t="s">
        <v>33</v>
      </c>
      <c r="U152" s="1" t="s">
        <v>33</v>
      </c>
      <c r="V152" s="1" t="s">
        <v>47</v>
      </c>
      <c r="W152" s="1" t="s">
        <v>179</v>
      </c>
    </row>
    <row r="153" spans="1:23" x14ac:dyDescent="0.35">
      <c r="A153" s="1" t="s">
        <v>542</v>
      </c>
      <c r="B153" s="1" t="s">
        <v>543</v>
      </c>
      <c r="C153">
        <v>54</v>
      </c>
      <c r="D153" s="1" t="s">
        <v>50</v>
      </c>
      <c r="E153" s="1" t="s">
        <v>86</v>
      </c>
      <c r="F153" s="1" t="s">
        <v>56</v>
      </c>
      <c r="G153" s="1" t="s">
        <v>544</v>
      </c>
      <c r="H153" s="2">
        <v>45988</v>
      </c>
      <c r="I153" s="1" t="s">
        <v>277</v>
      </c>
      <c r="J153" s="1" t="s">
        <v>152</v>
      </c>
      <c r="K153" s="1" t="s">
        <v>55</v>
      </c>
      <c r="L153" s="1" t="s">
        <v>32</v>
      </c>
      <c r="M153" s="1" t="s">
        <v>93</v>
      </c>
      <c r="N153">
        <v>168113.99</v>
      </c>
      <c r="O153">
        <v>49292.47</v>
      </c>
      <c r="P153">
        <v>0</v>
      </c>
      <c r="Q153">
        <v>7</v>
      </c>
      <c r="R153">
        <v>181</v>
      </c>
      <c r="S153">
        <v>1.4</v>
      </c>
      <c r="T153" s="1" t="s">
        <v>33</v>
      </c>
      <c r="U153" s="1" t="s">
        <v>149</v>
      </c>
      <c r="V153" s="1" t="s">
        <v>47</v>
      </c>
      <c r="W153" s="1" t="s">
        <v>83</v>
      </c>
    </row>
    <row r="154" spans="1:23" x14ac:dyDescent="0.35">
      <c r="A154" s="1" t="s">
        <v>545</v>
      </c>
      <c r="B154" s="1" t="s">
        <v>350</v>
      </c>
      <c r="C154">
        <v>18</v>
      </c>
      <c r="D154" s="1" t="s">
        <v>78</v>
      </c>
      <c r="E154" s="1" t="s">
        <v>192</v>
      </c>
      <c r="F154" s="1" t="s">
        <v>41</v>
      </c>
      <c r="G154" s="1" t="s">
        <v>546</v>
      </c>
      <c r="H154" s="2">
        <v>45844</v>
      </c>
      <c r="I154" s="1" t="s">
        <v>114</v>
      </c>
      <c r="J154" s="1" t="s">
        <v>147</v>
      </c>
      <c r="K154" s="1" t="s">
        <v>163</v>
      </c>
      <c r="L154" s="1" t="s">
        <v>66</v>
      </c>
      <c r="M154" s="1" t="s">
        <v>142</v>
      </c>
      <c r="N154">
        <v>38744.589999999997</v>
      </c>
      <c r="O154">
        <v>59020.67</v>
      </c>
      <c r="P154">
        <v>30968.959999999999</v>
      </c>
      <c r="Q154">
        <v>2</v>
      </c>
      <c r="R154">
        <v>120</v>
      </c>
      <c r="S154">
        <v>3.6</v>
      </c>
      <c r="T154" s="1" t="s">
        <v>154</v>
      </c>
      <c r="U154" s="1" t="s">
        <v>95</v>
      </c>
      <c r="V154" s="1" t="s">
        <v>47</v>
      </c>
      <c r="W154" s="1" t="s">
        <v>36</v>
      </c>
    </row>
    <row r="155" spans="1:23" x14ac:dyDescent="0.35">
      <c r="A155" s="1" t="s">
        <v>547</v>
      </c>
      <c r="B155" s="1" t="s">
        <v>548</v>
      </c>
      <c r="C155">
        <v>44</v>
      </c>
      <c r="D155" s="1" t="s">
        <v>33</v>
      </c>
      <c r="E155" s="1" t="s">
        <v>134</v>
      </c>
      <c r="F155" s="1" t="s">
        <v>27</v>
      </c>
      <c r="G155" s="1" t="s">
        <v>549</v>
      </c>
      <c r="H155" s="2">
        <v>45997</v>
      </c>
      <c r="I155" s="1" t="s">
        <v>53</v>
      </c>
      <c r="J155" s="1" t="s">
        <v>137</v>
      </c>
      <c r="K155" s="1" t="s">
        <v>163</v>
      </c>
      <c r="L155" s="1" t="s">
        <v>44</v>
      </c>
      <c r="M155" s="1" t="s">
        <v>82</v>
      </c>
      <c r="N155">
        <v>40381.089999999997</v>
      </c>
      <c r="O155">
        <v>54906.67</v>
      </c>
      <c r="P155">
        <v>30187.3</v>
      </c>
      <c r="Q155">
        <v>4</v>
      </c>
      <c r="R155">
        <v>0</v>
      </c>
      <c r="S155">
        <v>3.1</v>
      </c>
      <c r="T155" s="1" t="s">
        <v>94</v>
      </c>
      <c r="U155" s="1" t="s">
        <v>101</v>
      </c>
      <c r="V155" s="1" t="s">
        <v>164</v>
      </c>
      <c r="W155" s="1" t="s">
        <v>36</v>
      </c>
    </row>
    <row r="156" spans="1:23" x14ac:dyDescent="0.35">
      <c r="A156" s="1" t="s">
        <v>550</v>
      </c>
      <c r="B156" s="1" t="s">
        <v>176</v>
      </c>
      <c r="C156">
        <v>61</v>
      </c>
      <c r="D156" s="1" t="s">
        <v>25</v>
      </c>
      <c r="E156" s="1" t="s">
        <v>157</v>
      </c>
      <c r="F156" s="1" t="s">
        <v>63</v>
      </c>
      <c r="G156" s="1" t="s">
        <v>551</v>
      </c>
      <c r="H156" s="2">
        <v>45808</v>
      </c>
      <c r="I156" s="1" t="s">
        <v>173</v>
      </c>
      <c r="J156" s="1" t="s">
        <v>54</v>
      </c>
      <c r="K156" s="1" t="s">
        <v>33</v>
      </c>
      <c r="L156" s="1" t="s">
        <v>33</v>
      </c>
      <c r="M156" s="1" t="s">
        <v>169</v>
      </c>
      <c r="N156">
        <v>171188.7</v>
      </c>
      <c r="O156">
        <v>21268.560000000001</v>
      </c>
      <c r="P156">
        <v>35350.949999999997</v>
      </c>
      <c r="Q156">
        <v>9</v>
      </c>
      <c r="R156">
        <v>250</v>
      </c>
      <c r="S156">
        <v>4.2</v>
      </c>
      <c r="T156" s="1" t="s">
        <v>34</v>
      </c>
      <c r="U156" s="1" t="s">
        <v>33</v>
      </c>
      <c r="V156" s="1" t="s">
        <v>68</v>
      </c>
      <c r="W156" s="1" t="s">
        <v>179</v>
      </c>
    </row>
    <row r="157" spans="1:23" x14ac:dyDescent="0.35">
      <c r="A157" s="1" t="s">
        <v>552</v>
      </c>
      <c r="B157" s="1" t="s">
        <v>341</v>
      </c>
      <c r="C157">
        <v>65</v>
      </c>
      <c r="D157" s="1" t="s">
        <v>33</v>
      </c>
      <c r="E157" s="1" t="s">
        <v>157</v>
      </c>
      <c r="F157" s="1" t="s">
        <v>98</v>
      </c>
      <c r="G157" s="1" t="s">
        <v>517</v>
      </c>
      <c r="H157" s="2">
        <v>45385</v>
      </c>
      <c r="I157" s="1" t="s">
        <v>257</v>
      </c>
      <c r="J157" s="1" t="s">
        <v>30</v>
      </c>
      <c r="K157" s="1" t="s">
        <v>33</v>
      </c>
      <c r="L157" s="1" t="s">
        <v>33</v>
      </c>
      <c r="M157" s="1" t="s">
        <v>82</v>
      </c>
      <c r="N157">
        <v>253430.48</v>
      </c>
      <c r="O157">
        <v>23523.95</v>
      </c>
      <c r="P157">
        <v>39109.5</v>
      </c>
      <c r="Q157">
        <v>4</v>
      </c>
      <c r="R157">
        <v>89</v>
      </c>
      <c r="S157">
        <v>3.7</v>
      </c>
      <c r="T157" s="1" t="s">
        <v>33</v>
      </c>
      <c r="U157" s="1" t="s">
        <v>67</v>
      </c>
      <c r="V157" s="1" t="s">
        <v>33</v>
      </c>
      <c r="W157" s="1" t="s">
        <v>83</v>
      </c>
    </row>
    <row r="158" spans="1:23" x14ac:dyDescent="0.35">
      <c r="A158" s="1" t="s">
        <v>553</v>
      </c>
      <c r="B158" s="1" t="s">
        <v>181</v>
      </c>
      <c r="C158">
        <v>44</v>
      </c>
      <c r="D158" s="1" t="s">
        <v>78</v>
      </c>
      <c r="E158" s="1" t="s">
        <v>72</v>
      </c>
      <c r="F158" s="1" t="s">
        <v>27</v>
      </c>
      <c r="G158" s="1" t="s">
        <v>554</v>
      </c>
      <c r="H158" s="2">
        <v>45584</v>
      </c>
      <c r="I158" s="1" t="s">
        <v>114</v>
      </c>
      <c r="J158" s="1" t="s">
        <v>242</v>
      </c>
      <c r="K158" s="1" t="s">
        <v>81</v>
      </c>
      <c r="L158" s="1" t="s">
        <v>66</v>
      </c>
      <c r="M158" s="1" t="s">
        <v>123</v>
      </c>
      <c r="N158">
        <v>322569.61</v>
      </c>
      <c r="O158">
        <v>27982.09</v>
      </c>
      <c r="P158">
        <v>47359.06</v>
      </c>
      <c r="Q158">
        <v>5</v>
      </c>
      <c r="R158">
        <v>0</v>
      </c>
      <c r="S158">
        <v>4.9000000000000004</v>
      </c>
      <c r="T158" s="1" t="s">
        <v>34</v>
      </c>
      <c r="U158" s="1" t="s">
        <v>35</v>
      </c>
      <c r="V158" s="1" t="s">
        <v>102</v>
      </c>
      <c r="W158" s="1" t="s">
        <v>179</v>
      </c>
    </row>
    <row r="159" spans="1:23" x14ac:dyDescent="0.35">
      <c r="A159" s="1" t="s">
        <v>555</v>
      </c>
      <c r="B159" s="1" t="s">
        <v>328</v>
      </c>
      <c r="C159">
        <v>64</v>
      </c>
      <c r="D159" s="1" t="s">
        <v>71</v>
      </c>
      <c r="E159" s="1" t="s">
        <v>62</v>
      </c>
      <c r="F159" s="1" t="s">
        <v>41</v>
      </c>
      <c r="G159" s="1" t="s">
        <v>556</v>
      </c>
      <c r="H159" s="2">
        <v>45625</v>
      </c>
      <c r="I159" s="1" t="s">
        <v>277</v>
      </c>
      <c r="J159" s="1" t="s">
        <v>90</v>
      </c>
      <c r="K159" s="1" t="s">
        <v>116</v>
      </c>
      <c r="L159" s="1" t="s">
        <v>66</v>
      </c>
      <c r="M159" s="1" t="s">
        <v>33</v>
      </c>
      <c r="N159">
        <v>0</v>
      </c>
      <c r="O159">
        <v>82209.37</v>
      </c>
      <c r="P159">
        <v>40812.31</v>
      </c>
      <c r="Q159">
        <v>4</v>
      </c>
      <c r="R159">
        <v>178</v>
      </c>
      <c r="S159">
        <v>2.2999999999999998</v>
      </c>
      <c r="T159" s="1" t="s">
        <v>33</v>
      </c>
      <c r="U159" s="1" t="s">
        <v>33</v>
      </c>
      <c r="V159" s="1" t="s">
        <v>33</v>
      </c>
      <c r="W159" s="1" t="s">
        <v>131</v>
      </c>
    </row>
    <row r="160" spans="1:23" x14ac:dyDescent="0.35">
      <c r="A160" s="1" t="s">
        <v>557</v>
      </c>
      <c r="B160" s="1" t="s">
        <v>558</v>
      </c>
      <c r="C160">
        <v>19</v>
      </c>
      <c r="D160" s="1" t="s">
        <v>33</v>
      </c>
      <c r="E160" s="1" t="s">
        <v>72</v>
      </c>
      <c r="F160" s="1" t="s">
        <v>193</v>
      </c>
      <c r="G160" s="1" t="s">
        <v>559</v>
      </c>
      <c r="H160" s="2">
        <v>46269</v>
      </c>
      <c r="I160" s="1" t="s">
        <v>273</v>
      </c>
      <c r="J160" s="1" t="s">
        <v>33</v>
      </c>
      <c r="K160" s="1" t="s">
        <v>33</v>
      </c>
      <c r="L160" s="1" t="s">
        <v>33</v>
      </c>
      <c r="M160" s="1" t="s">
        <v>33</v>
      </c>
      <c r="N160">
        <v>132672.35</v>
      </c>
      <c r="O160">
        <v>77850.78</v>
      </c>
      <c r="P160">
        <v>39279.53</v>
      </c>
      <c r="Q160">
        <v>4</v>
      </c>
      <c r="R160">
        <v>111</v>
      </c>
      <c r="S160">
        <v>4.8</v>
      </c>
      <c r="T160" s="1" t="s">
        <v>33</v>
      </c>
      <c r="U160" s="1" t="s">
        <v>33</v>
      </c>
      <c r="V160" s="1" t="s">
        <v>47</v>
      </c>
      <c r="W160" s="1" t="s">
        <v>131</v>
      </c>
    </row>
    <row r="161" spans="1:23" x14ac:dyDescent="0.35">
      <c r="A161" s="1" t="s">
        <v>560</v>
      </c>
      <c r="B161" s="1" t="s">
        <v>561</v>
      </c>
      <c r="C161">
        <v>46</v>
      </c>
      <c r="D161" s="1" t="s">
        <v>106</v>
      </c>
      <c r="E161" s="1" t="s">
        <v>177</v>
      </c>
      <c r="F161" s="1" t="s">
        <v>193</v>
      </c>
      <c r="G161" s="1" t="s">
        <v>562</v>
      </c>
      <c r="H161" s="2">
        <v>45586</v>
      </c>
      <c r="I161" s="1" t="s">
        <v>33</v>
      </c>
      <c r="J161" s="1" t="s">
        <v>43</v>
      </c>
      <c r="K161" s="1" t="s">
        <v>122</v>
      </c>
      <c r="L161" s="1" t="s">
        <v>33</v>
      </c>
      <c r="M161" s="1" t="s">
        <v>169</v>
      </c>
      <c r="N161">
        <v>271094.53999999998</v>
      </c>
      <c r="O161">
        <v>90085.39</v>
      </c>
      <c r="P161">
        <v>43271.44</v>
      </c>
      <c r="Q161">
        <v>4</v>
      </c>
      <c r="R161">
        <v>110</v>
      </c>
      <c r="S161">
        <v>5</v>
      </c>
      <c r="T161" s="1" t="s">
        <v>34</v>
      </c>
      <c r="U161" s="1" t="s">
        <v>35</v>
      </c>
      <c r="V161" s="1" t="s">
        <v>33</v>
      </c>
      <c r="W161" s="1" t="s">
        <v>36</v>
      </c>
    </row>
    <row r="162" spans="1:23" x14ac:dyDescent="0.35">
      <c r="A162" s="1" t="s">
        <v>563</v>
      </c>
      <c r="B162" s="1" t="s">
        <v>564</v>
      </c>
      <c r="C162">
        <v>69</v>
      </c>
      <c r="D162" s="1" t="s">
        <v>78</v>
      </c>
      <c r="E162" s="1" t="s">
        <v>107</v>
      </c>
      <c r="F162" s="1" t="s">
        <v>135</v>
      </c>
      <c r="G162" s="1" t="s">
        <v>565</v>
      </c>
      <c r="H162" s="2">
        <v>46229</v>
      </c>
      <c r="I162" s="1" t="s">
        <v>29</v>
      </c>
      <c r="J162" s="1" t="s">
        <v>87</v>
      </c>
      <c r="K162" s="1" t="s">
        <v>116</v>
      </c>
      <c r="L162" s="1" t="s">
        <v>66</v>
      </c>
      <c r="M162" s="1" t="s">
        <v>93</v>
      </c>
      <c r="N162">
        <v>309422.23</v>
      </c>
      <c r="O162">
        <v>1424.88</v>
      </c>
      <c r="P162">
        <v>94002.95</v>
      </c>
      <c r="Q162">
        <v>6</v>
      </c>
      <c r="R162">
        <v>9</v>
      </c>
      <c r="S162">
        <v>4.0999999999999996</v>
      </c>
      <c r="T162" s="1" t="s">
        <v>154</v>
      </c>
      <c r="U162" s="1" t="s">
        <v>67</v>
      </c>
      <c r="V162" s="1" t="s">
        <v>102</v>
      </c>
      <c r="W162" s="1" t="s">
        <v>36</v>
      </c>
    </row>
    <row r="163" spans="1:23" x14ac:dyDescent="0.35">
      <c r="A163" s="1" t="s">
        <v>566</v>
      </c>
      <c r="B163" s="1" t="s">
        <v>567</v>
      </c>
      <c r="C163">
        <v>41</v>
      </c>
      <c r="D163" s="1" t="s">
        <v>71</v>
      </c>
      <c r="E163" s="1" t="s">
        <v>33</v>
      </c>
      <c r="F163" s="1" t="s">
        <v>120</v>
      </c>
      <c r="G163" s="1" t="s">
        <v>270</v>
      </c>
      <c r="H163" s="2">
        <v>45294</v>
      </c>
      <c r="I163" s="1" t="s">
        <v>277</v>
      </c>
      <c r="J163" s="1" t="s">
        <v>90</v>
      </c>
      <c r="K163" s="1" t="s">
        <v>31</v>
      </c>
      <c r="L163" s="1" t="s">
        <v>92</v>
      </c>
      <c r="M163" s="1" t="s">
        <v>33</v>
      </c>
      <c r="N163">
        <v>266026.74</v>
      </c>
      <c r="O163">
        <v>38033.93</v>
      </c>
      <c r="P163">
        <v>57657.62</v>
      </c>
      <c r="Q163">
        <v>1</v>
      </c>
      <c r="R163">
        <v>216</v>
      </c>
      <c r="S163">
        <v>4.3</v>
      </c>
      <c r="T163" s="1" t="s">
        <v>34</v>
      </c>
      <c r="U163" s="1" t="s">
        <v>95</v>
      </c>
      <c r="V163" s="1" t="s">
        <v>130</v>
      </c>
      <c r="W163" s="1" t="s">
        <v>103</v>
      </c>
    </row>
    <row r="164" spans="1:23" x14ac:dyDescent="0.35">
      <c r="A164" s="1" t="s">
        <v>568</v>
      </c>
      <c r="B164" s="1" t="s">
        <v>569</v>
      </c>
      <c r="C164">
        <v>64</v>
      </c>
      <c r="D164" s="1" t="s">
        <v>25</v>
      </c>
      <c r="E164" s="1" t="s">
        <v>72</v>
      </c>
      <c r="F164" s="1" t="s">
        <v>227</v>
      </c>
      <c r="G164" s="1" t="s">
        <v>570</v>
      </c>
      <c r="H164" s="2">
        <v>45398</v>
      </c>
      <c r="I164" s="1" t="s">
        <v>114</v>
      </c>
      <c r="J164" s="1" t="s">
        <v>147</v>
      </c>
      <c r="K164" s="1" t="s">
        <v>128</v>
      </c>
      <c r="L164" s="1" t="s">
        <v>33</v>
      </c>
      <c r="M164" s="1" t="s">
        <v>45</v>
      </c>
      <c r="N164">
        <v>386525.87</v>
      </c>
      <c r="O164">
        <v>0</v>
      </c>
      <c r="P164">
        <v>62922</v>
      </c>
      <c r="Q164">
        <v>2</v>
      </c>
      <c r="R164">
        <v>147</v>
      </c>
      <c r="S164">
        <v>3.3</v>
      </c>
      <c r="T164" s="1" t="s">
        <v>33</v>
      </c>
      <c r="U164" s="1" t="s">
        <v>149</v>
      </c>
      <c r="V164" s="1" t="s">
        <v>75</v>
      </c>
      <c r="W164" s="1" t="s">
        <v>33</v>
      </c>
    </row>
    <row r="165" spans="1:23" x14ac:dyDescent="0.35">
      <c r="A165" s="1" t="s">
        <v>571</v>
      </c>
      <c r="B165" s="1" t="s">
        <v>350</v>
      </c>
      <c r="C165">
        <v>39</v>
      </c>
      <c r="D165" s="1" t="s">
        <v>39</v>
      </c>
      <c r="E165" s="1" t="s">
        <v>203</v>
      </c>
      <c r="F165" s="1" t="s">
        <v>33</v>
      </c>
      <c r="G165" s="1" t="s">
        <v>572</v>
      </c>
      <c r="H165" s="2">
        <v>45455</v>
      </c>
      <c r="I165" s="1" t="s">
        <v>159</v>
      </c>
      <c r="J165" s="1" t="s">
        <v>87</v>
      </c>
      <c r="K165" s="1" t="s">
        <v>55</v>
      </c>
      <c r="L165" s="1" t="s">
        <v>32</v>
      </c>
      <c r="M165" s="1" t="s">
        <v>57</v>
      </c>
      <c r="N165">
        <v>237580.7</v>
      </c>
      <c r="O165">
        <v>25673.200000000001</v>
      </c>
      <c r="P165">
        <v>45467.37</v>
      </c>
      <c r="Q165">
        <v>8</v>
      </c>
      <c r="R165">
        <v>12</v>
      </c>
      <c r="S165">
        <v>1.8</v>
      </c>
      <c r="T165" s="1" t="s">
        <v>94</v>
      </c>
      <c r="U165" s="1" t="s">
        <v>33</v>
      </c>
      <c r="V165" s="1" t="s">
        <v>47</v>
      </c>
      <c r="W165" s="1" t="s">
        <v>179</v>
      </c>
    </row>
    <row r="166" spans="1:23" x14ac:dyDescent="0.35">
      <c r="A166" s="1" t="s">
        <v>573</v>
      </c>
      <c r="B166" s="1" t="s">
        <v>574</v>
      </c>
      <c r="C166">
        <v>24</v>
      </c>
      <c r="D166" s="1" t="s">
        <v>50</v>
      </c>
      <c r="E166" s="1" t="s">
        <v>26</v>
      </c>
      <c r="F166" s="1" t="s">
        <v>33</v>
      </c>
      <c r="G166" s="1" t="s">
        <v>575</v>
      </c>
      <c r="H166" s="2">
        <v>45923</v>
      </c>
      <c r="I166" s="1" t="s">
        <v>114</v>
      </c>
      <c r="J166" s="1" t="s">
        <v>30</v>
      </c>
      <c r="K166" s="1" t="s">
        <v>174</v>
      </c>
      <c r="L166" s="1" t="s">
        <v>92</v>
      </c>
      <c r="M166" s="1" t="s">
        <v>123</v>
      </c>
      <c r="N166">
        <v>81205.070000000007</v>
      </c>
      <c r="O166">
        <v>0</v>
      </c>
      <c r="P166">
        <v>25831.15</v>
      </c>
      <c r="Q166">
        <v>9</v>
      </c>
      <c r="R166">
        <v>0</v>
      </c>
      <c r="S166">
        <v>5</v>
      </c>
      <c r="T166" s="1" t="s">
        <v>46</v>
      </c>
      <c r="U166" s="1" t="s">
        <v>33</v>
      </c>
      <c r="V166" s="1" t="s">
        <v>164</v>
      </c>
      <c r="W166" s="1" t="s">
        <v>36</v>
      </c>
    </row>
    <row r="167" spans="1:23" x14ac:dyDescent="0.35">
      <c r="A167" s="1" t="s">
        <v>576</v>
      </c>
      <c r="B167" s="1" t="s">
        <v>577</v>
      </c>
      <c r="C167">
        <v>27</v>
      </c>
      <c r="D167" s="1" t="s">
        <v>106</v>
      </c>
      <c r="E167" s="1" t="s">
        <v>72</v>
      </c>
      <c r="F167" s="1" t="s">
        <v>135</v>
      </c>
      <c r="G167" s="1" t="s">
        <v>578</v>
      </c>
      <c r="H167" s="2">
        <v>45310</v>
      </c>
      <c r="I167" s="1" t="s">
        <v>89</v>
      </c>
      <c r="J167" s="1" t="s">
        <v>33</v>
      </c>
      <c r="K167" s="1" t="s">
        <v>33</v>
      </c>
      <c r="L167" s="1" t="s">
        <v>92</v>
      </c>
      <c r="M167" s="1" t="s">
        <v>129</v>
      </c>
      <c r="N167">
        <v>535341.01</v>
      </c>
      <c r="O167">
        <v>54544.14</v>
      </c>
      <c r="P167">
        <v>35255.06</v>
      </c>
      <c r="Q167">
        <v>6</v>
      </c>
      <c r="R167">
        <v>0</v>
      </c>
      <c r="S167">
        <v>5</v>
      </c>
      <c r="T167" s="1" t="s">
        <v>34</v>
      </c>
      <c r="U167" s="1" t="s">
        <v>149</v>
      </c>
      <c r="V167" s="1" t="s">
        <v>33</v>
      </c>
      <c r="W167" s="1" t="s">
        <v>131</v>
      </c>
    </row>
    <row r="168" spans="1:23" x14ac:dyDescent="0.35">
      <c r="A168" s="1" t="s">
        <v>579</v>
      </c>
      <c r="B168" s="1" t="s">
        <v>580</v>
      </c>
      <c r="C168">
        <v>6</v>
      </c>
      <c r="D168" s="1" t="s">
        <v>50</v>
      </c>
      <c r="E168" s="1" t="s">
        <v>33</v>
      </c>
      <c r="F168" s="1" t="s">
        <v>98</v>
      </c>
      <c r="G168" s="1" t="s">
        <v>581</v>
      </c>
      <c r="H168" s="2">
        <v>45700</v>
      </c>
      <c r="I168" s="1" t="s">
        <v>168</v>
      </c>
      <c r="J168" s="1" t="s">
        <v>115</v>
      </c>
      <c r="K168" s="1" t="s">
        <v>208</v>
      </c>
      <c r="L168" s="1" t="s">
        <v>56</v>
      </c>
      <c r="M168" s="1" t="s">
        <v>57</v>
      </c>
      <c r="N168">
        <v>363159.86</v>
      </c>
      <c r="O168">
        <v>90993.81</v>
      </c>
      <c r="P168">
        <v>86528.18</v>
      </c>
      <c r="Q168">
        <v>1</v>
      </c>
      <c r="R168">
        <v>137</v>
      </c>
      <c r="S168">
        <v>4.5</v>
      </c>
      <c r="T168" s="1" t="s">
        <v>94</v>
      </c>
      <c r="U168" s="1" t="s">
        <v>149</v>
      </c>
      <c r="V168" s="1" t="s">
        <v>164</v>
      </c>
      <c r="W168" s="1" t="s">
        <v>131</v>
      </c>
    </row>
    <row r="169" spans="1:23" x14ac:dyDescent="0.35">
      <c r="A169" s="1" t="s">
        <v>582</v>
      </c>
      <c r="B169" s="1" t="s">
        <v>583</v>
      </c>
      <c r="C169">
        <v>59</v>
      </c>
      <c r="D169" s="1" t="s">
        <v>25</v>
      </c>
      <c r="E169" s="1" t="s">
        <v>107</v>
      </c>
      <c r="F169" s="1" t="s">
        <v>27</v>
      </c>
      <c r="G169" s="1" t="s">
        <v>319</v>
      </c>
      <c r="H169" s="2">
        <v>45897</v>
      </c>
      <c r="I169" s="1" t="s">
        <v>168</v>
      </c>
      <c r="J169" s="1" t="s">
        <v>80</v>
      </c>
      <c r="K169" s="1" t="s">
        <v>33</v>
      </c>
      <c r="L169" s="1" t="s">
        <v>32</v>
      </c>
      <c r="M169" s="1" t="s">
        <v>169</v>
      </c>
      <c r="N169">
        <v>259366.8</v>
      </c>
      <c r="O169">
        <v>32605.03</v>
      </c>
      <c r="P169">
        <v>43122.21</v>
      </c>
      <c r="Q169">
        <v>5</v>
      </c>
      <c r="R169">
        <v>38</v>
      </c>
      <c r="S169">
        <v>3.3</v>
      </c>
      <c r="T169" s="1" t="s">
        <v>154</v>
      </c>
      <c r="U169" s="1" t="s">
        <v>35</v>
      </c>
      <c r="V169" s="1" t="s">
        <v>33</v>
      </c>
      <c r="W169" s="1" t="s">
        <v>131</v>
      </c>
    </row>
    <row r="170" spans="1:23" x14ac:dyDescent="0.35">
      <c r="A170" s="1" t="s">
        <v>584</v>
      </c>
      <c r="B170" s="1" t="s">
        <v>333</v>
      </c>
      <c r="C170">
        <v>40</v>
      </c>
      <c r="D170" s="1" t="s">
        <v>78</v>
      </c>
      <c r="E170" s="1" t="s">
        <v>26</v>
      </c>
      <c r="F170" s="1" t="s">
        <v>135</v>
      </c>
      <c r="G170" s="1" t="s">
        <v>585</v>
      </c>
      <c r="H170" s="2">
        <v>45305</v>
      </c>
      <c r="I170" s="1" t="s">
        <v>33</v>
      </c>
      <c r="J170" s="1" t="s">
        <v>152</v>
      </c>
      <c r="K170" s="1" t="s">
        <v>174</v>
      </c>
      <c r="L170" s="1" t="s">
        <v>92</v>
      </c>
      <c r="M170" s="1" t="s">
        <v>33</v>
      </c>
      <c r="N170">
        <v>81597.240000000005</v>
      </c>
      <c r="O170">
        <v>2410.27</v>
      </c>
      <c r="P170">
        <v>50396.82</v>
      </c>
      <c r="Q170">
        <v>1</v>
      </c>
      <c r="R170">
        <v>199</v>
      </c>
      <c r="S170">
        <v>4.9000000000000004</v>
      </c>
      <c r="T170" s="1" t="s">
        <v>33</v>
      </c>
      <c r="U170" s="1" t="s">
        <v>149</v>
      </c>
      <c r="V170" s="1" t="s">
        <v>47</v>
      </c>
      <c r="W170" s="1" t="s">
        <v>83</v>
      </c>
    </row>
    <row r="171" spans="1:23" x14ac:dyDescent="0.35">
      <c r="A171" s="1" t="s">
        <v>586</v>
      </c>
      <c r="B171" s="1" t="s">
        <v>587</v>
      </c>
      <c r="C171">
        <v>21</v>
      </c>
      <c r="D171" s="1" t="s">
        <v>25</v>
      </c>
      <c r="E171" s="1" t="s">
        <v>263</v>
      </c>
      <c r="F171" s="1" t="s">
        <v>27</v>
      </c>
      <c r="G171" s="1" t="s">
        <v>588</v>
      </c>
      <c r="H171" s="2">
        <v>45571</v>
      </c>
      <c r="I171" s="1" t="s">
        <v>221</v>
      </c>
      <c r="J171" s="1" t="s">
        <v>137</v>
      </c>
      <c r="K171" s="1" t="s">
        <v>91</v>
      </c>
      <c r="L171" s="1" t="s">
        <v>92</v>
      </c>
      <c r="M171" s="1" t="s">
        <v>74</v>
      </c>
      <c r="N171">
        <v>351707.97</v>
      </c>
      <c r="O171">
        <v>5437.82</v>
      </c>
      <c r="P171">
        <v>38261.01</v>
      </c>
      <c r="Q171">
        <v>1</v>
      </c>
      <c r="R171">
        <v>136</v>
      </c>
      <c r="S171">
        <v>2.4</v>
      </c>
      <c r="T171" s="1" t="s">
        <v>46</v>
      </c>
      <c r="U171" s="1" t="s">
        <v>33</v>
      </c>
      <c r="V171" s="1" t="s">
        <v>102</v>
      </c>
      <c r="W171" s="1" t="s">
        <v>103</v>
      </c>
    </row>
    <row r="172" spans="1:23" x14ac:dyDescent="0.35">
      <c r="A172" s="1" t="s">
        <v>589</v>
      </c>
      <c r="B172" s="1" t="s">
        <v>590</v>
      </c>
      <c r="C172">
        <v>13</v>
      </c>
      <c r="D172" s="1" t="s">
        <v>119</v>
      </c>
      <c r="E172" s="1" t="s">
        <v>51</v>
      </c>
      <c r="F172" s="1" t="s">
        <v>33</v>
      </c>
      <c r="G172" s="1" t="s">
        <v>591</v>
      </c>
      <c r="H172" s="2">
        <v>45816</v>
      </c>
      <c r="I172" s="1" t="s">
        <v>273</v>
      </c>
      <c r="J172" s="1" t="s">
        <v>30</v>
      </c>
      <c r="K172" s="1" t="s">
        <v>148</v>
      </c>
      <c r="L172" s="1" t="s">
        <v>56</v>
      </c>
      <c r="M172" s="1" t="s">
        <v>74</v>
      </c>
      <c r="N172">
        <v>135808.53</v>
      </c>
      <c r="O172">
        <v>37994.550000000003</v>
      </c>
      <c r="P172">
        <v>0</v>
      </c>
      <c r="Q172">
        <v>3</v>
      </c>
      <c r="R172">
        <v>128</v>
      </c>
      <c r="S172">
        <v>3.7</v>
      </c>
      <c r="T172" s="1" t="s">
        <v>33</v>
      </c>
      <c r="U172" s="1" t="s">
        <v>149</v>
      </c>
      <c r="V172" s="1" t="s">
        <v>102</v>
      </c>
      <c r="W172" s="1" t="s">
        <v>36</v>
      </c>
    </row>
    <row r="173" spans="1:23" x14ac:dyDescent="0.35">
      <c r="A173" s="1" t="s">
        <v>592</v>
      </c>
      <c r="B173" s="1" t="s">
        <v>394</v>
      </c>
      <c r="C173">
        <v>47</v>
      </c>
      <c r="D173" s="1" t="s">
        <v>106</v>
      </c>
      <c r="E173" s="1" t="s">
        <v>157</v>
      </c>
      <c r="F173" s="1" t="s">
        <v>145</v>
      </c>
      <c r="G173" s="1" t="s">
        <v>593</v>
      </c>
      <c r="H173" s="2">
        <v>45375</v>
      </c>
      <c r="I173" s="1" t="s">
        <v>53</v>
      </c>
      <c r="J173" s="1" t="s">
        <v>147</v>
      </c>
      <c r="K173" s="1" t="s">
        <v>31</v>
      </c>
      <c r="L173" s="1" t="s">
        <v>33</v>
      </c>
      <c r="M173" s="1" t="s">
        <v>123</v>
      </c>
      <c r="N173">
        <v>410979.66</v>
      </c>
      <c r="O173">
        <v>33130.61</v>
      </c>
      <c r="P173">
        <v>32117.83</v>
      </c>
      <c r="Q173">
        <v>4</v>
      </c>
      <c r="R173">
        <v>104</v>
      </c>
      <c r="S173">
        <v>4.4000000000000004</v>
      </c>
      <c r="T173" s="1" t="s">
        <v>94</v>
      </c>
      <c r="U173" s="1" t="s">
        <v>33</v>
      </c>
      <c r="V173" s="1" t="s">
        <v>75</v>
      </c>
      <c r="W173" s="1" t="s">
        <v>33</v>
      </c>
    </row>
    <row r="174" spans="1:23" x14ac:dyDescent="0.35">
      <c r="A174" s="1" t="s">
        <v>594</v>
      </c>
      <c r="B174" s="1" t="s">
        <v>595</v>
      </c>
      <c r="C174">
        <v>43</v>
      </c>
      <c r="D174" s="1" t="s">
        <v>50</v>
      </c>
      <c r="E174" s="1" t="s">
        <v>40</v>
      </c>
      <c r="F174" s="1" t="s">
        <v>41</v>
      </c>
      <c r="G174" s="1" t="s">
        <v>596</v>
      </c>
      <c r="H174" s="2">
        <v>46098</v>
      </c>
      <c r="I174" s="1" t="s">
        <v>173</v>
      </c>
      <c r="J174" s="1" t="s">
        <v>90</v>
      </c>
      <c r="K174" s="1" t="s">
        <v>91</v>
      </c>
      <c r="L174" s="1" t="s">
        <v>33</v>
      </c>
      <c r="M174" s="1" t="s">
        <v>183</v>
      </c>
      <c r="N174">
        <v>121721.16</v>
      </c>
      <c r="O174">
        <v>13427.48</v>
      </c>
      <c r="P174">
        <v>2921.84</v>
      </c>
      <c r="Q174">
        <v>3</v>
      </c>
      <c r="R174">
        <v>226</v>
      </c>
      <c r="T174" s="1" t="s">
        <v>154</v>
      </c>
      <c r="U174" s="1" t="s">
        <v>101</v>
      </c>
      <c r="V174" s="1" t="s">
        <v>102</v>
      </c>
      <c r="W174" s="1" t="s">
        <v>36</v>
      </c>
    </row>
    <row r="175" spans="1:23" x14ac:dyDescent="0.35">
      <c r="A175" s="1" t="s">
        <v>597</v>
      </c>
      <c r="B175" s="1" t="s">
        <v>598</v>
      </c>
      <c r="C175">
        <v>27</v>
      </c>
      <c r="D175" s="1" t="s">
        <v>119</v>
      </c>
      <c r="E175" s="1" t="s">
        <v>62</v>
      </c>
      <c r="F175" s="1" t="s">
        <v>33</v>
      </c>
      <c r="G175" s="1" t="s">
        <v>599</v>
      </c>
      <c r="H175" s="2">
        <v>45636</v>
      </c>
      <c r="I175" s="1" t="s">
        <v>114</v>
      </c>
      <c r="J175" s="1" t="s">
        <v>87</v>
      </c>
      <c r="K175" s="1" t="s">
        <v>31</v>
      </c>
      <c r="L175" s="1" t="s">
        <v>92</v>
      </c>
      <c r="M175" s="1" t="s">
        <v>183</v>
      </c>
      <c r="N175">
        <v>345289.41</v>
      </c>
      <c r="O175">
        <v>22626.26</v>
      </c>
      <c r="P175">
        <v>82432.259999999995</v>
      </c>
      <c r="Q175">
        <v>1</v>
      </c>
      <c r="R175">
        <v>44</v>
      </c>
      <c r="S175">
        <v>4.0999999999999996</v>
      </c>
      <c r="T175" s="1" t="s">
        <v>33</v>
      </c>
      <c r="U175" s="1" t="s">
        <v>33</v>
      </c>
      <c r="V175" s="1" t="s">
        <v>130</v>
      </c>
      <c r="W175" s="1" t="s">
        <v>83</v>
      </c>
    </row>
    <row r="176" spans="1:23" x14ac:dyDescent="0.35">
      <c r="A176" s="1" t="s">
        <v>600</v>
      </c>
      <c r="B176" s="1" t="s">
        <v>350</v>
      </c>
      <c r="C176">
        <v>90</v>
      </c>
      <c r="D176" s="1" t="s">
        <v>106</v>
      </c>
      <c r="E176" s="1" t="s">
        <v>203</v>
      </c>
      <c r="F176" s="1" t="s">
        <v>27</v>
      </c>
      <c r="G176" s="1" t="s">
        <v>601</v>
      </c>
      <c r="H176" s="2">
        <v>46210</v>
      </c>
      <c r="I176" s="1" t="s">
        <v>221</v>
      </c>
      <c r="J176" s="1" t="s">
        <v>90</v>
      </c>
      <c r="K176" s="1" t="s">
        <v>55</v>
      </c>
      <c r="L176" s="1" t="s">
        <v>92</v>
      </c>
      <c r="M176" s="1" t="s">
        <v>45</v>
      </c>
      <c r="N176">
        <v>53736.22</v>
      </c>
      <c r="O176">
        <v>37745.519999999997</v>
      </c>
      <c r="P176">
        <v>64013.31</v>
      </c>
      <c r="Q176">
        <v>1</v>
      </c>
      <c r="R176">
        <v>126</v>
      </c>
      <c r="S176">
        <v>3.5</v>
      </c>
      <c r="T176" s="1" t="s">
        <v>154</v>
      </c>
      <c r="U176" s="1" t="s">
        <v>33</v>
      </c>
      <c r="V176" s="1" t="s">
        <v>75</v>
      </c>
      <c r="W176" s="1" t="s">
        <v>36</v>
      </c>
    </row>
    <row r="177" spans="1:23" x14ac:dyDescent="0.35">
      <c r="A177" s="1" t="s">
        <v>602</v>
      </c>
      <c r="B177" s="1" t="s">
        <v>358</v>
      </c>
      <c r="C177">
        <v>43</v>
      </c>
      <c r="D177" s="1" t="s">
        <v>106</v>
      </c>
      <c r="E177" s="1" t="s">
        <v>72</v>
      </c>
      <c r="F177" s="1" t="s">
        <v>41</v>
      </c>
      <c r="G177" s="1" t="s">
        <v>603</v>
      </c>
      <c r="H177" s="2">
        <v>46145</v>
      </c>
      <c r="I177" s="1" t="s">
        <v>29</v>
      </c>
      <c r="J177" s="1" t="s">
        <v>30</v>
      </c>
      <c r="K177" s="1" t="s">
        <v>55</v>
      </c>
      <c r="L177" s="1" t="s">
        <v>32</v>
      </c>
      <c r="M177" s="1" t="s">
        <v>45</v>
      </c>
      <c r="N177">
        <v>199419.72</v>
      </c>
      <c r="O177">
        <v>54096.98</v>
      </c>
      <c r="P177">
        <v>111315.69</v>
      </c>
      <c r="Q177">
        <v>2</v>
      </c>
      <c r="R177">
        <v>53</v>
      </c>
      <c r="S177">
        <v>1.9</v>
      </c>
      <c r="T177" s="1" t="s">
        <v>46</v>
      </c>
      <c r="U177" s="1" t="s">
        <v>35</v>
      </c>
      <c r="V177" s="1" t="s">
        <v>102</v>
      </c>
      <c r="W177" s="1" t="s">
        <v>131</v>
      </c>
    </row>
    <row r="178" spans="1:23" x14ac:dyDescent="0.35">
      <c r="A178" s="1" t="s">
        <v>604</v>
      </c>
      <c r="B178" s="1" t="s">
        <v>605</v>
      </c>
      <c r="C178">
        <v>92</v>
      </c>
      <c r="D178" s="1" t="s">
        <v>50</v>
      </c>
      <c r="E178" s="1" t="s">
        <v>203</v>
      </c>
      <c r="F178" s="1" t="s">
        <v>63</v>
      </c>
      <c r="G178" s="1" t="s">
        <v>606</v>
      </c>
      <c r="H178" s="2">
        <v>45756</v>
      </c>
      <c r="I178" s="1" t="s">
        <v>127</v>
      </c>
      <c r="J178" s="1" t="s">
        <v>87</v>
      </c>
      <c r="K178" s="1" t="s">
        <v>163</v>
      </c>
      <c r="L178" s="1" t="s">
        <v>33</v>
      </c>
      <c r="M178" s="1" t="s">
        <v>33</v>
      </c>
      <c r="N178">
        <v>107485.56</v>
      </c>
      <c r="O178">
        <v>70977.919999999998</v>
      </c>
      <c r="P178">
        <v>95331.02</v>
      </c>
      <c r="Q178">
        <v>2</v>
      </c>
      <c r="R178">
        <v>53</v>
      </c>
      <c r="S178">
        <v>4.4000000000000004</v>
      </c>
      <c r="T178" s="1" t="s">
        <v>46</v>
      </c>
      <c r="U178" s="1" t="s">
        <v>95</v>
      </c>
      <c r="V178" s="1" t="s">
        <v>68</v>
      </c>
      <c r="W178" s="1" t="s">
        <v>103</v>
      </c>
    </row>
    <row r="179" spans="1:23" x14ac:dyDescent="0.35">
      <c r="A179" s="1" t="s">
        <v>607</v>
      </c>
      <c r="B179" s="1" t="s">
        <v>608</v>
      </c>
      <c r="C179">
        <v>34</v>
      </c>
      <c r="D179" s="1" t="s">
        <v>78</v>
      </c>
      <c r="E179" s="1" t="s">
        <v>26</v>
      </c>
      <c r="F179" s="1" t="s">
        <v>87</v>
      </c>
      <c r="G179" s="1" t="s">
        <v>609</v>
      </c>
      <c r="H179" s="2">
        <v>45567</v>
      </c>
      <c r="I179" s="1" t="s">
        <v>53</v>
      </c>
      <c r="J179" s="1" t="s">
        <v>54</v>
      </c>
      <c r="K179" s="1" t="s">
        <v>208</v>
      </c>
      <c r="L179" s="1" t="s">
        <v>92</v>
      </c>
      <c r="M179" s="1" t="s">
        <v>183</v>
      </c>
      <c r="N179">
        <v>191498.75</v>
      </c>
      <c r="O179">
        <v>15457.98</v>
      </c>
      <c r="P179">
        <v>14557.3</v>
      </c>
      <c r="Q179">
        <v>9</v>
      </c>
      <c r="R179">
        <v>46</v>
      </c>
      <c r="S179">
        <v>2.1</v>
      </c>
      <c r="T179" s="1" t="s">
        <v>34</v>
      </c>
      <c r="U179" s="1" t="s">
        <v>33</v>
      </c>
      <c r="V179" s="1" t="s">
        <v>75</v>
      </c>
      <c r="W179" s="1" t="s">
        <v>83</v>
      </c>
    </row>
    <row r="180" spans="1:23" x14ac:dyDescent="0.35">
      <c r="A180" s="1" t="s">
        <v>610</v>
      </c>
      <c r="B180" s="1" t="s">
        <v>611</v>
      </c>
      <c r="C180">
        <v>26</v>
      </c>
      <c r="D180" s="1" t="s">
        <v>25</v>
      </c>
      <c r="E180" s="1" t="s">
        <v>263</v>
      </c>
      <c r="F180" s="1" t="s">
        <v>33</v>
      </c>
      <c r="G180" s="1" t="s">
        <v>612</v>
      </c>
      <c r="H180" s="2">
        <v>45676</v>
      </c>
      <c r="I180" s="1" t="s">
        <v>221</v>
      </c>
      <c r="J180" s="1" t="s">
        <v>141</v>
      </c>
      <c r="K180" s="1" t="s">
        <v>55</v>
      </c>
      <c r="L180" s="1" t="s">
        <v>32</v>
      </c>
      <c r="M180" s="1" t="s">
        <v>33</v>
      </c>
      <c r="N180">
        <v>252730.03</v>
      </c>
      <c r="O180">
        <v>0</v>
      </c>
      <c r="P180">
        <v>54926.41</v>
      </c>
      <c r="Q180">
        <v>3</v>
      </c>
      <c r="R180">
        <v>157</v>
      </c>
      <c r="S180">
        <v>1.1000000000000001</v>
      </c>
      <c r="T180" s="1" t="s">
        <v>34</v>
      </c>
      <c r="U180" s="1" t="s">
        <v>149</v>
      </c>
      <c r="V180" s="1" t="s">
        <v>75</v>
      </c>
      <c r="W180" s="1" t="s">
        <v>103</v>
      </c>
    </row>
    <row r="181" spans="1:23" x14ac:dyDescent="0.35">
      <c r="A181" s="1" t="s">
        <v>613</v>
      </c>
      <c r="B181" s="1" t="s">
        <v>583</v>
      </c>
      <c r="C181">
        <v>70</v>
      </c>
      <c r="D181" s="1" t="s">
        <v>119</v>
      </c>
      <c r="E181" s="1" t="s">
        <v>62</v>
      </c>
      <c r="F181" s="1" t="s">
        <v>56</v>
      </c>
      <c r="G181" s="1" t="s">
        <v>614</v>
      </c>
      <c r="H181" s="2">
        <v>45804</v>
      </c>
      <c r="I181" s="1" t="s">
        <v>168</v>
      </c>
      <c r="J181" s="1" t="s">
        <v>147</v>
      </c>
      <c r="K181" s="1" t="s">
        <v>122</v>
      </c>
      <c r="L181" s="1" t="s">
        <v>32</v>
      </c>
      <c r="M181" s="1" t="s">
        <v>45</v>
      </c>
      <c r="N181">
        <v>50650.26</v>
      </c>
      <c r="O181">
        <v>71814.31</v>
      </c>
      <c r="P181">
        <v>57570.57</v>
      </c>
      <c r="Q181">
        <v>4</v>
      </c>
      <c r="R181">
        <v>42</v>
      </c>
      <c r="S181">
        <v>3.6</v>
      </c>
      <c r="T181" s="1" t="s">
        <v>34</v>
      </c>
      <c r="U181" s="1" t="s">
        <v>58</v>
      </c>
      <c r="V181" s="1" t="s">
        <v>33</v>
      </c>
      <c r="W181" s="1" t="s">
        <v>83</v>
      </c>
    </row>
    <row r="182" spans="1:23" x14ac:dyDescent="0.35">
      <c r="A182" s="1" t="s">
        <v>615</v>
      </c>
      <c r="B182" s="1" t="s">
        <v>616</v>
      </c>
      <c r="C182">
        <v>44</v>
      </c>
      <c r="D182" s="1" t="s">
        <v>119</v>
      </c>
      <c r="E182" s="1" t="s">
        <v>86</v>
      </c>
      <c r="F182" s="1" t="s">
        <v>63</v>
      </c>
      <c r="G182" s="1" t="s">
        <v>617</v>
      </c>
      <c r="H182" s="2">
        <v>45786</v>
      </c>
      <c r="I182" s="1" t="s">
        <v>89</v>
      </c>
      <c r="J182" s="1" t="s">
        <v>147</v>
      </c>
      <c r="K182" s="1" t="s">
        <v>128</v>
      </c>
      <c r="L182" s="1" t="s">
        <v>32</v>
      </c>
      <c r="M182" s="1" t="s">
        <v>33</v>
      </c>
      <c r="N182">
        <v>295425.84000000003</v>
      </c>
      <c r="O182">
        <v>6983.16</v>
      </c>
      <c r="P182">
        <v>50080.82</v>
      </c>
      <c r="Q182">
        <v>4</v>
      </c>
      <c r="R182">
        <v>0</v>
      </c>
      <c r="S182">
        <v>3.6</v>
      </c>
      <c r="T182" s="1" t="s">
        <v>33</v>
      </c>
      <c r="U182" s="1" t="s">
        <v>101</v>
      </c>
      <c r="V182" s="1" t="s">
        <v>130</v>
      </c>
      <c r="W182" s="1" t="s">
        <v>179</v>
      </c>
    </row>
    <row r="183" spans="1:23" x14ac:dyDescent="0.35">
      <c r="A183" s="1" t="s">
        <v>618</v>
      </c>
      <c r="B183" s="1" t="s">
        <v>347</v>
      </c>
      <c r="C183">
        <v>26</v>
      </c>
      <c r="D183" s="1" t="s">
        <v>50</v>
      </c>
      <c r="E183" s="1" t="s">
        <v>192</v>
      </c>
      <c r="F183" s="1" t="s">
        <v>44</v>
      </c>
      <c r="G183" s="1" t="s">
        <v>619</v>
      </c>
      <c r="H183" s="2">
        <v>45690</v>
      </c>
      <c r="I183" s="1" t="s">
        <v>235</v>
      </c>
      <c r="J183" s="1" t="s">
        <v>90</v>
      </c>
      <c r="K183" s="1" t="s">
        <v>31</v>
      </c>
      <c r="L183" s="1" t="s">
        <v>44</v>
      </c>
      <c r="M183" s="1" t="s">
        <v>93</v>
      </c>
      <c r="N183">
        <v>393053.04</v>
      </c>
      <c r="O183">
        <v>57282.75</v>
      </c>
      <c r="P183">
        <v>63274.14</v>
      </c>
      <c r="Q183">
        <v>1</v>
      </c>
      <c r="R183">
        <v>13</v>
      </c>
      <c r="S183">
        <v>3.3</v>
      </c>
      <c r="T183" s="1" t="s">
        <v>46</v>
      </c>
      <c r="U183" s="1" t="s">
        <v>33</v>
      </c>
      <c r="V183" s="1" t="s">
        <v>47</v>
      </c>
      <c r="W183" s="1" t="s">
        <v>59</v>
      </c>
    </row>
    <row r="184" spans="1:23" x14ac:dyDescent="0.35">
      <c r="A184" s="1" t="s">
        <v>620</v>
      </c>
      <c r="B184" s="1" t="s">
        <v>621</v>
      </c>
      <c r="C184">
        <v>46</v>
      </c>
      <c r="D184" s="1" t="s">
        <v>71</v>
      </c>
      <c r="E184" s="1" t="s">
        <v>62</v>
      </c>
      <c r="F184" s="1" t="s">
        <v>227</v>
      </c>
      <c r="G184" s="1" t="s">
        <v>622</v>
      </c>
      <c r="H184" s="2">
        <v>45356</v>
      </c>
      <c r="I184" s="1" t="s">
        <v>100</v>
      </c>
      <c r="J184" s="1" t="s">
        <v>147</v>
      </c>
      <c r="K184" s="1" t="s">
        <v>31</v>
      </c>
      <c r="L184" s="1" t="s">
        <v>92</v>
      </c>
      <c r="M184" s="1" t="s">
        <v>74</v>
      </c>
      <c r="N184">
        <v>544706.14</v>
      </c>
      <c r="O184">
        <v>39832.949999999997</v>
      </c>
      <c r="P184">
        <v>50761.47</v>
      </c>
      <c r="Q184">
        <v>7</v>
      </c>
      <c r="R184">
        <v>71</v>
      </c>
      <c r="S184">
        <v>3.9</v>
      </c>
      <c r="T184" s="1" t="s">
        <v>33</v>
      </c>
      <c r="U184" s="1" t="s">
        <v>67</v>
      </c>
      <c r="V184" s="1" t="s">
        <v>130</v>
      </c>
      <c r="W184" s="1" t="s">
        <v>103</v>
      </c>
    </row>
    <row r="185" spans="1:23" x14ac:dyDescent="0.35">
      <c r="A185" s="1" t="s">
        <v>623</v>
      </c>
      <c r="B185" s="1" t="s">
        <v>624</v>
      </c>
      <c r="C185">
        <v>58</v>
      </c>
      <c r="D185" s="1" t="s">
        <v>50</v>
      </c>
      <c r="E185" s="1" t="s">
        <v>192</v>
      </c>
      <c r="F185" s="1" t="s">
        <v>41</v>
      </c>
      <c r="G185" s="1" t="s">
        <v>625</v>
      </c>
      <c r="H185" s="2">
        <v>45798</v>
      </c>
      <c r="I185" s="1" t="s">
        <v>53</v>
      </c>
      <c r="J185" s="1" t="s">
        <v>87</v>
      </c>
      <c r="K185" s="1" t="s">
        <v>148</v>
      </c>
      <c r="L185" s="1" t="s">
        <v>32</v>
      </c>
      <c r="M185" s="1" t="s">
        <v>82</v>
      </c>
      <c r="N185">
        <v>353938.32</v>
      </c>
      <c r="O185">
        <v>10350.26</v>
      </c>
      <c r="P185">
        <v>5063.01</v>
      </c>
      <c r="Q185">
        <v>2</v>
      </c>
      <c r="R185">
        <v>0</v>
      </c>
      <c r="S185">
        <v>4.4000000000000004</v>
      </c>
      <c r="T185" s="1" t="s">
        <v>94</v>
      </c>
      <c r="U185" s="1" t="s">
        <v>95</v>
      </c>
      <c r="V185" s="1" t="s">
        <v>33</v>
      </c>
      <c r="W185" s="1" t="s">
        <v>36</v>
      </c>
    </row>
    <row r="186" spans="1:23" x14ac:dyDescent="0.35">
      <c r="A186" s="1" t="s">
        <v>626</v>
      </c>
      <c r="B186" s="1" t="s">
        <v>540</v>
      </c>
      <c r="C186">
        <v>0</v>
      </c>
      <c r="D186" s="1" t="s">
        <v>106</v>
      </c>
      <c r="E186" s="1" t="s">
        <v>51</v>
      </c>
      <c r="F186" s="1" t="s">
        <v>44</v>
      </c>
      <c r="G186" s="1" t="s">
        <v>627</v>
      </c>
      <c r="H186" s="2">
        <v>46182</v>
      </c>
      <c r="I186" s="1" t="s">
        <v>277</v>
      </c>
      <c r="J186" s="1" t="s">
        <v>90</v>
      </c>
      <c r="K186" s="1" t="s">
        <v>208</v>
      </c>
      <c r="L186" s="1" t="s">
        <v>32</v>
      </c>
      <c r="M186" s="1" t="s">
        <v>57</v>
      </c>
      <c r="N186">
        <v>274401</v>
      </c>
      <c r="O186">
        <v>92324.99</v>
      </c>
      <c r="P186">
        <v>44817.87</v>
      </c>
      <c r="Q186">
        <v>1</v>
      </c>
      <c r="R186">
        <v>157</v>
      </c>
      <c r="S186">
        <v>3.8</v>
      </c>
      <c r="T186" s="1" t="s">
        <v>33</v>
      </c>
      <c r="U186" s="1" t="s">
        <v>67</v>
      </c>
      <c r="V186" s="1" t="s">
        <v>75</v>
      </c>
      <c r="W186" s="1" t="s">
        <v>103</v>
      </c>
    </row>
    <row r="187" spans="1:23" x14ac:dyDescent="0.35">
      <c r="A187" s="1" t="s">
        <v>628</v>
      </c>
      <c r="B187" s="1" t="s">
        <v>564</v>
      </c>
      <c r="C187">
        <v>63</v>
      </c>
      <c r="D187" s="1" t="s">
        <v>39</v>
      </c>
      <c r="E187" s="1" t="s">
        <v>33</v>
      </c>
      <c r="F187" s="1" t="s">
        <v>56</v>
      </c>
      <c r="G187" s="1" t="s">
        <v>250</v>
      </c>
      <c r="H187" s="2">
        <v>46265</v>
      </c>
      <c r="I187" s="1" t="s">
        <v>235</v>
      </c>
      <c r="J187" s="1" t="s">
        <v>147</v>
      </c>
      <c r="K187" s="1" t="s">
        <v>208</v>
      </c>
      <c r="L187" s="1" t="s">
        <v>92</v>
      </c>
      <c r="M187" s="1" t="s">
        <v>33</v>
      </c>
      <c r="N187">
        <v>179361.56</v>
      </c>
      <c r="O187">
        <v>36684.81</v>
      </c>
      <c r="P187">
        <v>54650.93</v>
      </c>
      <c r="Q187">
        <v>2</v>
      </c>
      <c r="R187">
        <v>44</v>
      </c>
      <c r="S187">
        <v>5</v>
      </c>
      <c r="T187" s="1" t="s">
        <v>154</v>
      </c>
      <c r="U187" s="1" t="s">
        <v>67</v>
      </c>
      <c r="V187" s="1" t="s">
        <v>68</v>
      </c>
      <c r="W187" s="1" t="s">
        <v>83</v>
      </c>
    </row>
    <row r="188" spans="1:23" x14ac:dyDescent="0.35">
      <c r="A188" s="1" t="s">
        <v>629</v>
      </c>
      <c r="B188" s="1" t="s">
        <v>24</v>
      </c>
      <c r="C188">
        <v>26</v>
      </c>
      <c r="D188" s="1" t="s">
        <v>39</v>
      </c>
      <c r="E188" s="1" t="s">
        <v>51</v>
      </c>
      <c r="F188" s="1" t="s">
        <v>135</v>
      </c>
      <c r="G188" s="1" t="s">
        <v>250</v>
      </c>
      <c r="H188" s="2">
        <v>46265</v>
      </c>
      <c r="I188" s="1" t="s">
        <v>235</v>
      </c>
      <c r="J188" s="1" t="s">
        <v>33</v>
      </c>
      <c r="K188" s="1" t="s">
        <v>33</v>
      </c>
      <c r="L188" s="1" t="s">
        <v>92</v>
      </c>
      <c r="M188" s="1" t="s">
        <v>183</v>
      </c>
      <c r="N188">
        <v>295111.38</v>
      </c>
      <c r="O188">
        <v>7538.3</v>
      </c>
      <c r="P188">
        <v>45845.43</v>
      </c>
      <c r="Q188">
        <v>2</v>
      </c>
      <c r="R188">
        <v>94</v>
      </c>
      <c r="S188">
        <v>5</v>
      </c>
      <c r="T188" s="1" t="s">
        <v>94</v>
      </c>
      <c r="U188" s="1" t="s">
        <v>35</v>
      </c>
      <c r="V188" s="1" t="s">
        <v>33</v>
      </c>
      <c r="W188" s="1" t="s">
        <v>83</v>
      </c>
    </row>
    <row r="189" spans="1:23" x14ac:dyDescent="0.35">
      <c r="A189" s="1" t="s">
        <v>630</v>
      </c>
      <c r="B189" s="1" t="s">
        <v>631</v>
      </c>
      <c r="C189">
        <v>42</v>
      </c>
      <c r="D189" s="1" t="s">
        <v>106</v>
      </c>
      <c r="E189" s="1" t="s">
        <v>203</v>
      </c>
      <c r="F189" s="1" t="s">
        <v>44</v>
      </c>
      <c r="G189" s="1" t="s">
        <v>632</v>
      </c>
      <c r="H189" s="2">
        <v>46137</v>
      </c>
      <c r="I189" s="1" t="s">
        <v>29</v>
      </c>
      <c r="J189" s="1" t="s">
        <v>30</v>
      </c>
      <c r="K189" s="1" t="s">
        <v>31</v>
      </c>
      <c r="L189" s="1" t="s">
        <v>33</v>
      </c>
      <c r="M189" s="1" t="s">
        <v>57</v>
      </c>
      <c r="N189">
        <v>334487.28000000003</v>
      </c>
      <c r="O189">
        <v>64755.19</v>
      </c>
      <c r="P189">
        <v>61734.31</v>
      </c>
      <c r="Q189">
        <v>4</v>
      </c>
      <c r="R189">
        <v>95</v>
      </c>
      <c r="S189">
        <v>2</v>
      </c>
      <c r="T189" s="1" t="s">
        <v>34</v>
      </c>
      <c r="U189" s="1" t="s">
        <v>58</v>
      </c>
      <c r="V189" s="1" t="s">
        <v>75</v>
      </c>
      <c r="W189" s="1" t="s">
        <v>36</v>
      </c>
    </row>
    <row r="190" spans="1:23" x14ac:dyDescent="0.35">
      <c r="A190" s="1" t="s">
        <v>633</v>
      </c>
      <c r="B190" s="1" t="s">
        <v>634</v>
      </c>
      <c r="C190">
        <v>36</v>
      </c>
      <c r="D190" s="1" t="s">
        <v>106</v>
      </c>
      <c r="E190" s="1" t="s">
        <v>62</v>
      </c>
      <c r="F190" s="1" t="s">
        <v>120</v>
      </c>
      <c r="G190" s="1" t="s">
        <v>635</v>
      </c>
      <c r="H190" s="2">
        <v>45680</v>
      </c>
      <c r="I190" s="1" t="s">
        <v>33</v>
      </c>
      <c r="J190" s="1" t="s">
        <v>43</v>
      </c>
      <c r="K190" s="1" t="s">
        <v>33</v>
      </c>
      <c r="L190" s="1" t="s">
        <v>92</v>
      </c>
      <c r="M190" s="1" t="s">
        <v>33</v>
      </c>
      <c r="N190">
        <v>134668.29</v>
      </c>
      <c r="O190">
        <v>25325.72</v>
      </c>
      <c r="P190">
        <v>46699.5</v>
      </c>
      <c r="Q190">
        <v>1</v>
      </c>
      <c r="R190">
        <v>134</v>
      </c>
      <c r="S190">
        <v>3.6</v>
      </c>
      <c r="T190" s="1" t="s">
        <v>34</v>
      </c>
      <c r="U190" s="1" t="s">
        <v>101</v>
      </c>
      <c r="V190" s="1" t="s">
        <v>102</v>
      </c>
      <c r="W190" s="1" t="s">
        <v>33</v>
      </c>
    </row>
    <row r="191" spans="1:23" x14ac:dyDescent="0.35">
      <c r="A191" s="1" t="s">
        <v>636</v>
      </c>
      <c r="B191" s="1" t="s">
        <v>637</v>
      </c>
      <c r="C191">
        <v>44</v>
      </c>
      <c r="D191" s="1" t="s">
        <v>39</v>
      </c>
      <c r="E191" s="1" t="s">
        <v>192</v>
      </c>
      <c r="F191" s="1" t="s">
        <v>27</v>
      </c>
      <c r="G191" s="1" t="s">
        <v>638</v>
      </c>
      <c r="H191" s="2">
        <v>46205</v>
      </c>
      <c r="I191" s="1" t="s">
        <v>221</v>
      </c>
      <c r="J191" s="1" t="s">
        <v>54</v>
      </c>
      <c r="K191" s="1" t="s">
        <v>55</v>
      </c>
      <c r="L191" s="1" t="s">
        <v>66</v>
      </c>
      <c r="M191" s="1" t="s">
        <v>82</v>
      </c>
      <c r="N191">
        <v>0</v>
      </c>
      <c r="O191">
        <v>6516.62</v>
      </c>
      <c r="P191">
        <v>40677.370000000003</v>
      </c>
      <c r="Q191">
        <v>4</v>
      </c>
      <c r="R191">
        <v>4</v>
      </c>
      <c r="S191">
        <v>4.5</v>
      </c>
      <c r="T191" s="1" t="s">
        <v>33</v>
      </c>
      <c r="U191" s="1" t="s">
        <v>33</v>
      </c>
      <c r="V191" s="1" t="s">
        <v>130</v>
      </c>
      <c r="W191" s="1" t="s">
        <v>179</v>
      </c>
    </row>
    <row r="192" spans="1:23" x14ac:dyDescent="0.35">
      <c r="A192" s="1" t="s">
        <v>639</v>
      </c>
      <c r="B192" s="1" t="s">
        <v>468</v>
      </c>
      <c r="C192">
        <v>69</v>
      </c>
      <c r="D192" s="1" t="s">
        <v>39</v>
      </c>
      <c r="E192" s="1" t="s">
        <v>263</v>
      </c>
      <c r="F192" s="1" t="s">
        <v>56</v>
      </c>
      <c r="G192" s="1" t="s">
        <v>640</v>
      </c>
      <c r="H192" s="2">
        <v>45495</v>
      </c>
      <c r="I192" s="1" t="s">
        <v>114</v>
      </c>
      <c r="J192" s="1" t="s">
        <v>242</v>
      </c>
      <c r="K192" s="1" t="s">
        <v>31</v>
      </c>
      <c r="L192" s="1" t="s">
        <v>44</v>
      </c>
      <c r="M192" s="1" t="s">
        <v>169</v>
      </c>
      <c r="N192">
        <v>190118</v>
      </c>
      <c r="O192">
        <v>67268.149999999994</v>
      </c>
      <c r="P192">
        <v>49460.02</v>
      </c>
      <c r="Q192">
        <v>9</v>
      </c>
      <c r="R192">
        <v>69</v>
      </c>
      <c r="S192">
        <v>2.9</v>
      </c>
      <c r="T192" s="1" t="s">
        <v>94</v>
      </c>
      <c r="U192" s="1" t="s">
        <v>33</v>
      </c>
      <c r="V192" s="1" t="s">
        <v>102</v>
      </c>
      <c r="W192" s="1" t="s">
        <v>36</v>
      </c>
    </row>
    <row r="193" spans="1:23" x14ac:dyDescent="0.35">
      <c r="A193" s="1" t="s">
        <v>641</v>
      </c>
      <c r="B193" s="1" t="s">
        <v>598</v>
      </c>
      <c r="C193">
        <v>34</v>
      </c>
      <c r="D193" s="1" t="s">
        <v>119</v>
      </c>
      <c r="E193" s="1" t="s">
        <v>112</v>
      </c>
      <c r="F193" s="1" t="s">
        <v>135</v>
      </c>
      <c r="G193" s="1" t="s">
        <v>642</v>
      </c>
      <c r="H193" s="2">
        <v>45393</v>
      </c>
      <c r="I193" s="1" t="s">
        <v>114</v>
      </c>
      <c r="J193" s="1" t="s">
        <v>87</v>
      </c>
      <c r="K193" s="1" t="s">
        <v>91</v>
      </c>
      <c r="L193" s="1" t="s">
        <v>33</v>
      </c>
      <c r="M193" s="1" t="s">
        <v>57</v>
      </c>
      <c r="N193">
        <v>243858.27</v>
      </c>
      <c r="O193">
        <v>34014.35</v>
      </c>
      <c r="P193">
        <v>45091.38</v>
      </c>
      <c r="Q193">
        <v>2</v>
      </c>
      <c r="R193">
        <v>127</v>
      </c>
      <c r="S193">
        <v>5</v>
      </c>
      <c r="T193" s="1" t="s">
        <v>33</v>
      </c>
      <c r="U193" s="1" t="s">
        <v>33</v>
      </c>
      <c r="V193" s="1" t="s">
        <v>33</v>
      </c>
      <c r="W193" s="1" t="s">
        <v>33</v>
      </c>
    </row>
    <row r="194" spans="1:23" x14ac:dyDescent="0.35">
      <c r="A194" s="1" t="s">
        <v>643</v>
      </c>
      <c r="B194" s="1" t="s">
        <v>644</v>
      </c>
      <c r="C194">
        <v>10</v>
      </c>
      <c r="D194" s="1" t="s">
        <v>33</v>
      </c>
      <c r="E194" s="1" t="s">
        <v>51</v>
      </c>
      <c r="F194" s="1" t="s">
        <v>63</v>
      </c>
      <c r="G194" s="1" t="s">
        <v>645</v>
      </c>
      <c r="H194" s="2">
        <v>45489</v>
      </c>
      <c r="I194" s="1" t="s">
        <v>53</v>
      </c>
      <c r="J194" s="1" t="s">
        <v>137</v>
      </c>
      <c r="K194" s="1" t="s">
        <v>153</v>
      </c>
      <c r="L194" s="1" t="s">
        <v>32</v>
      </c>
      <c r="M194" s="1" t="s">
        <v>93</v>
      </c>
      <c r="N194">
        <v>0</v>
      </c>
      <c r="O194">
        <v>53358</v>
      </c>
      <c r="P194">
        <v>3993.64</v>
      </c>
      <c r="Q194">
        <v>6</v>
      </c>
      <c r="R194">
        <v>78</v>
      </c>
      <c r="S194">
        <v>2.2000000000000002</v>
      </c>
      <c r="T194" s="1" t="s">
        <v>34</v>
      </c>
      <c r="U194" s="1" t="s">
        <v>95</v>
      </c>
      <c r="V194" s="1" t="s">
        <v>102</v>
      </c>
      <c r="W194" s="1" t="s">
        <v>131</v>
      </c>
    </row>
    <row r="195" spans="1:23" x14ac:dyDescent="0.35">
      <c r="A195" s="1" t="s">
        <v>646</v>
      </c>
      <c r="B195" s="1" t="s">
        <v>384</v>
      </c>
      <c r="C195">
        <v>54</v>
      </c>
      <c r="D195" s="1" t="s">
        <v>39</v>
      </c>
      <c r="E195" s="1" t="s">
        <v>33</v>
      </c>
      <c r="F195" s="1" t="s">
        <v>87</v>
      </c>
      <c r="G195" s="1" t="s">
        <v>647</v>
      </c>
      <c r="H195" s="2">
        <v>46153</v>
      </c>
      <c r="I195" s="1" t="s">
        <v>33</v>
      </c>
      <c r="J195" s="1" t="s">
        <v>90</v>
      </c>
      <c r="K195" s="1" t="s">
        <v>31</v>
      </c>
      <c r="L195" s="1" t="s">
        <v>56</v>
      </c>
      <c r="M195" s="1" t="s">
        <v>93</v>
      </c>
      <c r="N195">
        <v>326281.71999999997</v>
      </c>
      <c r="O195">
        <v>15587.24</v>
      </c>
      <c r="P195">
        <v>0</v>
      </c>
      <c r="Q195">
        <v>1</v>
      </c>
      <c r="R195">
        <v>54</v>
      </c>
      <c r="S195">
        <v>4.2</v>
      </c>
      <c r="T195" s="1" t="s">
        <v>33</v>
      </c>
      <c r="U195" s="1" t="s">
        <v>33</v>
      </c>
      <c r="V195" s="1" t="s">
        <v>130</v>
      </c>
      <c r="W195" s="1" t="s">
        <v>33</v>
      </c>
    </row>
    <row r="196" spans="1:23" x14ac:dyDescent="0.35">
      <c r="A196" s="1" t="s">
        <v>648</v>
      </c>
      <c r="B196" s="1" t="s">
        <v>266</v>
      </c>
      <c r="C196">
        <v>47</v>
      </c>
      <c r="D196" s="1" t="s">
        <v>78</v>
      </c>
      <c r="E196" s="1" t="s">
        <v>192</v>
      </c>
      <c r="F196" s="1" t="s">
        <v>108</v>
      </c>
      <c r="G196" s="1" t="s">
        <v>136</v>
      </c>
      <c r="H196" s="2">
        <v>45752</v>
      </c>
      <c r="I196" s="1" t="s">
        <v>159</v>
      </c>
      <c r="J196" s="1" t="s">
        <v>147</v>
      </c>
      <c r="K196" s="1" t="s">
        <v>148</v>
      </c>
      <c r="L196" s="1" t="s">
        <v>56</v>
      </c>
      <c r="M196" s="1" t="s">
        <v>57</v>
      </c>
      <c r="N196">
        <v>217856.62</v>
      </c>
      <c r="O196">
        <v>44482.29</v>
      </c>
      <c r="P196">
        <v>48587.41</v>
      </c>
      <c r="Q196">
        <v>1</v>
      </c>
      <c r="R196">
        <v>22</v>
      </c>
      <c r="S196">
        <v>5</v>
      </c>
      <c r="T196" s="1" t="s">
        <v>33</v>
      </c>
      <c r="U196" s="1" t="s">
        <v>33</v>
      </c>
      <c r="V196" s="1" t="s">
        <v>68</v>
      </c>
      <c r="W196" s="1" t="s">
        <v>83</v>
      </c>
    </row>
    <row r="197" spans="1:23" x14ac:dyDescent="0.35">
      <c r="A197" s="1" t="s">
        <v>649</v>
      </c>
      <c r="B197" s="1" t="s">
        <v>650</v>
      </c>
      <c r="C197">
        <v>42</v>
      </c>
      <c r="D197" s="1" t="s">
        <v>106</v>
      </c>
      <c r="E197" s="1" t="s">
        <v>263</v>
      </c>
      <c r="F197" s="1" t="s">
        <v>145</v>
      </c>
      <c r="G197" s="1" t="s">
        <v>651</v>
      </c>
      <c r="H197" s="2">
        <v>45700</v>
      </c>
      <c r="I197" s="1" t="s">
        <v>53</v>
      </c>
      <c r="J197" s="1" t="s">
        <v>33</v>
      </c>
      <c r="K197" s="1" t="s">
        <v>33</v>
      </c>
      <c r="L197" s="1" t="s">
        <v>44</v>
      </c>
      <c r="M197" s="1" t="s">
        <v>33</v>
      </c>
      <c r="N197">
        <v>89342.49</v>
      </c>
      <c r="O197">
        <v>18917.939999999999</v>
      </c>
      <c r="P197">
        <v>18455.919999999998</v>
      </c>
      <c r="Q197">
        <v>2</v>
      </c>
      <c r="R197">
        <v>82</v>
      </c>
      <c r="S197">
        <v>5</v>
      </c>
      <c r="T197" s="1" t="s">
        <v>46</v>
      </c>
      <c r="U197" s="1" t="s">
        <v>33</v>
      </c>
      <c r="V197" s="1" t="s">
        <v>75</v>
      </c>
      <c r="W197" s="1" t="s">
        <v>179</v>
      </c>
    </row>
    <row r="198" spans="1:23" x14ac:dyDescent="0.35">
      <c r="A198" s="1" t="s">
        <v>652</v>
      </c>
      <c r="B198" s="1" t="s">
        <v>653</v>
      </c>
      <c r="C198">
        <v>7</v>
      </c>
      <c r="D198" s="1" t="s">
        <v>25</v>
      </c>
      <c r="E198" s="1" t="s">
        <v>107</v>
      </c>
      <c r="F198" s="1" t="s">
        <v>33</v>
      </c>
      <c r="G198" s="1" t="s">
        <v>654</v>
      </c>
      <c r="H198" s="2">
        <v>45869</v>
      </c>
      <c r="I198" s="1" t="s">
        <v>173</v>
      </c>
      <c r="J198" s="1" t="s">
        <v>33</v>
      </c>
      <c r="K198" s="1" t="s">
        <v>128</v>
      </c>
      <c r="L198" s="1" t="s">
        <v>66</v>
      </c>
      <c r="M198" s="1" t="s">
        <v>129</v>
      </c>
      <c r="N198">
        <v>425963.85</v>
      </c>
      <c r="O198">
        <v>24766.91</v>
      </c>
      <c r="P198">
        <v>24927.82</v>
      </c>
      <c r="Q198">
        <v>1</v>
      </c>
      <c r="R198">
        <v>172</v>
      </c>
      <c r="T198" s="1" t="s">
        <v>46</v>
      </c>
      <c r="U198" s="1" t="s">
        <v>33</v>
      </c>
      <c r="V198" s="1" t="s">
        <v>33</v>
      </c>
      <c r="W198" s="1" t="s">
        <v>36</v>
      </c>
    </row>
    <row r="199" spans="1:23" x14ac:dyDescent="0.35">
      <c r="A199" s="1" t="s">
        <v>655</v>
      </c>
      <c r="B199" s="1" t="s">
        <v>656</v>
      </c>
      <c r="C199">
        <v>57</v>
      </c>
      <c r="D199" s="1" t="s">
        <v>106</v>
      </c>
      <c r="E199" s="1" t="s">
        <v>40</v>
      </c>
      <c r="F199" s="1" t="s">
        <v>44</v>
      </c>
      <c r="G199" s="1" t="s">
        <v>657</v>
      </c>
      <c r="H199" s="2">
        <v>46213</v>
      </c>
      <c r="I199" s="1" t="s">
        <v>33</v>
      </c>
      <c r="J199" s="1" t="s">
        <v>33</v>
      </c>
      <c r="K199" s="1" t="s">
        <v>153</v>
      </c>
      <c r="L199" s="1" t="s">
        <v>66</v>
      </c>
      <c r="M199" s="1" t="s">
        <v>169</v>
      </c>
      <c r="N199">
        <v>151692.4</v>
      </c>
      <c r="O199">
        <v>83932.71</v>
      </c>
      <c r="P199">
        <v>26828.55</v>
      </c>
      <c r="Q199">
        <v>11</v>
      </c>
      <c r="R199">
        <v>150</v>
      </c>
      <c r="S199">
        <v>4.0999999999999996</v>
      </c>
      <c r="T199" s="1" t="s">
        <v>154</v>
      </c>
      <c r="U199" s="1" t="s">
        <v>58</v>
      </c>
      <c r="V199" s="1" t="s">
        <v>164</v>
      </c>
      <c r="W199" s="1" t="s">
        <v>12</v>
      </c>
    </row>
    <row r="200" spans="1:23" x14ac:dyDescent="0.35">
      <c r="A200" s="1" t="s">
        <v>658</v>
      </c>
      <c r="B200" s="1" t="s">
        <v>318</v>
      </c>
      <c r="C200">
        <v>77</v>
      </c>
      <c r="D200" s="1" t="s">
        <v>50</v>
      </c>
      <c r="E200" s="1" t="s">
        <v>134</v>
      </c>
      <c r="F200" s="1" t="s">
        <v>193</v>
      </c>
      <c r="G200" s="1" t="s">
        <v>267</v>
      </c>
      <c r="H200" s="2">
        <v>45627</v>
      </c>
      <c r="I200" s="1" t="s">
        <v>221</v>
      </c>
      <c r="J200" s="1" t="s">
        <v>30</v>
      </c>
      <c r="K200" s="1" t="s">
        <v>91</v>
      </c>
      <c r="L200" s="1" t="s">
        <v>32</v>
      </c>
      <c r="M200" s="1" t="s">
        <v>129</v>
      </c>
      <c r="N200">
        <v>224480.58</v>
      </c>
      <c r="O200">
        <v>11164.55</v>
      </c>
      <c r="P200">
        <v>58799.16</v>
      </c>
      <c r="Q200">
        <v>7</v>
      </c>
      <c r="R200">
        <v>44</v>
      </c>
      <c r="S200">
        <v>5</v>
      </c>
      <c r="T200" s="1" t="s">
        <v>33</v>
      </c>
      <c r="U200" s="1" t="s">
        <v>33</v>
      </c>
      <c r="V200" s="1" t="s">
        <v>47</v>
      </c>
      <c r="W200" s="1" t="s">
        <v>36</v>
      </c>
    </row>
    <row r="201" spans="1:23" x14ac:dyDescent="0.35">
      <c r="A201" s="1" t="s">
        <v>659</v>
      </c>
      <c r="B201" s="1" t="s">
        <v>660</v>
      </c>
      <c r="C201">
        <v>34</v>
      </c>
      <c r="D201" s="1" t="s">
        <v>119</v>
      </c>
      <c r="E201" s="1" t="s">
        <v>192</v>
      </c>
      <c r="F201" s="1" t="s">
        <v>108</v>
      </c>
      <c r="G201" s="1" t="s">
        <v>661</v>
      </c>
      <c r="H201" s="2">
        <v>46195</v>
      </c>
      <c r="I201" s="1" t="s">
        <v>159</v>
      </c>
      <c r="J201" s="1" t="s">
        <v>33</v>
      </c>
      <c r="K201" s="1" t="s">
        <v>148</v>
      </c>
      <c r="L201" s="1" t="s">
        <v>32</v>
      </c>
      <c r="M201" s="1" t="s">
        <v>169</v>
      </c>
      <c r="N201">
        <v>245855.24</v>
      </c>
      <c r="O201">
        <v>0</v>
      </c>
      <c r="P201">
        <v>15851.58</v>
      </c>
      <c r="Q201">
        <v>3</v>
      </c>
      <c r="R201">
        <v>185</v>
      </c>
      <c r="S201">
        <v>2.8</v>
      </c>
      <c r="T201" s="1" t="s">
        <v>94</v>
      </c>
      <c r="U201" s="1" t="s">
        <v>95</v>
      </c>
      <c r="V201" s="1" t="s">
        <v>47</v>
      </c>
      <c r="W201" s="1" t="s">
        <v>59</v>
      </c>
    </row>
    <row r="202" spans="1:23" x14ac:dyDescent="0.35">
      <c r="A202" s="1" t="s">
        <v>662</v>
      </c>
      <c r="B202" s="1" t="s">
        <v>230</v>
      </c>
      <c r="C202">
        <v>54</v>
      </c>
      <c r="D202" s="1" t="s">
        <v>106</v>
      </c>
      <c r="E202" s="1" t="s">
        <v>33</v>
      </c>
      <c r="F202" s="1" t="s">
        <v>193</v>
      </c>
      <c r="G202" s="1" t="s">
        <v>663</v>
      </c>
      <c r="H202" s="2">
        <v>45540</v>
      </c>
      <c r="I202" s="1" t="s">
        <v>53</v>
      </c>
      <c r="J202" s="1" t="s">
        <v>147</v>
      </c>
      <c r="K202" s="1" t="s">
        <v>33</v>
      </c>
      <c r="L202" s="1" t="s">
        <v>56</v>
      </c>
      <c r="M202" s="1" t="s">
        <v>82</v>
      </c>
      <c r="N202">
        <v>385998.58</v>
      </c>
      <c r="O202">
        <v>47973.83</v>
      </c>
      <c r="P202">
        <v>74881.429999999993</v>
      </c>
      <c r="Q202">
        <v>1</v>
      </c>
      <c r="R202">
        <v>38</v>
      </c>
      <c r="S202">
        <v>1.9</v>
      </c>
      <c r="T202" s="1" t="s">
        <v>94</v>
      </c>
      <c r="U202" s="1" t="s">
        <v>67</v>
      </c>
      <c r="V202" s="1" t="s">
        <v>47</v>
      </c>
      <c r="W202" s="1" t="s">
        <v>83</v>
      </c>
    </row>
    <row r="203" spans="1:23" x14ac:dyDescent="0.35">
      <c r="A203" s="1" t="s">
        <v>664</v>
      </c>
      <c r="B203" s="1" t="s">
        <v>637</v>
      </c>
      <c r="C203">
        <v>35</v>
      </c>
      <c r="D203" s="1" t="s">
        <v>71</v>
      </c>
      <c r="E203" s="1" t="s">
        <v>40</v>
      </c>
      <c r="F203" s="1" t="s">
        <v>56</v>
      </c>
      <c r="G203" s="1" t="s">
        <v>665</v>
      </c>
      <c r="H203" s="2">
        <v>45520</v>
      </c>
      <c r="I203" s="1" t="s">
        <v>159</v>
      </c>
      <c r="J203" s="1" t="s">
        <v>242</v>
      </c>
      <c r="K203" s="1" t="s">
        <v>116</v>
      </c>
      <c r="L203" s="1" t="s">
        <v>56</v>
      </c>
      <c r="M203" s="1" t="s">
        <v>123</v>
      </c>
      <c r="N203">
        <v>184883.38</v>
      </c>
      <c r="O203">
        <v>63204.85</v>
      </c>
      <c r="P203">
        <v>61686.9</v>
      </c>
      <c r="Q203">
        <v>9</v>
      </c>
      <c r="R203">
        <v>129</v>
      </c>
      <c r="S203">
        <v>5</v>
      </c>
      <c r="T203" s="1" t="s">
        <v>33</v>
      </c>
      <c r="U203" s="1" t="s">
        <v>95</v>
      </c>
      <c r="V203" s="1" t="s">
        <v>33</v>
      </c>
      <c r="W203" s="1" t="s">
        <v>83</v>
      </c>
    </row>
    <row r="204" spans="1:23" x14ac:dyDescent="0.35">
      <c r="A204" s="1" t="s">
        <v>666</v>
      </c>
      <c r="B204" s="1" t="s">
        <v>321</v>
      </c>
      <c r="C204">
        <v>63</v>
      </c>
      <c r="D204" s="1" t="s">
        <v>50</v>
      </c>
      <c r="E204" s="1" t="s">
        <v>134</v>
      </c>
      <c r="F204" s="1" t="s">
        <v>87</v>
      </c>
      <c r="G204" s="1" t="s">
        <v>667</v>
      </c>
      <c r="H204" s="2">
        <v>46023</v>
      </c>
      <c r="I204" s="1" t="s">
        <v>173</v>
      </c>
      <c r="J204" s="1" t="s">
        <v>137</v>
      </c>
      <c r="K204" s="1" t="s">
        <v>153</v>
      </c>
      <c r="L204" s="1" t="s">
        <v>32</v>
      </c>
      <c r="M204" s="1" t="s">
        <v>142</v>
      </c>
      <c r="N204">
        <v>227981.84</v>
      </c>
      <c r="O204">
        <v>36714.81</v>
      </c>
      <c r="P204">
        <v>90854.05</v>
      </c>
      <c r="Q204">
        <v>2</v>
      </c>
      <c r="R204">
        <v>133</v>
      </c>
      <c r="S204">
        <v>4.4000000000000004</v>
      </c>
      <c r="T204" s="1" t="s">
        <v>33</v>
      </c>
      <c r="U204" s="1" t="s">
        <v>33</v>
      </c>
      <c r="V204" s="1" t="s">
        <v>75</v>
      </c>
      <c r="W204" s="1" t="s">
        <v>36</v>
      </c>
    </row>
    <row r="205" spans="1:23" x14ac:dyDescent="0.35">
      <c r="A205" s="1" t="s">
        <v>668</v>
      </c>
      <c r="B205" s="1" t="s">
        <v>669</v>
      </c>
      <c r="C205">
        <v>34</v>
      </c>
      <c r="D205" s="1" t="s">
        <v>106</v>
      </c>
      <c r="E205" s="1" t="s">
        <v>263</v>
      </c>
      <c r="F205" s="1" t="s">
        <v>56</v>
      </c>
      <c r="G205" s="1" t="s">
        <v>670</v>
      </c>
      <c r="H205" s="2">
        <v>45363</v>
      </c>
      <c r="I205" s="1" t="s">
        <v>235</v>
      </c>
      <c r="J205" s="1" t="s">
        <v>33</v>
      </c>
      <c r="K205" s="1" t="s">
        <v>153</v>
      </c>
      <c r="L205" s="1" t="s">
        <v>66</v>
      </c>
      <c r="M205" s="1" t="s">
        <v>33</v>
      </c>
      <c r="N205">
        <v>102510.65</v>
      </c>
      <c r="O205">
        <v>3879.77</v>
      </c>
      <c r="P205">
        <v>0</v>
      </c>
      <c r="Q205">
        <v>6</v>
      </c>
      <c r="R205">
        <v>249</v>
      </c>
      <c r="S205">
        <v>2.2999999999999998</v>
      </c>
      <c r="T205" s="1" t="s">
        <v>33</v>
      </c>
      <c r="U205" s="1" t="s">
        <v>58</v>
      </c>
      <c r="V205" s="1" t="s">
        <v>68</v>
      </c>
      <c r="W205" s="1" t="s">
        <v>83</v>
      </c>
    </row>
    <row r="206" spans="1:23" x14ac:dyDescent="0.35">
      <c r="A206" s="1" t="s">
        <v>671</v>
      </c>
      <c r="B206" s="1" t="s">
        <v>255</v>
      </c>
      <c r="C206">
        <v>36</v>
      </c>
      <c r="D206" s="1" t="s">
        <v>78</v>
      </c>
      <c r="E206" s="1" t="s">
        <v>26</v>
      </c>
      <c r="F206" s="1" t="s">
        <v>56</v>
      </c>
      <c r="G206" s="1" t="s">
        <v>672</v>
      </c>
      <c r="H206" s="2">
        <v>45621</v>
      </c>
      <c r="I206" s="1" t="s">
        <v>33</v>
      </c>
      <c r="J206" s="1" t="s">
        <v>242</v>
      </c>
      <c r="K206" s="1" t="s">
        <v>153</v>
      </c>
      <c r="L206" s="1" t="s">
        <v>56</v>
      </c>
      <c r="M206" s="1" t="s">
        <v>129</v>
      </c>
      <c r="N206">
        <v>263036.94</v>
      </c>
      <c r="O206">
        <v>50393.43</v>
      </c>
      <c r="P206">
        <v>70814.2</v>
      </c>
      <c r="Q206">
        <v>2</v>
      </c>
      <c r="R206">
        <v>51</v>
      </c>
      <c r="S206">
        <v>3.5</v>
      </c>
      <c r="T206" s="1" t="s">
        <v>33</v>
      </c>
      <c r="U206" s="1" t="s">
        <v>95</v>
      </c>
      <c r="V206" s="1" t="s">
        <v>68</v>
      </c>
      <c r="W206" s="1" t="s">
        <v>103</v>
      </c>
    </row>
    <row r="207" spans="1:23" x14ac:dyDescent="0.35">
      <c r="A207" s="1" t="s">
        <v>673</v>
      </c>
      <c r="B207" s="1" t="s">
        <v>24</v>
      </c>
      <c r="C207">
        <v>37</v>
      </c>
      <c r="D207" s="1" t="s">
        <v>50</v>
      </c>
      <c r="E207" s="1" t="s">
        <v>192</v>
      </c>
      <c r="F207" s="1" t="s">
        <v>33</v>
      </c>
      <c r="G207" s="1" t="s">
        <v>356</v>
      </c>
      <c r="H207" s="2">
        <v>45814</v>
      </c>
      <c r="I207" s="1" t="s">
        <v>100</v>
      </c>
      <c r="J207" s="1" t="s">
        <v>242</v>
      </c>
      <c r="K207" s="1" t="s">
        <v>55</v>
      </c>
      <c r="L207" s="1" t="s">
        <v>56</v>
      </c>
      <c r="M207" s="1" t="s">
        <v>45</v>
      </c>
      <c r="N207">
        <v>445028.38</v>
      </c>
      <c r="O207">
        <v>42274.37</v>
      </c>
      <c r="P207">
        <v>67046.33</v>
      </c>
      <c r="Q207">
        <v>3</v>
      </c>
      <c r="R207">
        <v>144</v>
      </c>
      <c r="S207">
        <v>5</v>
      </c>
      <c r="T207" s="1" t="s">
        <v>33</v>
      </c>
      <c r="U207" s="1" t="s">
        <v>58</v>
      </c>
      <c r="V207" s="1" t="s">
        <v>102</v>
      </c>
      <c r="W207" s="1" t="s">
        <v>103</v>
      </c>
    </row>
    <row r="208" spans="1:23" x14ac:dyDescent="0.35">
      <c r="A208" s="1" t="s">
        <v>674</v>
      </c>
      <c r="B208" s="1" t="s">
        <v>656</v>
      </c>
      <c r="C208">
        <v>14</v>
      </c>
      <c r="D208" s="1" t="s">
        <v>106</v>
      </c>
      <c r="E208" s="1" t="s">
        <v>263</v>
      </c>
      <c r="F208" s="1" t="s">
        <v>193</v>
      </c>
      <c r="G208" s="1" t="s">
        <v>439</v>
      </c>
      <c r="H208" s="2">
        <v>45634</v>
      </c>
      <c r="I208" s="1" t="s">
        <v>114</v>
      </c>
      <c r="J208" s="1" t="s">
        <v>137</v>
      </c>
      <c r="K208" s="1" t="s">
        <v>33</v>
      </c>
      <c r="L208" s="1" t="s">
        <v>44</v>
      </c>
      <c r="M208" s="1" t="s">
        <v>142</v>
      </c>
      <c r="N208">
        <v>275956.31</v>
      </c>
      <c r="O208">
        <v>13716.08</v>
      </c>
      <c r="P208">
        <v>29141.5</v>
      </c>
      <c r="Q208">
        <v>3</v>
      </c>
      <c r="R208">
        <v>138</v>
      </c>
      <c r="S208">
        <v>5</v>
      </c>
      <c r="T208" s="1" t="s">
        <v>33</v>
      </c>
      <c r="U208" s="1" t="s">
        <v>35</v>
      </c>
      <c r="V208" s="1" t="s">
        <v>33</v>
      </c>
      <c r="W208" s="1" t="s">
        <v>59</v>
      </c>
    </row>
    <row r="209" spans="1:23" x14ac:dyDescent="0.35">
      <c r="A209" s="1" t="s">
        <v>675</v>
      </c>
      <c r="B209" s="1" t="s">
        <v>465</v>
      </c>
      <c r="C209">
        <v>49</v>
      </c>
      <c r="D209" s="1" t="s">
        <v>78</v>
      </c>
      <c r="E209" s="1" t="s">
        <v>112</v>
      </c>
      <c r="F209" s="1" t="s">
        <v>227</v>
      </c>
      <c r="G209" s="1" t="s">
        <v>676</v>
      </c>
      <c r="H209" s="2">
        <v>45449</v>
      </c>
      <c r="I209" s="1" t="s">
        <v>168</v>
      </c>
      <c r="J209" s="1" t="s">
        <v>90</v>
      </c>
      <c r="K209" s="1" t="s">
        <v>91</v>
      </c>
      <c r="L209" s="1" t="s">
        <v>32</v>
      </c>
      <c r="M209" s="1" t="s">
        <v>74</v>
      </c>
      <c r="N209">
        <v>458310.09</v>
      </c>
      <c r="O209">
        <v>36018.83</v>
      </c>
      <c r="P209">
        <v>123050.49</v>
      </c>
      <c r="Q209">
        <v>3</v>
      </c>
      <c r="R209">
        <v>137</v>
      </c>
      <c r="S209">
        <v>1.4</v>
      </c>
      <c r="T209" s="1" t="s">
        <v>94</v>
      </c>
      <c r="U209" s="1" t="s">
        <v>149</v>
      </c>
      <c r="V209" s="1" t="s">
        <v>75</v>
      </c>
      <c r="W209" s="1" t="s">
        <v>33</v>
      </c>
    </row>
    <row r="210" spans="1:23" x14ac:dyDescent="0.35">
      <c r="A210" s="1" t="s">
        <v>677</v>
      </c>
      <c r="B210" s="1" t="s">
        <v>608</v>
      </c>
      <c r="C210">
        <v>51</v>
      </c>
      <c r="D210" s="1" t="s">
        <v>78</v>
      </c>
      <c r="E210" s="1" t="s">
        <v>33</v>
      </c>
      <c r="F210" s="1" t="s">
        <v>98</v>
      </c>
      <c r="G210" s="1" t="s">
        <v>678</v>
      </c>
      <c r="H210" s="2">
        <v>45469</v>
      </c>
      <c r="I210" s="1" t="s">
        <v>221</v>
      </c>
      <c r="J210" s="1" t="s">
        <v>147</v>
      </c>
      <c r="K210" s="1" t="s">
        <v>81</v>
      </c>
      <c r="L210" s="1" t="s">
        <v>56</v>
      </c>
      <c r="M210" s="1" t="s">
        <v>33</v>
      </c>
      <c r="N210">
        <v>400565.39</v>
      </c>
      <c r="O210">
        <v>46829.53</v>
      </c>
      <c r="P210">
        <v>40846.32</v>
      </c>
      <c r="Q210">
        <v>5</v>
      </c>
      <c r="R210">
        <v>3</v>
      </c>
      <c r="S210">
        <v>3.4</v>
      </c>
      <c r="T210" s="1" t="s">
        <v>154</v>
      </c>
      <c r="U210" s="1" t="s">
        <v>33</v>
      </c>
      <c r="V210" s="1" t="s">
        <v>33</v>
      </c>
      <c r="W210" s="1" t="s">
        <v>33</v>
      </c>
    </row>
    <row r="211" spans="1:23" x14ac:dyDescent="0.35">
      <c r="A211" s="1" t="s">
        <v>679</v>
      </c>
      <c r="B211" s="1" t="s">
        <v>680</v>
      </c>
      <c r="C211">
        <v>30</v>
      </c>
      <c r="D211" s="1" t="s">
        <v>71</v>
      </c>
      <c r="E211" s="1" t="s">
        <v>26</v>
      </c>
      <c r="F211" s="1" t="s">
        <v>56</v>
      </c>
      <c r="G211" s="1" t="s">
        <v>681</v>
      </c>
      <c r="H211" s="2">
        <v>46068</v>
      </c>
      <c r="I211" s="1" t="s">
        <v>273</v>
      </c>
      <c r="J211" s="1" t="s">
        <v>65</v>
      </c>
      <c r="K211" s="1" t="s">
        <v>208</v>
      </c>
      <c r="L211" s="1" t="s">
        <v>32</v>
      </c>
      <c r="M211" s="1" t="s">
        <v>183</v>
      </c>
      <c r="N211">
        <v>302400.98</v>
      </c>
      <c r="O211">
        <v>71747.61</v>
      </c>
      <c r="P211">
        <v>56840.15</v>
      </c>
      <c r="Q211">
        <v>1</v>
      </c>
      <c r="R211">
        <v>5</v>
      </c>
      <c r="S211">
        <v>4.3</v>
      </c>
      <c r="T211" s="1" t="s">
        <v>34</v>
      </c>
      <c r="U211" s="1" t="s">
        <v>67</v>
      </c>
      <c r="V211" s="1" t="s">
        <v>164</v>
      </c>
      <c r="W211" s="1" t="s">
        <v>83</v>
      </c>
    </row>
    <row r="212" spans="1:23" x14ac:dyDescent="0.35">
      <c r="A212" s="1" t="s">
        <v>682</v>
      </c>
      <c r="B212" s="1" t="s">
        <v>683</v>
      </c>
      <c r="C212">
        <v>29</v>
      </c>
      <c r="D212" s="1" t="s">
        <v>33</v>
      </c>
      <c r="E212" s="1" t="s">
        <v>33</v>
      </c>
      <c r="F212" s="1" t="s">
        <v>193</v>
      </c>
      <c r="G212" s="1" t="s">
        <v>684</v>
      </c>
      <c r="H212" s="2">
        <v>45596</v>
      </c>
      <c r="I212" s="1" t="s">
        <v>33</v>
      </c>
      <c r="J212" s="1" t="s">
        <v>152</v>
      </c>
      <c r="K212" s="1" t="s">
        <v>128</v>
      </c>
      <c r="L212" s="1" t="s">
        <v>33</v>
      </c>
      <c r="M212" s="1" t="s">
        <v>45</v>
      </c>
      <c r="N212">
        <v>201237.6</v>
      </c>
      <c r="O212">
        <v>30367.200000000001</v>
      </c>
      <c r="P212">
        <v>21453.05</v>
      </c>
      <c r="Q212">
        <v>7</v>
      </c>
      <c r="R212">
        <v>143</v>
      </c>
      <c r="S212">
        <v>3.5</v>
      </c>
      <c r="T212" s="1" t="s">
        <v>46</v>
      </c>
      <c r="U212" s="1" t="s">
        <v>33</v>
      </c>
      <c r="V212" s="1" t="s">
        <v>47</v>
      </c>
      <c r="W212" s="1" t="s">
        <v>59</v>
      </c>
    </row>
    <row r="213" spans="1:23" x14ac:dyDescent="0.35">
      <c r="A213" s="1" t="s">
        <v>685</v>
      </c>
      <c r="B213" s="1" t="s">
        <v>608</v>
      </c>
      <c r="C213">
        <v>23</v>
      </c>
      <c r="D213" s="1" t="s">
        <v>78</v>
      </c>
      <c r="E213" s="1" t="s">
        <v>157</v>
      </c>
      <c r="F213" s="1" t="s">
        <v>227</v>
      </c>
      <c r="G213" s="1" t="s">
        <v>686</v>
      </c>
      <c r="H213" s="2">
        <v>45899</v>
      </c>
      <c r="I213" s="1" t="s">
        <v>53</v>
      </c>
      <c r="J213" s="1" t="s">
        <v>115</v>
      </c>
      <c r="K213" s="1" t="s">
        <v>116</v>
      </c>
      <c r="L213" s="1" t="s">
        <v>66</v>
      </c>
      <c r="M213" s="1" t="s">
        <v>123</v>
      </c>
      <c r="N213">
        <v>158755.84</v>
      </c>
      <c r="O213">
        <v>48059.53</v>
      </c>
      <c r="P213">
        <v>33815.01</v>
      </c>
      <c r="Q213">
        <v>4</v>
      </c>
      <c r="R213">
        <v>224</v>
      </c>
      <c r="S213">
        <v>3.2</v>
      </c>
      <c r="T213" s="1" t="s">
        <v>33</v>
      </c>
      <c r="U213" s="1" t="s">
        <v>95</v>
      </c>
      <c r="V213" s="1" t="s">
        <v>130</v>
      </c>
      <c r="W213" s="1" t="s">
        <v>131</v>
      </c>
    </row>
    <row r="214" spans="1:23" x14ac:dyDescent="0.35">
      <c r="A214" s="1" t="s">
        <v>687</v>
      </c>
      <c r="B214" s="1" t="s">
        <v>688</v>
      </c>
      <c r="C214">
        <v>63</v>
      </c>
      <c r="D214" s="1" t="s">
        <v>78</v>
      </c>
      <c r="E214" s="1" t="s">
        <v>112</v>
      </c>
      <c r="F214" s="1" t="s">
        <v>27</v>
      </c>
      <c r="G214" s="1" t="s">
        <v>436</v>
      </c>
      <c r="H214" s="2">
        <v>45780</v>
      </c>
      <c r="I214" s="1" t="s">
        <v>273</v>
      </c>
      <c r="J214" s="1" t="s">
        <v>242</v>
      </c>
      <c r="K214" s="1" t="s">
        <v>128</v>
      </c>
      <c r="L214" s="1" t="s">
        <v>33</v>
      </c>
      <c r="M214" s="1" t="s">
        <v>57</v>
      </c>
      <c r="N214">
        <v>21428.799999999999</v>
      </c>
      <c r="O214">
        <v>0</v>
      </c>
      <c r="P214">
        <v>0</v>
      </c>
      <c r="Q214">
        <v>3</v>
      </c>
      <c r="R214">
        <v>189</v>
      </c>
      <c r="S214">
        <v>3</v>
      </c>
      <c r="T214" s="1" t="s">
        <v>34</v>
      </c>
      <c r="U214" s="1" t="s">
        <v>58</v>
      </c>
      <c r="V214" s="1" t="s">
        <v>102</v>
      </c>
      <c r="W214" s="1" t="s">
        <v>179</v>
      </c>
    </row>
    <row r="215" spans="1:23" x14ac:dyDescent="0.35">
      <c r="A215" s="1" t="s">
        <v>689</v>
      </c>
      <c r="B215" s="1" t="s">
        <v>161</v>
      </c>
      <c r="C215">
        <v>30</v>
      </c>
      <c r="D215" s="1" t="s">
        <v>71</v>
      </c>
      <c r="E215" s="1" t="s">
        <v>263</v>
      </c>
      <c r="F215" s="1" t="s">
        <v>33</v>
      </c>
      <c r="G215" s="1" t="s">
        <v>690</v>
      </c>
      <c r="H215" s="2">
        <v>45933</v>
      </c>
      <c r="I215" s="1" t="s">
        <v>33</v>
      </c>
      <c r="J215" s="1" t="s">
        <v>30</v>
      </c>
      <c r="K215" s="1" t="s">
        <v>122</v>
      </c>
      <c r="L215" s="1" t="s">
        <v>33</v>
      </c>
      <c r="M215" s="1" t="s">
        <v>129</v>
      </c>
      <c r="N215">
        <v>245837.18</v>
      </c>
      <c r="O215">
        <v>68552.75</v>
      </c>
      <c r="P215">
        <v>105182.79</v>
      </c>
      <c r="Q215">
        <v>18</v>
      </c>
      <c r="R215">
        <v>249</v>
      </c>
      <c r="S215">
        <v>5</v>
      </c>
      <c r="T215" s="1" t="s">
        <v>154</v>
      </c>
      <c r="U215" s="1" t="s">
        <v>149</v>
      </c>
      <c r="V215" s="1" t="s">
        <v>130</v>
      </c>
      <c r="W215" s="1" t="s">
        <v>33</v>
      </c>
    </row>
    <row r="216" spans="1:23" x14ac:dyDescent="0.35">
      <c r="A216" s="1" t="s">
        <v>691</v>
      </c>
      <c r="B216" s="1" t="s">
        <v>692</v>
      </c>
      <c r="C216">
        <v>56</v>
      </c>
      <c r="D216" s="1" t="s">
        <v>25</v>
      </c>
      <c r="E216" s="1" t="s">
        <v>33</v>
      </c>
      <c r="F216" s="1" t="s">
        <v>135</v>
      </c>
      <c r="G216" s="1" t="s">
        <v>693</v>
      </c>
      <c r="H216" s="2">
        <v>46226</v>
      </c>
      <c r="I216" s="1" t="s">
        <v>221</v>
      </c>
      <c r="J216" s="1" t="s">
        <v>43</v>
      </c>
      <c r="K216" s="1" t="s">
        <v>174</v>
      </c>
      <c r="L216" s="1" t="s">
        <v>44</v>
      </c>
      <c r="M216" s="1" t="s">
        <v>33</v>
      </c>
      <c r="O216">
        <v>16220.36</v>
      </c>
      <c r="P216">
        <v>20454.03</v>
      </c>
      <c r="Q216">
        <v>6</v>
      </c>
      <c r="R216">
        <v>94</v>
      </c>
      <c r="T216" s="1" t="s">
        <v>154</v>
      </c>
      <c r="U216" s="1" t="s">
        <v>35</v>
      </c>
      <c r="V216" s="1" t="s">
        <v>164</v>
      </c>
      <c r="W216" s="1" t="s">
        <v>59</v>
      </c>
    </row>
    <row r="217" spans="1:23" x14ac:dyDescent="0.35">
      <c r="A217" s="1" t="s">
        <v>694</v>
      </c>
      <c r="B217" s="1" t="s">
        <v>695</v>
      </c>
      <c r="C217">
        <v>58</v>
      </c>
      <c r="D217" s="1" t="s">
        <v>106</v>
      </c>
      <c r="E217" s="1" t="s">
        <v>72</v>
      </c>
      <c r="F217" s="1" t="s">
        <v>87</v>
      </c>
      <c r="G217" s="1" t="s">
        <v>684</v>
      </c>
      <c r="H217" s="2">
        <v>45591</v>
      </c>
      <c r="I217" s="1" t="s">
        <v>127</v>
      </c>
      <c r="J217" s="1" t="s">
        <v>87</v>
      </c>
      <c r="K217" s="1" t="s">
        <v>33</v>
      </c>
      <c r="L217" s="1" t="s">
        <v>33</v>
      </c>
      <c r="M217" s="1" t="s">
        <v>169</v>
      </c>
      <c r="N217">
        <v>353742.73</v>
      </c>
      <c r="O217">
        <v>32210.17</v>
      </c>
      <c r="P217">
        <v>89325.9</v>
      </c>
      <c r="Q217">
        <v>2</v>
      </c>
      <c r="R217">
        <v>9</v>
      </c>
      <c r="S217">
        <v>3.4</v>
      </c>
      <c r="T217" s="1" t="s">
        <v>94</v>
      </c>
      <c r="U217" s="1" t="s">
        <v>149</v>
      </c>
      <c r="V217" s="1" t="s">
        <v>102</v>
      </c>
      <c r="W217" s="1" t="s">
        <v>103</v>
      </c>
    </row>
    <row r="218" spans="1:23" x14ac:dyDescent="0.35">
      <c r="A218" s="1" t="s">
        <v>696</v>
      </c>
      <c r="B218" s="1" t="s">
        <v>697</v>
      </c>
      <c r="C218">
        <v>1</v>
      </c>
      <c r="D218" s="1" t="s">
        <v>39</v>
      </c>
      <c r="E218" s="1" t="s">
        <v>62</v>
      </c>
      <c r="F218" s="1" t="s">
        <v>41</v>
      </c>
      <c r="G218" s="1" t="s">
        <v>698</v>
      </c>
      <c r="H218" s="2">
        <v>45409</v>
      </c>
      <c r="I218" s="1" t="s">
        <v>29</v>
      </c>
      <c r="J218" s="1" t="s">
        <v>33</v>
      </c>
      <c r="K218" s="1" t="s">
        <v>128</v>
      </c>
      <c r="L218" s="1" t="s">
        <v>33</v>
      </c>
      <c r="M218" s="1" t="s">
        <v>142</v>
      </c>
      <c r="N218">
        <v>208424.7</v>
      </c>
      <c r="O218">
        <v>26956.31</v>
      </c>
      <c r="P218">
        <v>90403.49</v>
      </c>
      <c r="Q218">
        <v>1</v>
      </c>
      <c r="R218">
        <v>142</v>
      </c>
      <c r="S218">
        <v>2.4</v>
      </c>
      <c r="T218" s="1" t="s">
        <v>46</v>
      </c>
      <c r="U218" s="1" t="s">
        <v>33</v>
      </c>
      <c r="V218" s="1" t="s">
        <v>102</v>
      </c>
      <c r="W218" s="1" t="s">
        <v>131</v>
      </c>
    </row>
    <row r="219" spans="1:23" x14ac:dyDescent="0.35">
      <c r="A219" s="1" t="s">
        <v>699</v>
      </c>
      <c r="B219" s="1" t="s">
        <v>252</v>
      </c>
      <c r="C219">
        <v>69</v>
      </c>
      <c r="D219" s="1" t="s">
        <v>33</v>
      </c>
      <c r="E219" s="1" t="s">
        <v>192</v>
      </c>
      <c r="F219" s="1" t="s">
        <v>193</v>
      </c>
      <c r="G219" s="1" t="s">
        <v>342</v>
      </c>
      <c r="H219" s="2">
        <v>45997</v>
      </c>
      <c r="I219" s="1" t="s">
        <v>89</v>
      </c>
      <c r="J219" s="1" t="s">
        <v>43</v>
      </c>
      <c r="K219" s="1" t="s">
        <v>122</v>
      </c>
      <c r="L219" s="1" t="s">
        <v>92</v>
      </c>
      <c r="M219" s="1" t="s">
        <v>169</v>
      </c>
      <c r="N219">
        <v>301493.68</v>
      </c>
      <c r="O219">
        <v>24337.9</v>
      </c>
      <c r="P219">
        <v>16216.82</v>
      </c>
      <c r="Q219">
        <v>11</v>
      </c>
      <c r="R219">
        <v>67</v>
      </c>
      <c r="S219">
        <v>5</v>
      </c>
      <c r="T219" s="1" t="s">
        <v>34</v>
      </c>
      <c r="U219" s="1" t="s">
        <v>149</v>
      </c>
      <c r="V219" s="1" t="s">
        <v>33</v>
      </c>
      <c r="W219" s="1" t="s">
        <v>33</v>
      </c>
    </row>
    <row r="220" spans="1:23" x14ac:dyDescent="0.35">
      <c r="A220" s="1" t="s">
        <v>700</v>
      </c>
      <c r="B220" s="1" t="s">
        <v>701</v>
      </c>
      <c r="C220">
        <v>76</v>
      </c>
      <c r="D220" s="1" t="s">
        <v>71</v>
      </c>
      <c r="E220" s="1" t="s">
        <v>72</v>
      </c>
      <c r="F220" s="1" t="s">
        <v>145</v>
      </c>
      <c r="G220" s="1" t="s">
        <v>342</v>
      </c>
      <c r="H220" s="2">
        <v>45997</v>
      </c>
      <c r="I220" s="1" t="s">
        <v>33</v>
      </c>
      <c r="J220" s="1" t="s">
        <v>80</v>
      </c>
      <c r="K220" s="1" t="s">
        <v>208</v>
      </c>
      <c r="L220" s="1" t="s">
        <v>92</v>
      </c>
      <c r="M220" s="1" t="s">
        <v>57</v>
      </c>
      <c r="N220">
        <v>151561.07999999999</v>
      </c>
      <c r="O220">
        <v>2009.56</v>
      </c>
      <c r="P220">
        <v>49226.59</v>
      </c>
      <c r="Q220">
        <v>11</v>
      </c>
      <c r="R220">
        <v>0</v>
      </c>
      <c r="S220">
        <v>4.0999999999999996</v>
      </c>
      <c r="T220" s="1" t="s">
        <v>33</v>
      </c>
      <c r="U220" s="1" t="s">
        <v>101</v>
      </c>
      <c r="V220" s="1" t="s">
        <v>33</v>
      </c>
      <c r="W220" s="1" t="s">
        <v>103</v>
      </c>
    </row>
    <row r="221" spans="1:23" x14ac:dyDescent="0.35">
      <c r="A221" s="1" t="s">
        <v>702</v>
      </c>
      <c r="B221" s="1" t="s">
        <v>703</v>
      </c>
      <c r="C221">
        <v>32</v>
      </c>
      <c r="D221" s="1" t="s">
        <v>78</v>
      </c>
      <c r="E221" s="1" t="s">
        <v>33</v>
      </c>
      <c r="F221" s="1" t="s">
        <v>33</v>
      </c>
      <c r="G221" s="1" t="s">
        <v>216</v>
      </c>
      <c r="H221" s="2">
        <v>45952</v>
      </c>
      <c r="I221" s="1" t="s">
        <v>33</v>
      </c>
      <c r="J221" s="1" t="s">
        <v>33</v>
      </c>
      <c r="K221" s="1" t="s">
        <v>91</v>
      </c>
      <c r="L221" s="1" t="s">
        <v>33</v>
      </c>
      <c r="M221" s="1" t="s">
        <v>45</v>
      </c>
      <c r="N221">
        <v>0</v>
      </c>
      <c r="O221">
        <v>42840</v>
      </c>
      <c r="P221">
        <v>29018.97</v>
      </c>
      <c r="Q221">
        <v>2</v>
      </c>
      <c r="R221">
        <v>7</v>
      </c>
      <c r="S221">
        <v>0</v>
      </c>
      <c r="T221" s="1" t="s">
        <v>94</v>
      </c>
      <c r="U221" s="1" t="s">
        <v>33</v>
      </c>
      <c r="V221" s="1" t="s">
        <v>47</v>
      </c>
      <c r="W221" s="1" t="s">
        <v>59</v>
      </c>
    </row>
    <row r="222" spans="1:23" x14ac:dyDescent="0.35">
      <c r="A222" s="1" t="s">
        <v>704</v>
      </c>
      <c r="B222" s="1" t="s">
        <v>543</v>
      </c>
      <c r="C222">
        <v>81</v>
      </c>
      <c r="D222" s="1" t="s">
        <v>33</v>
      </c>
      <c r="E222" s="1" t="s">
        <v>203</v>
      </c>
      <c r="F222" s="1" t="s">
        <v>98</v>
      </c>
      <c r="G222" s="1" t="s">
        <v>705</v>
      </c>
      <c r="H222" s="2">
        <v>45375</v>
      </c>
      <c r="I222" s="1" t="s">
        <v>53</v>
      </c>
      <c r="J222" s="1" t="s">
        <v>87</v>
      </c>
      <c r="K222" s="1" t="s">
        <v>33</v>
      </c>
      <c r="L222" s="1" t="s">
        <v>56</v>
      </c>
      <c r="M222" s="1" t="s">
        <v>142</v>
      </c>
      <c r="N222">
        <v>452576.29</v>
      </c>
      <c r="O222">
        <v>18572.59</v>
      </c>
      <c r="P222">
        <v>26933.64</v>
      </c>
      <c r="Q222">
        <v>3</v>
      </c>
      <c r="R222">
        <v>130</v>
      </c>
      <c r="S222">
        <v>2.4</v>
      </c>
      <c r="T222" s="1" t="s">
        <v>34</v>
      </c>
      <c r="U222" s="1" t="s">
        <v>35</v>
      </c>
      <c r="V222" s="1" t="s">
        <v>33</v>
      </c>
      <c r="W222" s="1" t="s">
        <v>36</v>
      </c>
    </row>
    <row r="223" spans="1:23" x14ac:dyDescent="0.35">
      <c r="A223" s="1" t="s">
        <v>706</v>
      </c>
      <c r="B223" s="1" t="s">
        <v>97</v>
      </c>
      <c r="C223">
        <v>59</v>
      </c>
      <c r="D223" s="1" t="s">
        <v>50</v>
      </c>
      <c r="E223" s="1" t="s">
        <v>33</v>
      </c>
      <c r="F223" s="1" t="s">
        <v>145</v>
      </c>
      <c r="G223" s="1" t="s">
        <v>707</v>
      </c>
      <c r="H223" s="2">
        <v>45928</v>
      </c>
      <c r="I223" s="1" t="s">
        <v>159</v>
      </c>
      <c r="J223" s="1" t="s">
        <v>65</v>
      </c>
      <c r="K223" s="1" t="s">
        <v>116</v>
      </c>
      <c r="L223" s="1" t="s">
        <v>56</v>
      </c>
      <c r="M223" s="1" t="s">
        <v>74</v>
      </c>
      <c r="N223">
        <v>391770.65</v>
      </c>
      <c r="O223">
        <v>27496.15</v>
      </c>
      <c r="P223">
        <v>38889.79</v>
      </c>
      <c r="Q223">
        <v>3</v>
      </c>
      <c r="R223">
        <v>29</v>
      </c>
      <c r="S223">
        <v>2.6</v>
      </c>
      <c r="T223" s="1" t="s">
        <v>94</v>
      </c>
      <c r="U223" s="1" t="s">
        <v>95</v>
      </c>
      <c r="V223" s="1" t="s">
        <v>68</v>
      </c>
      <c r="W223" s="1" t="s">
        <v>33</v>
      </c>
    </row>
    <row r="224" spans="1:23" x14ac:dyDescent="0.35">
      <c r="A224" s="1" t="s">
        <v>708</v>
      </c>
      <c r="B224" s="1" t="s">
        <v>709</v>
      </c>
      <c r="C224">
        <v>51</v>
      </c>
      <c r="D224" s="1" t="s">
        <v>25</v>
      </c>
      <c r="E224" s="1" t="s">
        <v>40</v>
      </c>
      <c r="F224" s="1" t="s">
        <v>44</v>
      </c>
      <c r="G224" s="1" t="s">
        <v>698</v>
      </c>
      <c r="H224" s="2">
        <v>45410</v>
      </c>
      <c r="I224" s="1" t="s">
        <v>235</v>
      </c>
      <c r="J224" s="1" t="s">
        <v>152</v>
      </c>
      <c r="K224" s="1" t="s">
        <v>33</v>
      </c>
      <c r="L224" s="1" t="s">
        <v>33</v>
      </c>
      <c r="M224" s="1" t="s">
        <v>93</v>
      </c>
      <c r="N224">
        <v>347901.85</v>
      </c>
      <c r="O224">
        <v>9920.5300000000007</v>
      </c>
      <c r="P224">
        <v>89780.66</v>
      </c>
      <c r="Q224">
        <v>2</v>
      </c>
      <c r="R224">
        <v>74</v>
      </c>
      <c r="S224">
        <v>3.7</v>
      </c>
      <c r="T224" s="1" t="s">
        <v>46</v>
      </c>
      <c r="U224" s="1" t="s">
        <v>67</v>
      </c>
      <c r="V224" s="1" t="s">
        <v>75</v>
      </c>
      <c r="W224" s="1" t="s">
        <v>36</v>
      </c>
    </row>
    <row r="225" spans="1:23" x14ac:dyDescent="0.35">
      <c r="A225" s="1" t="s">
        <v>710</v>
      </c>
      <c r="B225" s="1" t="s">
        <v>577</v>
      </c>
      <c r="C225">
        <v>0</v>
      </c>
      <c r="D225" s="1" t="s">
        <v>71</v>
      </c>
      <c r="E225" s="1" t="s">
        <v>157</v>
      </c>
      <c r="F225" s="1" t="s">
        <v>33</v>
      </c>
      <c r="G225" s="1" t="s">
        <v>711</v>
      </c>
      <c r="H225" s="2">
        <v>45493</v>
      </c>
      <c r="I225" s="1" t="s">
        <v>89</v>
      </c>
      <c r="J225" s="1" t="s">
        <v>30</v>
      </c>
      <c r="K225" s="1" t="s">
        <v>91</v>
      </c>
      <c r="L225" s="1" t="s">
        <v>33</v>
      </c>
      <c r="M225" s="1" t="s">
        <v>183</v>
      </c>
      <c r="N225">
        <v>343766.36</v>
      </c>
      <c r="O225">
        <v>48421.1</v>
      </c>
      <c r="P225">
        <v>36560.17</v>
      </c>
      <c r="Q225">
        <v>1</v>
      </c>
      <c r="R225">
        <v>100</v>
      </c>
      <c r="S225">
        <v>4.4000000000000004</v>
      </c>
      <c r="T225" s="1" t="s">
        <v>34</v>
      </c>
      <c r="U225" s="1" t="s">
        <v>67</v>
      </c>
      <c r="V225" s="1" t="s">
        <v>75</v>
      </c>
      <c r="W225" s="1" t="s">
        <v>179</v>
      </c>
    </row>
    <row r="226" spans="1:23" x14ac:dyDescent="0.35">
      <c r="A226" s="1" t="s">
        <v>712</v>
      </c>
      <c r="B226" s="1" t="s">
        <v>713</v>
      </c>
      <c r="C226">
        <v>31</v>
      </c>
      <c r="D226" s="1" t="s">
        <v>33</v>
      </c>
      <c r="E226" s="1" t="s">
        <v>26</v>
      </c>
      <c r="F226" s="1" t="s">
        <v>145</v>
      </c>
      <c r="G226" s="1" t="s">
        <v>714</v>
      </c>
      <c r="H226" s="2">
        <v>45430</v>
      </c>
      <c r="I226" s="1" t="s">
        <v>53</v>
      </c>
      <c r="J226" s="1" t="s">
        <v>54</v>
      </c>
      <c r="K226" s="1" t="s">
        <v>128</v>
      </c>
      <c r="L226" s="1" t="s">
        <v>33</v>
      </c>
      <c r="M226" s="1" t="s">
        <v>82</v>
      </c>
      <c r="N226">
        <v>331197.06</v>
      </c>
      <c r="O226">
        <v>0</v>
      </c>
      <c r="P226">
        <v>53806.74</v>
      </c>
      <c r="Q226">
        <v>1</v>
      </c>
      <c r="R226">
        <v>0</v>
      </c>
      <c r="S226">
        <v>4.3</v>
      </c>
      <c r="T226" s="1" t="s">
        <v>34</v>
      </c>
      <c r="U226" s="1" t="s">
        <v>149</v>
      </c>
      <c r="V226" s="1" t="s">
        <v>102</v>
      </c>
      <c r="W226" s="1" t="s">
        <v>83</v>
      </c>
    </row>
    <row r="227" spans="1:23" x14ac:dyDescent="0.35">
      <c r="A227" s="1" t="s">
        <v>715</v>
      </c>
      <c r="B227" s="1" t="s">
        <v>716</v>
      </c>
      <c r="C227">
        <v>7</v>
      </c>
      <c r="D227" s="1" t="s">
        <v>71</v>
      </c>
      <c r="E227" s="1" t="s">
        <v>263</v>
      </c>
      <c r="F227" s="1" t="s">
        <v>87</v>
      </c>
      <c r="G227" s="1" t="s">
        <v>690</v>
      </c>
      <c r="H227" s="2">
        <v>45918</v>
      </c>
      <c r="I227" s="1" t="s">
        <v>235</v>
      </c>
      <c r="J227" s="1" t="s">
        <v>242</v>
      </c>
      <c r="K227" s="1" t="s">
        <v>91</v>
      </c>
      <c r="L227" s="1" t="s">
        <v>33</v>
      </c>
      <c r="M227" s="1" t="s">
        <v>45</v>
      </c>
      <c r="N227">
        <v>383063.51</v>
      </c>
      <c r="O227">
        <v>11635.21</v>
      </c>
      <c r="P227">
        <v>20692.43</v>
      </c>
      <c r="Q227">
        <v>3</v>
      </c>
      <c r="R227">
        <v>110</v>
      </c>
      <c r="S227">
        <v>5</v>
      </c>
      <c r="T227" s="1" t="s">
        <v>94</v>
      </c>
      <c r="U227" s="1" t="s">
        <v>33</v>
      </c>
      <c r="V227" s="1" t="s">
        <v>164</v>
      </c>
      <c r="W227" s="1" t="s">
        <v>33</v>
      </c>
    </row>
    <row r="228" spans="1:23" x14ac:dyDescent="0.35">
      <c r="A228" s="1" t="s">
        <v>717</v>
      </c>
      <c r="B228" s="1" t="s">
        <v>499</v>
      </c>
      <c r="C228">
        <v>44</v>
      </c>
      <c r="D228" s="1" t="s">
        <v>78</v>
      </c>
      <c r="E228" s="1" t="s">
        <v>192</v>
      </c>
      <c r="F228" s="1" t="s">
        <v>145</v>
      </c>
      <c r="G228" s="1" t="s">
        <v>718</v>
      </c>
      <c r="H228" s="2">
        <v>46236</v>
      </c>
      <c r="I228" s="1" t="s">
        <v>235</v>
      </c>
      <c r="J228" s="1" t="s">
        <v>80</v>
      </c>
      <c r="K228" s="1" t="s">
        <v>55</v>
      </c>
      <c r="L228" s="1" t="s">
        <v>33</v>
      </c>
      <c r="M228" s="1" t="s">
        <v>74</v>
      </c>
      <c r="N228">
        <v>280034.31</v>
      </c>
      <c r="O228">
        <v>47327.64</v>
      </c>
      <c r="P228">
        <v>50293.25</v>
      </c>
      <c r="Q228">
        <v>1</v>
      </c>
      <c r="R228">
        <v>67</v>
      </c>
      <c r="S228">
        <v>2.6</v>
      </c>
      <c r="T228" s="1" t="s">
        <v>94</v>
      </c>
      <c r="U228" s="1" t="s">
        <v>33</v>
      </c>
      <c r="V228" s="1" t="s">
        <v>33</v>
      </c>
      <c r="W228" s="1" t="s">
        <v>33</v>
      </c>
    </row>
    <row r="229" spans="1:23" x14ac:dyDescent="0.35">
      <c r="A229" s="1" t="s">
        <v>719</v>
      </c>
      <c r="B229" s="1" t="s">
        <v>389</v>
      </c>
      <c r="C229">
        <v>19</v>
      </c>
      <c r="D229" s="1" t="s">
        <v>71</v>
      </c>
      <c r="E229" s="1" t="s">
        <v>263</v>
      </c>
      <c r="F229" s="1" t="s">
        <v>98</v>
      </c>
      <c r="G229" s="1" t="s">
        <v>622</v>
      </c>
      <c r="H229" s="2">
        <v>45352</v>
      </c>
      <c r="I229" s="1" t="s">
        <v>100</v>
      </c>
      <c r="J229" s="1" t="s">
        <v>242</v>
      </c>
      <c r="K229" s="1" t="s">
        <v>116</v>
      </c>
      <c r="L229" s="1" t="s">
        <v>66</v>
      </c>
      <c r="M229" s="1" t="s">
        <v>45</v>
      </c>
      <c r="N229">
        <v>0</v>
      </c>
      <c r="O229">
        <v>40914</v>
      </c>
      <c r="P229">
        <v>72118.05</v>
      </c>
      <c r="Q229">
        <v>3</v>
      </c>
      <c r="R229">
        <v>0</v>
      </c>
      <c r="S229">
        <v>2.4</v>
      </c>
      <c r="T229" s="1" t="s">
        <v>33</v>
      </c>
      <c r="U229" s="1" t="s">
        <v>95</v>
      </c>
      <c r="V229" s="1" t="s">
        <v>164</v>
      </c>
      <c r="W229" s="1" t="s">
        <v>59</v>
      </c>
    </row>
    <row r="230" spans="1:23" x14ac:dyDescent="0.35">
      <c r="A230" s="1" t="s">
        <v>720</v>
      </c>
      <c r="B230" s="1" t="s">
        <v>721</v>
      </c>
      <c r="C230">
        <v>88</v>
      </c>
      <c r="D230" s="1" t="s">
        <v>71</v>
      </c>
      <c r="E230" s="1" t="s">
        <v>62</v>
      </c>
      <c r="F230" s="1" t="s">
        <v>108</v>
      </c>
      <c r="G230" s="1" t="s">
        <v>140</v>
      </c>
      <c r="H230" s="2">
        <v>46181</v>
      </c>
      <c r="I230" s="1" t="s">
        <v>33</v>
      </c>
      <c r="J230" s="1" t="s">
        <v>43</v>
      </c>
      <c r="K230" s="1" t="s">
        <v>33</v>
      </c>
      <c r="L230" s="1" t="s">
        <v>33</v>
      </c>
      <c r="M230" s="1" t="s">
        <v>33</v>
      </c>
      <c r="N230">
        <v>222911.12</v>
      </c>
      <c r="O230">
        <v>11799.93</v>
      </c>
      <c r="P230">
        <v>39513.11</v>
      </c>
      <c r="Q230">
        <v>4</v>
      </c>
      <c r="R230">
        <v>198</v>
      </c>
      <c r="S230">
        <v>2.9</v>
      </c>
      <c r="T230" s="1" t="s">
        <v>154</v>
      </c>
      <c r="U230" s="1" t="s">
        <v>95</v>
      </c>
      <c r="V230" s="1" t="s">
        <v>33</v>
      </c>
      <c r="W230" s="1" t="s">
        <v>179</v>
      </c>
    </row>
    <row r="231" spans="1:23" x14ac:dyDescent="0.35">
      <c r="A231" s="1" t="s">
        <v>722</v>
      </c>
      <c r="B231" s="1" t="s">
        <v>723</v>
      </c>
      <c r="C231">
        <v>32</v>
      </c>
      <c r="D231" s="1" t="s">
        <v>33</v>
      </c>
      <c r="E231" s="1" t="s">
        <v>40</v>
      </c>
      <c r="F231" s="1" t="s">
        <v>56</v>
      </c>
      <c r="G231" s="1" t="s">
        <v>724</v>
      </c>
      <c r="H231" s="2">
        <v>46174</v>
      </c>
      <c r="I231" s="1" t="s">
        <v>173</v>
      </c>
      <c r="J231" s="1" t="s">
        <v>43</v>
      </c>
      <c r="K231" s="1" t="s">
        <v>81</v>
      </c>
      <c r="L231" s="1" t="s">
        <v>92</v>
      </c>
      <c r="M231" s="1" t="s">
        <v>33</v>
      </c>
      <c r="N231">
        <v>86533.99</v>
      </c>
      <c r="O231">
        <v>33066.76</v>
      </c>
      <c r="P231">
        <v>93740.35</v>
      </c>
      <c r="Q231">
        <v>1</v>
      </c>
      <c r="R231">
        <v>119</v>
      </c>
      <c r="S231">
        <v>3.4</v>
      </c>
      <c r="T231" s="1" t="s">
        <v>154</v>
      </c>
      <c r="U231" s="1" t="s">
        <v>101</v>
      </c>
      <c r="V231" s="1" t="s">
        <v>68</v>
      </c>
      <c r="W231" s="1" t="s">
        <v>12</v>
      </c>
    </row>
    <row r="232" spans="1:23" x14ac:dyDescent="0.35">
      <c r="A232" s="1" t="s">
        <v>725</v>
      </c>
      <c r="B232" s="1" t="s">
        <v>726</v>
      </c>
      <c r="C232">
        <v>8</v>
      </c>
      <c r="D232" s="1" t="s">
        <v>39</v>
      </c>
      <c r="E232" s="1" t="s">
        <v>263</v>
      </c>
      <c r="F232" s="1" t="s">
        <v>145</v>
      </c>
      <c r="G232" s="1" t="s">
        <v>727</v>
      </c>
      <c r="H232" s="2">
        <v>45335</v>
      </c>
      <c r="I232" s="1" t="s">
        <v>29</v>
      </c>
      <c r="J232" s="1" t="s">
        <v>147</v>
      </c>
      <c r="K232" s="1" t="s">
        <v>163</v>
      </c>
      <c r="L232" s="1" t="s">
        <v>92</v>
      </c>
      <c r="M232" s="1" t="s">
        <v>93</v>
      </c>
      <c r="N232">
        <v>343635.37</v>
      </c>
      <c r="O232">
        <v>28054.07</v>
      </c>
      <c r="P232">
        <v>39585.599999999999</v>
      </c>
      <c r="Q232">
        <v>2</v>
      </c>
      <c r="R232">
        <v>334</v>
      </c>
      <c r="S232">
        <v>4.0999999999999996</v>
      </c>
      <c r="T232" s="1" t="s">
        <v>34</v>
      </c>
      <c r="U232" s="1" t="s">
        <v>67</v>
      </c>
      <c r="V232" s="1" t="s">
        <v>33</v>
      </c>
      <c r="W232" s="1" t="s">
        <v>83</v>
      </c>
    </row>
    <row r="233" spans="1:23" x14ac:dyDescent="0.35">
      <c r="A233" s="1" t="s">
        <v>728</v>
      </c>
      <c r="B233" s="1" t="s">
        <v>729</v>
      </c>
      <c r="C233">
        <v>33</v>
      </c>
      <c r="D233" s="1" t="s">
        <v>50</v>
      </c>
      <c r="E233" s="1" t="s">
        <v>33</v>
      </c>
      <c r="F233" s="1" t="s">
        <v>98</v>
      </c>
      <c r="G233" s="1" t="s">
        <v>730</v>
      </c>
      <c r="H233" s="2">
        <v>45970</v>
      </c>
      <c r="I233" s="1" t="s">
        <v>173</v>
      </c>
      <c r="J233" s="1" t="s">
        <v>87</v>
      </c>
      <c r="K233" s="1" t="s">
        <v>33</v>
      </c>
      <c r="L233" s="1" t="s">
        <v>33</v>
      </c>
      <c r="M233" s="1" t="s">
        <v>74</v>
      </c>
      <c r="N233">
        <v>380782.4</v>
      </c>
      <c r="O233">
        <v>32831.760000000002</v>
      </c>
      <c r="P233">
        <v>1851.66</v>
      </c>
      <c r="Q233">
        <v>1</v>
      </c>
      <c r="R233">
        <v>163</v>
      </c>
      <c r="S233">
        <v>2.8</v>
      </c>
      <c r="T233" s="1" t="s">
        <v>34</v>
      </c>
      <c r="U233" s="1" t="s">
        <v>101</v>
      </c>
      <c r="V233" s="1" t="s">
        <v>102</v>
      </c>
      <c r="W233" s="1" t="s">
        <v>33</v>
      </c>
    </row>
    <row r="234" spans="1:23" x14ac:dyDescent="0.35">
      <c r="A234" s="1" t="s">
        <v>731</v>
      </c>
      <c r="B234" s="1" t="s">
        <v>669</v>
      </c>
      <c r="C234">
        <v>66</v>
      </c>
      <c r="D234" s="1" t="s">
        <v>106</v>
      </c>
      <c r="E234" s="1" t="s">
        <v>72</v>
      </c>
      <c r="F234" s="1" t="s">
        <v>227</v>
      </c>
      <c r="G234" s="1" t="s">
        <v>732</v>
      </c>
      <c r="H234" s="2">
        <v>45521</v>
      </c>
      <c r="I234" s="1" t="s">
        <v>114</v>
      </c>
      <c r="J234" s="1" t="s">
        <v>30</v>
      </c>
      <c r="K234" s="1" t="s">
        <v>33</v>
      </c>
      <c r="L234" s="1" t="s">
        <v>92</v>
      </c>
      <c r="M234" s="1" t="s">
        <v>123</v>
      </c>
      <c r="N234">
        <v>157374.93</v>
      </c>
      <c r="O234">
        <v>62025.41</v>
      </c>
      <c r="P234">
        <v>47035.67</v>
      </c>
      <c r="Q234">
        <v>11</v>
      </c>
      <c r="R234">
        <v>158</v>
      </c>
      <c r="T234" s="1" t="s">
        <v>154</v>
      </c>
      <c r="U234" s="1" t="s">
        <v>95</v>
      </c>
      <c r="V234" s="1" t="s">
        <v>75</v>
      </c>
      <c r="W234" s="1" t="s">
        <v>103</v>
      </c>
    </row>
    <row r="235" spans="1:23" x14ac:dyDescent="0.35">
      <c r="A235" s="1" t="s">
        <v>733</v>
      </c>
      <c r="B235" s="1" t="s">
        <v>358</v>
      </c>
      <c r="C235">
        <v>28</v>
      </c>
      <c r="D235" s="1" t="s">
        <v>106</v>
      </c>
      <c r="E235" s="1" t="s">
        <v>62</v>
      </c>
      <c r="F235" s="1" t="s">
        <v>98</v>
      </c>
      <c r="G235" s="1" t="s">
        <v>734</v>
      </c>
      <c r="H235" s="2">
        <v>46199</v>
      </c>
      <c r="I235" s="1" t="s">
        <v>127</v>
      </c>
      <c r="J235" s="1" t="s">
        <v>115</v>
      </c>
      <c r="K235" s="1" t="s">
        <v>153</v>
      </c>
      <c r="L235" s="1" t="s">
        <v>92</v>
      </c>
      <c r="M235" s="1" t="s">
        <v>33</v>
      </c>
      <c r="N235">
        <v>364194.51</v>
      </c>
      <c r="O235">
        <v>21630.62</v>
      </c>
      <c r="P235">
        <v>32890.550000000003</v>
      </c>
      <c r="Q235">
        <v>1</v>
      </c>
      <c r="R235">
        <v>23</v>
      </c>
      <c r="S235">
        <v>4.3</v>
      </c>
      <c r="T235" s="1" t="s">
        <v>33</v>
      </c>
      <c r="U235" s="1" t="s">
        <v>95</v>
      </c>
      <c r="V235" s="1" t="s">
        <v>47</v>
      </c>
      <c r="W235" s="1" t="s">
        <v>33</v>
      </c>
    </row>
    <row r="236" spans="1:23" x14ac:dyDescent="0.35">
      <c r="A236" s="1" t="s">
        <v>735</v>
      </c>
      <c r="B236" s="1" t="s">
        <v>736</v>
      </c>
      <c r="C236">
        <v>19</v>
      </c>
      <c r="D236" s="1" t="s">
        <v>25</v>
      </c>
      <c r="E236" s="1" t="s">
        <v>192</v>
      </c>
      <c r="F236" s="1" t="s">
        <v>98</v>
      </c>
      <c r="G236" s="1" t="s">
        <v>737</v>
      </c>
      <c r="H236" s="2">
        <v>46275</v>
      </c>
      <c r="I236" s="1" t="s">
        <v>273</v>
      </c>
      <c r="J236" s="1" t="s">
        <v>65</v>
      </c>
      <c r="K236" s="1" t="s">
        <v>55</v>
      </c>
      <c r="L236" s="1" t="s">
        <v>32</v>
      </c>
      <c r="M236" s="1" t="s">
        <v>33</v>
      </c>
      <c r="N236">
        <v>223390.72</v>
      </c>
      <c r="O236">
        <v>65305.51</v>
      </c>
      <c r="P236">
        <v>42610.76</v>
      </c>
      <c r="Q236">
        <v>13</v>
      </c>
      <c r="R236">
        <v>128</v>
      </c>
      <c r="S236">
        <v>2.2999999999999998</v>
      </c>
      <c r="T236" s="1" t="s">
        <v>46</v>
      </c>
      <c r="U236" s="1" t="s">
        <v>101</v>
      </c>
      <c r="V236" s="1" t="s">
        <v>33</v>
      </c>
      <c r="W236" s="1" t="s">
        <v>131</v>
      </c>
    </row>
    <row r="237" spans="1:23" x14ac:dyDescent="0.35">
      <c r="A237" s="1" t="s">
        <v>738</v>
      </c>
      <c r="B237" s="1" t="s">
        <v>61</v>
      </c>
      <c r="C237">
        <v>38</v>
      </c>
      <c r="D237" s="1" t="s">
        <v>25</v>
      </c>
      <c r="E237" s="1" t="s">
        <v>177</v>
      </c>
      <c r="F237" s="1" t="s">
        <v>44</v>
      </c>
      <c r="G237" s="1" t="s">
        <v>739</v>
      </c>
      <c r="H237" s="2">
        <v>46258</v>
      </c>
      <c r="I237" s="1" t="s">
        <v>53</v>
      </c>
      <c r="J237" s="1" t="s">
        <v>80</v>
      </c>
      <c r="K237" s="1" t="s">
        <v>122</v>
      </c>
      <c r="L237" s="1" t="s">
        <v>44</v>
      </c>
      <c r="M237" s="1" t="s">
        <v>57</v>
      </c>
      <c r="N237">
        <v>358002.2</v>
      </c>
      <c r="O237">
        <v>59684.65</v>
      </c>
      <c r="P237">
        <v>122686.91</v>
      </c>
      <c r="Q237">
        <v>4</v>
      </c>
      <c r="R237">
        <v>138</v>
      </c>
      <c r="S237">
        <v>4.0999999999999996</v>
      </c>
      <c r="T237" s="1" t="s">
        <v>33</v>
      </c>
      <c r="U237" s="1" t="s">
        <v>95</v>
      </c>
      <c r="V237" s="1" t="s">
        <v>102</v>
      </c>
      <c r="W237" s="1" t="s">
        <v>12</v>
      </c>
    </row>
    <row r="238" spans="1:23" x14ac:dyDescent="0.35">
      <c r="A238" s="1" t="s">
        <v>740</v>
      </c>
      <c r="B238" s="1" t="s">
        <v>741</v>
      </c>
      <c r="C238">
        <v>35</v>
      </c>
      <c r="D238" s="1" t="s">
        <v>39</v>
      </c>
      <c r="E238" s="1" t="s">
        <v>72</v>
      </c>
      <c r="F238" s="1" t="s">
        <v>44</v>
      </c>
      <c r="G238" s="1" t="s">
        <v>742</v>
      </c>
      <c r="H238" s="2">
        <v>45709</v>
      </c>
      <c r="I238" s="1" t="s">
        <v>89</v>
      </c>
      <c r="J238" s="1" t="s">
        <v>65</v>
      </c>
      <c r="K238" s="1" t="s">
        <v>55</v>
      </c>
      <c r="L238" s="1" t="s">
        <v>92</v>
      </c>
      <c r="M238" s="1" t="s">
        <v>169</v>
      </c>
      <c r="N238">
        <v>267387.74</v>
      </c>
      <c r="O238">
        <v>22614.959999999999</v>
      </c>
      <c r="P238">
        <v>50053.83</v>
      </c>
      <c r="Q238">
        <v>3</v>
      </c>
      <c r="R238">
        <v>193</v>
      </c>
      <c r="S238">
        <v>2.4</v>
      </c>
      <c r="T238" s="1" t="s">
        <v>94</v>
      </c>
      <c r="U238" s="1" t="s">
        <v>35</v>
      </c>
      <c r="V238" s="1" t="s">
        <v>130</v>
      </c>
      <c r="W238" s="1" t="s">
        <v>131</v>
      </c>
    </row>
    <row r="239" spans="1:23" x14ac:dyDescent="0.35">
      <c r="A239" s="1" t="s">
        <v>743</v>
      </c>
      <c r="B239" s="1" t="s">
        <v>508</v>
      </c>
      <c r="C239">
        <v>71</v>
      </c>
      <c r="D239" s="1" t="s">
        <v>33</v>
      </c>
      <c r="E239" s="1" t="s">
        <v>62</v>
      </c>
      <c r="F239" s="1" t="s">
        <v>87</v>
      </c>
      <c r="G239" s="1" t="s">
        <v>744</v>
      </c>
      <c r="H239" s="2">
        <v>46247</v>
      </c>
      <c r="I239" s="1" t="s">
        <v>273</v>
      </c>
      <c r="J239" s="1" t="s">
        <v>137</v>
      </c>
      <c r="K239" s="1" t="s">
        <v>163</v>
      </c>
      <c r="L239" s="1" t="s">
        <v>92</v>
      </c>
      <c r="M239" s="1" t="s">
        <v>183</v>
      </c>
      <c r="N239">
        <v>203470.41</v>
      </c>
      <c r="O239">
        <v>0</v>
      </c>
      <c r="P239">
        <v>26765.34</v>
      </c>
      <c r="Q239">
        <v>7</v>
      </c>
      <c r="R239">
        <v>192</v>
      </c>
      <c r="T239" s="1" t="s">
        <v>94</v>
      </c>
      <c r="U239" s="1" t="s">
        <v>33</v>
      </c>
      <c r="V239" s="1" t="s">
        <v>164</v>
      </c>
      <c r="W239" s="1" t="s">
        <v>83</v>
      </c>
    </row>
    <row r="240" spans="1:23" x14ac:dyDescent="0.35">
      <c r="A240" s="1" t="s">
        <v>745</v>
      </c>
      <c r="B240" s="1" t="s">
        <v>279</v>
      </c>
      <c r="C240">
        <v>31</v>
      </c>
      <c r="D240" s="1" t="s">
        <v>39</v>
      </c>
      <c r="E240" s="1" t="s">
        <v>86</v>
      </c>
      <c r="F240" s="1" t="s">
        <v>63</v>
      </c>
      <c r="G240" s="1" t="s">
        <v>746</v>
      </c>
      <c r="H240" s="2">
        <v>45903</v>
      </c>
      <c r="I240" s="1" t="s">
        <v>159</v>
      </c>
      <c r="J240" s="1" t="s">
        <v>80</v>
      </c>
      <c r="K240" s="1" t="s">
        <v>208</v>
      </c>
      <c r="L240" s="1" t="s">
        <v>33</v>
      </c>
      <c r="M240" s="1" t="s">
        <v>74</v>
      </c>
      <c r="N240">
        <v>337686.8</v>
      </c>
      <c r="O240">
        <v>43668.34</v>
      </c>
      <c r="P240">
        <v>37832.04</v>
      </c>
      <c r="Q240">
        <v>1</v>
      </c>
      <c r="R240">
        <v>67</v>
      </c>
      <c r="S240">
        <v>3.2</v>
      </c>
      <c r="T240" s="1" t="s">
        <v>46</v>
      </c>
      <c r="U240" s="1" t="s">
        <v>33</v>
      </c>
      <c r="V240" s="1" t="s">
        <v>102</v>
      </c>
      <c r="W240" s="1" t="s">
        <v>83</v>
      </c>
    </row>
    <row r="241" spans="1:23" x14ac:dyDescent="0.35">
      <c r="A241" s="1" t="s">
        <v>747</v>
      </c>
      <c r="B241" s="1" t="s">
        <v>105</v>
      </c>
      <c r="C241">
        <v>78</v>
      </c>
      <c r="D241" s="1" t="s">
        <v>119</v>
      </c>
      <c r="E241" s="1" t="s">
        <v>203</v>
      </c>
      <c r="F241" s="1" t="s">
        <v>56</v>
      </c>
      <c r="G241" s="1" t="s">
        <v>748</v>
      </c>
      <c r="H241" s="2">
        <v>46165</v>
      </c>
      <c r="I241" s="1" t="s">
        <v>221</v>
      </c>
      <c r="J241" s="1" t="s">
        <v>242</v>
      </c>
      <c r="K241" s="1" t="s">
        <v>116</v>
      </c>
      <c r="L241" s="1" t="s">
        <v>44</v>
      </c>
      <c r="M241" s="1" t="s">
        <v>93</v>
      </c>
      <c r="N241">
        <v>174875.13</v>
      </c>
      <c r="O241">
        <v>60428.959999999999</v>
      </c>
      <c r="P241">
        <v>90639.48</v>
      </c>
      <c r="Q241">
        <v>1</v>
      </c>
      <c r="R241">
        <v>169</v>
      </c>
      <c r="S241">
        <v>3.1</v>
      </c>
      <c r="T241" s="1" t="s">
        <v>94</v>
      </c>
      <c r="U241" s="1" t="s">
        <v>101</v>
      </c>
      <c r="V241" s="1" t="s">
        <v>33</v>
      </c>
      <c r="W241" s="1" t="s">
        <v>103</v>
      </c>
    </row>
    <row r="242" spans="1:23" x14ac:dyDescent="0.35">
      <c r="A242" s="1" t="s">
        <v>749</v>
      </c>
      <c r="B242" s="1" t="s">
        <v>377</v>
      </c>
      <c r="C242">
        <v>42</v>
      </c>
      <c r="D242" s="1" t="s">
        <v>33</v>
      </c>
      <c r="E242" s="1" t="s">
        <v>203</v>
      </c>
      <c r="F242" s="1" t="s">
        <v>227</v>
      </c>
      <c r="G242" s="1" t="s">
        <v>750</v>
      </c>
      <c r="H242" s="2">
        <v>45621</v>
      </c>
      <c r="I242" s="1" t="s">
        <v>114</v>
      </c>
      <c r="J242" s="1" t="s">
        <v>80</v>
      </c>
      <c r="K242" s="1" t="s">
        <v>81</v>
      </c>
      <c r="L242" s="1" t="s">
        <v>32</v>
      </c>
      <c r="M242" s="1" t="s">
        <v>82</v>
      </c>
      <c r="N242">
        <v>93481.74</v>
      </c>
      <c r="O242">
        <v>38108.980000000003</v>
      </c>
      <c r="P242">
        <v>9628.81</v>
      </c>
      <c r="Q242">
        <v>4</v>
      </c>
      <c r="R242">
        <v>184</v>
      </c>
      <c r="S242">
        <v>3.1</v>
      </c>
      <c r="T242" s="1" t="s">
        <v>46</v>
      </c>
      <c r="U242" s="1" t="s">
        <v>67</v>
      </c>
      <c r="V242" s="1" t="s">
        <v>47</v>
      </c>
      <c r="W242" s="1" t="s">
        <v>179</v>
      </c>
    </row>
    <row r="243" spans="1:23" x14ac:dyDescent="0.35">
      <c r="A243" s="1" t="s">
        <v>751</v>
      </c>
      <c r="B243" s="1" t="s">
        <v>723</v>
      </c>
      <c r="C243">
        <v>49</v>
      </c>
      <c r="D243" s="1" t="s">
        <v>106</v>
      </c>
      <c r="E243" s="1" t="s">
        <v>177</v>
      </c>
      <c r="F243" s="1" t="s">
        <v>56</v>
      </c>
      <c r="G243" s="1" t="s">
        <v>647</v>
      </c>
      <c r="H243" s="2">
        <v>46155</v>
      </c>
      <c r="I243" s="1" t="s">
        <v>235</v>
      </c>
      <c r="J243" s="1" t="s">
        <v>33</v>
      </c>
      <c r="K243" s="1" t="s">
        <v>91</v>
      </c>
      <c r="L243" s="1" t="s">
        <v>56</v>
      </c>
      <c r="M243" s="1" t="s">
        <v>142</v>
      </c>
      <c r="N243">
        <v>183753.3</v>
      </c>
      <c r="O243">
        <v>44667.35</v>
      </c>
      <c r="P243">
        <v>30752.89</v>
      </c>
      <c r="Q243">
        <v>3</v>
      </c>
      <c r="R243">
        <v>160</v>
      </c>
      <c r="S243">
        <v>2</v>
      </c>
      <c r="T243" s="1" t="s">
        <v>34</v>
      </c>
      <c r="U243" s="1" t="s">
        <v>58</v>
      </c>
      <c r="V243" s="1" t="s">
        <v>33</v>
      </c>
      <c r="W243" s="1" t="s">
        <v>33</v>
      </c>
    </row>
    <row r="244" spans="1:23" x14ac:dyDescent="0.35">
      <c r="A244" s="1" t="s">
        <v>752</v>
      </c>
      <c r="B244" s="1" t="s">
        <v>753</v>
      </c>
      <c r="C244">
        <v>85</v>
      </c>
      <c r="D244" s="1" t="s">
        <v>71</v>
      </c>
      <c r="E244" s="1" t="s">
        <v>263</v>
      </c>
      <c r="F244" s="1" t="s">
        <v>27</v>
      </c>
      <c r="G244" s="1" t="s">
        <v>754</v>
      </c>
      <c r="H244" s="2">
        <v>45846</v>
      </c>
      <c r="I244" s="1" t="s">
        <v>221</v>
      </c>
      <c r="J244" s="1" t="s">
        <v>80</v>
      </c>
      <c r="K244" s="1" t="s">
        <v>55</v>
      </c>
      <c r="L244" s="1" t="s">
        <v>44</v>
      </c>
      <c r="M244" s="1" t="s">
        <v>123</v>
      </c>
      <c r="N244">
        <v>79953.61</v>
      </c>
      <c r="O244">
        <v>13056.38</v>
      </c>
      <c r="P244">
        <v>60417.24</v>
      </c>
      <c r="Q244">
        <v>3</v>
      </c>
      <c r="R244">
        <v>108</v>
      </c>
      <c r="S244">
        <v>4.2</v>
      </c>
      <c r="T244" s="1" t="s">
        <v>34</v>
      </c>
      <c r="U244" s="1" t="s">
        <v>95</v>
      </c>
      <c r="V244" s="1" t="s">
        <v>33</v>
      </c>
      <c r="W244" s="1" t="s">
        <v>59</v>
      </c>
    </row>
    <row r="245" spans="1:23" x14ac:dyDescent="0.35">
      <c r="A245" s="1" t="s">
        <v>755</v>
      </c>
      <c r="B245" s="1" t="s">
        <v>303</v>
      </c>
      <c r="C245">
        <v>56</v>
      </c>
      <c r="D245" s="1" t="s">
        <v>39</v>
      </c>
      <c r="E245" s="1" t="s">
        <v>40</v>
      </c>
      <c r="F245" s="1" t="s">
        <v>98</v>
      </c>
      <c r="G245" s="1" t="s">
        <v>304</v>
      </c>
      <c r="H245" s="2">
        <v>45670</v>
      </c>
      <c r="I245" s="1" t="s">
        <v>114</v>
      </c>
      <c r="J245" s="1" t="s">
        <v>147</v>
      </c>
      <c r="K245" s="1" t="s">
        <v>91</v>
      </c>
      <c r="L245" s="1" t="s">
        <v>92</v>
      </c>
      <c r="M245" s="1" t="s">
        <v>123</v>
      </c>
      <c r="N245">
        <v>375357.98</v>
      </c>
      <c r="O245">
        <v>40245.47</v>
      </c>
      <c r="P245">
        <v>37762.269999999997</v>
      </c>
      <c r="Q245">
        <v>4</v>
      </c>
      <c r="R245">
        <v>145</v>
      </c>
      <c r="S245">
        <v>5</v>
      </c>
      <c r="T245" s="1" t="s">
        <v>34</v>
      </c>
      <c r="U245" s="1" t="s">
        <v>33</v>
      </c>
      <c r="V245" s="1" t="s">
        <v>47</v>
      </c>
      <c r="W245" s="1" t="s">
        <v>33</v>
      </c>
    </row>
    <row r="246" spans="1:23" x14ac:dyDescent="0.35">
      <c r="A246" s="1" t="s">
        <v>756</v>
      </c>
      <c r="B246" s="1" t="s">
        <v>266</v>
      </c>
      <c r="C246">
        <v>21</v>
      </c>
      <c r="D246" s="1" t="s">
        <v>33</v>
      </c>
      <c r="E246" s="1" t="s">
        <v>192</v>
      </c>
      <c r="F246" s="1" t="s">
        <v>135</v>
      </c>
      <c r="G246" s="1" t="s">
        <v>757</v>
      </c>
      <c r="H246" s="2">
        <v>45437</v>
      </c>
      <c r="I246" s="1" t="s">
        <v>277</v>
      </c>
      <c r="J246" s="1" t="s">
        <v>80</v>
      </c>
      <c r="K246" s="1" t="s">
        <v>208</v>
      </c>
      <c r="L246" s="1" t="s">
        <v>56</v>
      </c>
      <c r="M246" s="1" t="s">
        <v>74</v>
      </c>
      <c r="N246">
        <v>374991.29</v>
      </c>
      <c r="O246">
        <v>26990.47</v>
      </c>
      <c r="P246">
        <v>0</v>
      </c>
      <c r="Q246">
        <v>2</v>
      </c>
      <c r="R246">
        <v>158</v>
      </c>
      <c r="S246">
        <v>3</v>
      </c>
      <c r="T246" s="1" t="s">
        <v>34</v>
      </c>
      <c r="U246" s="1" t="s">
        <v>101</v>
      </c>
      <c r="V246" s="1" t="s">
        <v>33</v>
      </c>
      <c r="W246" s="1" t="s">
        <v>59</v>
      </c>
    </row>
    <row r="247" spans="1:23" x14ac:dyDescent="0.35">
      <c r="A247" s="1" t="s">
        <v>758</v>
      </c>
      <c r="B247" s="1" t="s">
        <v>759</v>
      </c>
      <c r="C247">
        <v>50</v>
      </c>
      <c r="D247" s="1" t="s">
        <v>33</v>
      </c>
      <c r="E247" s="1" t="s">
        <v>203</v>
      </c>
      <c r="F247" s="1" t="s">
        <v>44</v>
      </c>
      <c r="G247" s="1" t="s">
        <v>619</v>
      </c>
      <c r="H247" s="2">
        <v>45691</v>
      </c>
      <c r="I247" s="1" t="s">
        <v>53</v>
      </c>
      <c r="J247" s="1" t="s">
        <v>65</v>
      </c>
      <c r="K247" s="1" t="s">
        <v>122</v>
      </c>
      <c r="L247" s="1" t="s">
        <v>44</v>
      </c>
      <c r="M247" s="1" t="s">
        <v>33</v>
      </c>
      <c r="N247">
        <v>246669.96</v>
      </c>
      <c r="O247">
        <v>47736.3</v>
      </c>
      <c r="P247">
        <v>31935.41</v>
      </c>
      <c r="Q247">
        <v>2</v>
      </c>
      <c r="R247">
        <v>133</v>
      </c>
      <c r="S247">
        <v>3.4</v>
      </c>
      <c r="T247" s="1" t="s">
        <v>33</v>
      </c>
      <c r="U247" s="1" t="s">
        <v>58</v>
      </c>
      <c r="V247" s="1" t="s">
        <v>164</v>
      </c>
      <c r="W247" s="1" t="s">
        <v>33</v>
      </c>
    </row>
    <row r="248" spans="1:23" x14ac:dyDescent="0.35">
      <c r="A248" s="1" t="s">
        <v>760</v>
      </c>
      <c r="B248" s="1" t="s">
        <v>761</v>
      </c>
      <c r="C248">
        <v>56</v>
      </c>
      <c r="D248" s="1" t="s">
        <v>50</v>
      </c>
      <c r="E248" s="1" t="s">
        <v>62</v>
      </c>
      <c r="F248" s="1" t="s">
        <v>108</v>
      </c>
      <c r="G248" s="1" t="s">
        <v>762</v>
      </c>
      <c r="H248" s="2">
        <v>45826</v>
      </c>
      <c r="I248" s="1" t="s">
        <v>33</v>
      </c>
      <c r="J248" s="1" t="s">
        <v>115</v>
      </c>
      <c r="K248" s="1" t="s">
        <v>122</v>
      </c>
      <c r="L248" s="1" t="s">
        <v>33</v>
      </c>
      <c r="M248" s="1" t="s">
        <v>74</v>
      </c>
      <c r="N248">
        <v>89038.58</v>
      </c>
      <c r="O248">
        <v>57149.55</v>
      </c>
      <c r="P248">
        <v>28921.1</v>
      </c>
      <c r="Q248">
        <v>5</v>
      </c>
      <c r="R248">
        <v>155</v>
      </c>
      <c r="S248">
        <v>4.2</v>
      </c>
      <c r="T248" s="1" t="s">
        <v>46</v>
      </c>
      <c r="U248" s="1" t="s">
        <v>33</v>
      </c>
      <c r="V248" s="1" t="s">
        <v>130</v>
      </c>
      <c r="W248" s="1" t="s">
        <v>33</v>
      </c>
    </row>
    <row r="249" spans="1:23" x14ac:dyDescent="0.35">
      <c r="A249" s="1" t="s">
        <v>763</v>
      </c>
      <c r="B249" s="1" t="s">
        <v>621</v>
      </c>
      <c r="C249">
        <v>38</v>
      </c>
      <c r="D249" s="1" t="s">
        <v>106</v>
      </c>
      <c r="E249" s="1" t="s">
        <v>157</v>
      </c>
      <c r="F249" s="1" t="s">
        <v>56</v>
      </c>
      <c r="G249" s="1" t="s">
        <v>764</v>
      </c>
      <c r="H249" s="2">
        <v>45464</v>
      </c>
      <c r="I249" s="1" t="s">
        <v>257</v>
      </c>
      <c r="J249" s="1" t="s">
        <v>115</v>
      </c>
      <c r="K249" s="1" t="s">
        <v>33</v>
      </c>
      <c r="L249" s="1" t="s">
        <v>66</v>
      </c>
      <c r="M249" s="1" t="s">
        <v>33</v>
      </c>
      <c r="N249">
        <v>171095.65</v>
      </c>
      <c r="O249">
        <v>29514.51</v>
      </c>
      <c r="P249">
        <v>35904.61</v>
      </c>
      <c r="Q249">
        <v>11</v>
      </c>
      <c r="R249">
        <v>154</v>
      </c>
      <c r="S249">
        <v>1.6</v>
      </c>
      <c r="T249" s="1" t="s">
        <v>46</v>
      </c>
      <c r="U249" s="1" t="s">
        <v>33</v>
      </c>
      <c r="V249" s="1" t="s">
        <v>33</v>
      </c>
      <c r="W249" s="1" t="s">
        <v>33</v>
      </c>
    </row>
    <row r="250" spans="1:23" x14ac:dyDescent="0.35">
      <c r="A250" s="1" t="s">
        <v>765</v>
      </c>
      <c r="B250" s="1" t="s">
        <v>583</v>
      </c>
      <c r="C250">
        <v>19</v>
      </c>
      <c r="D250" s="1" t="s">
        <v>78</v>
      </c>
      <c r="E250" s="1" t="s">
        <v>177</v>
      </c>
      <c r="F250" s="1" t="s">
        <v>56</v>
      </c>
      <c r="G250" s="1" t="s">
        <v>766</v>
      </c>
      <c r="H250" s="2">
        <v>45899</v>
      </c>
      <c r="I250" s="1" t="s">
        <v>33</v>
      </c>
      <c r="J250" s="1" t="s">
        <v>141</v>
      </c>
      <c r="K250" s="1" t="s">
        <v>81</v>
      </c>
      <c r="L250" s="1" t="s">
        <v>32</v>
      </c>
      <c r="M250" s="1" t="s">
        <v>169</v>
      </c>
      <c r="N250">
        <v>353043.06</v>
      </c>
      <c r="O250">
        <v>72765.33</v>
      </c>
      <c r="P250">
        <v>41866.519999999997</v>
      </c>
      <c r="Q250">
        <v>1</v>
      </c>
      <c r="R250">
        <v>82</v>
      </c>
      <c r="S250">
        <v>3.8</v>
      </c>
      <c r="T250" s="1" t="s">
        <v>154</v>
      </c>
      <c r="U250" s="1" t="s">
        <v>58</v>
      </c>
      <c r="V250" s="1" t="s">
        <v>102</v>
      </c>
      <c r="W250" s="1" t="s">
        <v>33</v>
      </c>
    </row>
    <row r="251" spans="1:23" x14ac:dyDescent="0.35">
      <c r="A251" s="1" t="s">
        <v>767</v>
      </c>
      <c r="B251" s="1" t="s">
        <v>768</v>
      </c>
      <c r="C251">
        <v>22</v>
      </c>
      <c r="D251" s="1" t="s">
        <v>25</v>
      </c>
      <c r="E251" s="1" t="s">
        <v>112</v>
      </c>
      <c r="F251" s="1" t="s">
        <v>41</v>
      </c>
      <c r="G251" s="1" t="s">
        <v>366</v>
      </c>
      <c r="H251" s="2">
        <v>46268</v>
      </c>
      <c r="I251" s="1" t="s">
        <v>33</v>
      </c>
      <c r="J251" s="1" t="s">
        <v>33</v>
      </c>
      <c r="K251" s="1" t="s">
        <v>91</v>
      </c>
      <c r="L251" s="1" t="s">
        <v>32</v>
      </c>
      <c r="M251" s="1" t="s">
        <v>183</v>
      </c>
      <c r="N251">
        <v>253371.66</v>
      </c>
      <c r="O251">
        <v>54379.94</v>
      </c>
      <c r="P251">
        <v>60032.83</v>
      </c>
      <c r="Q251">
        <v>7</v>
      </c>
      <c r="R251">
        <v>109</v>
      </c>
      <c r="S251">
        <v>5</v>
      </c>
      <c r="T251" s="1" t="s">
        <v>33</v>
      </c>
      <c r="U251" s="1" t="s">
        <v>33</v>
      </c>
      <c r="V251" s="1" t="s">
        <v>102</v>
      </c>
      <c r="W251" s="1" t="s">
        <v>83</v>
      </c>
    </row>
    <row r="252" spans="1:23" x14ac:dyDescent="0.35">
      <c r="A252" s="1" t="s">
        <v>769</v>
      </c>
      <c r="B252" s="1" t="s">
        <v>770</v>
      </c>
      <c r="C252">
        <v>57</v>
      </c>
      <c r="D252" s="1" t="s">
        <v>71</v>
      </c>
      <c r="E252" s="1" t="s">
        <v>62</v>
      </c>
      <c r="F252" s="1" t="s">
        <v>87</v>
      </c>
      <c r="G252" s="1" t="s">
        <v>771</v>
      </c>
      <c r="H252" s="2">
        <v>45363</v>
      </c>
      <c r="I252" s="1" t="s">
        <v>277</v>
      </c>
      <c r="J252" s="1" t="s">
        <v>87</v>
      </c>
      <c r="K252" s="1" t="s">
        <v>148</v>
      </c>
      <c r="L252" s="1" t="s">
        <v>32</v>
      </c>
      <c r="M252" s="1" t="s">
        <v>123</v>
      </c>
      <c r="N252">
        <v>128429.4</v>
      </c>
      <c r="O252">
        <v>0</v>
      </c>
      <c r="P252">
        <v>60336.08</v>
      </c>
      <c r="Q252">
        <v>1</v>
      </c>
      <c r="R252">
        <v>198</v>
      </c>
      <c r="S252">
        <v>3.5</v>
      </c>
      <c r="T252" s="1" t="s">
        <v>46</v>
      </c>
      <c r="U252" s="1" t="s">
        <v>33</v>
      </c>
      <c r="V252" s="1" t="s">
        <v>102</v>
      </c>
      <c r="W252" s="1" t="s">
        <v>131</v>
      </c>
    </row>
    <row r="253" spans="1:23" x14ac:dyDescent="0.35">
      <c r="A253" s="1" t="s">
        <v>772</v>
      </c>
      <c r="B253" s="1" t="s">
        <v>432</v>
      </c>
      <c r="C253">
        <v>78</v>
      </c>
      <c r="D253" s="1" t="s">
        <v>25</v>
      </c>
      <c r="E253" s="1" t="s">
        <v>33</v>
      </c>
      <c r="F253" s="1" t="s">
        <v>56</v>
      </c>
      <c r="G253" s="1" t="s">
        <v>773</v>
      </c>
      <c r="H253" s="2">
        <v>45418</v>
      </c>
      <c r="I253" s="1" t="s">
        <v>277</v>
      </c>
      <c r="J253" s="1" t="s">
        <v>33</v>
      </c>
      <c r="K253" s="1" t="s">
        <v>81</v>
      </c>
      <c r="L253" s="1" t="s">
        <v>92</v>
      </c>
      <c r="M253" s="1" t="s">
        <v>169</v>
      </c>
      <c r="N253">
        <v>404088.02</v>
      </c>
      <c r="O253">
        <v>70999.11</v>
      </c>
      <c r="P253">
        <v>67263.820000000007</v>
      </c>
      <c r="Q253">
        <v>6</v>
      </c>
      <c r="R253">
        <v>100</v>
      </c>
      <c r="S253">
        <v>1.6</v>
      </c>
      <c r="T253" s="1" t="s">
        <v>34</v>
      </c>
      <c r="U253" s="1" t="s">
        <v>33</v>
      </c>
      <c r="V253" s="1" t="s">
        <v>33</v>
      </c>
      <c r="W253" s="1" t="s">
        <v>103</v>
      </c>
    </row>
    <row r="254" spans="1:23" x14ac:dyDescent="0.35">
      <c r="A254" s="1" t="s">
        <v>774</v>
      </c>
      <c r="B254" s="1" t="s">
        <v>569</v>
      </c>
      <c r="C254">
        <v>24</v>
      </c>
      <c r="D254" s="1" t="s">
        <v>25</v>
      </c>
      <c r="E254" s="1" t="s">
        <v>134</v>
      </c>
      <c r="F254" s="1" t="s">
        <v>135</v>
      </c>
      <c r="G254" s="1" t="s">
        <v>686</v>
      </c>
      <c r="H254" s="2">
        <v>45897</v>
      </c>
      <c r="I254" s="1" t="s">
        <v>29</v>
      </c>
      <c r="J254" s="1" t="s">
        <v>137</v>
      </c>
      <c r="K254" s="1" t="s">
        <v>33</v>
      </c>
      <c r="L254" s="1" t="s">
        <v>32</v>
      </c>
      <c r="M254" s="1" t="s">
        <v>57</v>
      </c>
      <c r="N254">
        <v>523931.98</v>
      </c>
      <c r="O254">
        <v>25602.85</v>
      </c>
      <c r="P254">
        <v>48696.14</v>
      </c>
      <c r="Q254">
        <v>2</v>
      </c>
      <c r="R254">
        <v>136</v>
      </c>
      <c r="S254">
        <v>3.8</v>
      </c>
      <c r="T254" s="1" t="s">
        <v>34</v>
      </c>
      <c r="U254" s="1" t="s">
        <v>33</v>
      </c>
      <c r="V254" s="1" t="s">
        <v>164</v>
      </c>
      <c r="W254" s="1" t="s">
        <v>59</v>
      </c>
    </row>
    <row r="255" spans="1:23" x14ac:dyDescent="0.35">
      <c r="A255" s="1" t="s">
        <v>775</v>
      </c>
      <c r="B255" s="1" t="s">
        <v>776</v>
      </c>
      <c r="C255">
        <v>29</v>
      </c>
      <c r="D255" s="1" t="s">
        <v>106</v>
      </c>
      <c r="E255" s="1" t="s">
        <v>134</v>
      </c>
      <c r="F255" s="1" t="s">
        <v>227</v>
      </c>
      <c r="G255" s="1" t="s">
        <v>777</v>
      </c>
      <c r="H255" s="2">
        <v>46125</v>
      </c>
      <c r="I255" s="1" t="s">
        <v>127</v>
      </c>
      <c r="J255" s="1" t="s">
        <v>147</v>
      </c>
      <c r="K255" s="1" t="s">
        <v>128</v>
      </c>
      <c r="L255" s="1" t="s">
        <v>33</v>
      </c>
      <c r="M255" s="1" t="s">
        <v>82</v>
      </c>
      <c r="N255">
        <v>247245.04</v>
      </c>
      <c r="O255">
        <v>11438.24</v>
      </c>
      <c r="P255">
        <v>5399.32</v>
      </c>
      <c r="Q255">
        <v>10</v>
      </c>
      <c r="R255">
        <v>49</v>
      </c>
      <c r="S255">
        <v>3.7</v>
      </c>
      <c r="T255" s="1" t="s">
        <v>33</v>
      </c>
      <c r="U255" s="1" t="s">
        <v>58</v>
      </c>
      <c r="V255" s="1" t="s">
        <v>33</v>
      </c>
      <c r="W255" s="1" t="s">
        <v>103</v>
      </c>
    </row>
    <row r="256" spans="1:23" x14ac:dyDescent="0.35">
      <c r="A256" s="1" t="s">
        <v>778</v>
      </c>
      <c r="B256" s="1" t="s">
        <v>318</v>
      </c>
      <c r="C256">
        <v>27</v>
      </c>
      <c r="D256" s="1" t="s">
        <v>106</v>
      </c>
      <c r="E256" s="1" t="s">
        <v>33</v>
      </c>
      <c r="F256" s="1" t="s">
        <v>63</v>
      </c>
      <c r="G256" s="1" t="s">
        <v>779</v>
      </c>
      <c r="H256" s="2">
        <v>45477</v>
      </c>
      <c r="I256" s="1" t="s">
        <v>114</v>
      </c>
      <c r="J256" s="1" t="s">
        <v>90</v>
      </c>
      <c r="K256" s="1" t="s">
        <v>122</v>
      </c>
      <c r="L256" s="1" t="s">
        <v>33</v>
      </c>
      <c r="M256" s="1" t="s">
        <v>33</v>
      </c>
      <c r="N256">
        <v>23115.56</v>
      </c>
      <c r="O256">
        <v>27922.36</v>
      </c>
      <c r="P256">
        <v>0</v>
      </c>
      <c r="Q256">
        <v>2</v>
      </c>
      <c r="R256">
        <v>152</v>
      </c>
      <c r="S256">
        <v>3.8</v>
      </c>
      <c r="T256" s="1" t="s">
        <v>154</v>
      </c>
      <c r="U256" s="1" t="s">
        <v>149</v>
      </c>
      <c r="V256" s="1" t="s">
        <v>75</v>
      </c>
      <c r="W256" s="1" t="s">
        <v>59</v>
      </c>
    </row>
    <row r="257" spans="1:23" x14ac:dyDescent="0.35">
      <c r="A257" s="1" t="s">
        <v>780</v>
      </c>
      <c r="B257" s="1" t="s">
        <v>781</v>
      </c>
      <c r="C257">
        <v>36</v>
      </c>
      <c r="D257" s="1" t="s">
        <v>119</v>
      </c>
      <c r="E257" s="1" t="s">
        <v>192</v>
      </c>
      <c r="F257" s="1" t="s">
        <v>87</v>
      </c>
      <c r="G257" s="1" t="s">
        <v>782</v>
      </c>
      <c r="H257" s="2">
        <v>46006</v>
      </c>
      <c r="I257" s="1" t="s">
        <v>273</v>
      </c>
      <c r="J257" s="1" t="s">
        <v>43</v>
      </c>
      <c r="K257" s="1" t="s">
        <v>55</v>
      </c>
      <c r="L257" s="1" t="s">
        <v>33</v>
      </c>
      <c r="M257" s="1" t="s">
        <v>45</v>
      </c>
      <c r="N257">
        <v>114698.1</v>
      </c>
      <c r="O257">
        <v>37979.360000000001</v>
      </c>
      <c r="P257">
        <v>85213.51</v>
      </c>
      <c r="Q257">
        <v>1</v>
      </c>
      <c r="R257">
        <v>0</v>
      </c>
      <c r="S257">
        <v>3.8</v>
      </c>
      <c r="T257" s="1" t="s">
        <v>94</v>
      </c>
      <c r="U257" s="1" t="s">
        <v>33</v>
      </c>
      <c r="V257" s="1" t="s">
        <v>75</v>
      </c>
      <c r="W257" s="1" t="s">
        <v>131</v>
      </c>
    </row>
    <row r="258" spans="1:23" x14ac:dyDescent="0.35">
      <c r="A258" s="1" t="s">
        <v>783</v>
      </c>
      <c r="B258" s="1" t="s">
        <v>435</v>
      </c>
      <c r="C258">
        <v>57</v>
      </c>
      <c r="D258" s="1" t="s">
        <v>50</v>
      </c>
      <c r="E258" s="1" t="s">
        <v>51</v>
      </c>
      <c r="F258" s="1" t="s">
        <v>98</v>
      </c>
      <c r="G258" s="1" t="s">
        <v>512</v>
      </c>
      <c r="H258" s="2">
        <v>45922</v>
      </c>
      <c r="I258" s="1" t="s">
        <v>100</v>
      </c>
      <c r="J258" s="1" t="s">
        <v>65</v>
      </c>
      <c r="K258" s="1" t="s">
        <v>91</v>
      </c>
      <c r="L258" s="1" t="s">
        <v>56</v>
      </c>
      <c r="M258" s="1" t="s">
        <v>169</v>
      </c>
      <c r="N258">
        <v>249847.53</v>
      </c>
      <c r="O258">
        <v>11200.77</v>
      </c>
      <c r="P258">
        <v>35428.379999999997</v>
      </c>
      <c r="Q258">
        <v>2</v>
      </c>
      <c r="R258">
        <v>35</v>
      </c>
      <c r="S258">
        <v>5</v>
      </c>
      <c r="T258" s="1" t="s">
        <v>33</v>
      </c>
      <c r="U258" s="1" t="s">
        <v>58</v>
      </c>
      <c r="V258" s="1" t="s">
        <v>68</v>
      </c>
      <c r="W258" s="1" t="s">
        <v>36</v>
      </c>
    </row>
    <row r="259" spans="1:23" x14ac:dyDescent="0.35">
      <c r="A259" s="1" t="s">
        <v>784</v>
      </c>
      <c r="B259" s="1" t="s">
        <v>133</v>
      </c>
      <c r="C259">
        <v>84</v>
      </c>
      <c r="D259" s="1" t="s">
        <v>119</v>
      </c>
      <c r="E259" s="1" t="s">
        <v>192</v>
      </c>
      <c r="F259" s="1" t="s">
        <v>120</v>
      </c>
      <c r="G259" s="1" t="s">
        <v>785</v>
      </c>
      <c r="H259" s="2">
        <v>45965</v>
      </c>
      <c r="I259" s="1" t="s">
        <v>29</v>
      </c>
      <c r="J259" s="1" t="s">
        <v>43</v>
      </c>
      <c r="K259" s="1" t="s">
        <v>128</v>
      </c>
      <c r="L259" s="1" t="s">
        <v>66</v>
      </c>
      <c r="M259" s="1" t="s">
        <v>33</v>
      </c>
      <c r="N259">
        <v>211507.49</v>
      </c>
      <c r="O259">
        <v>12289.83</v>
      </c>
      <c r="P259">
        <v>0</v>
      </c>
      <c r="Q259">
        <v>3</v>
      </c>
      <c r="R259">
        <v>0</v>
      </c>
      <c r="S259">
        <v>1.6</v>
      </c>
      <c r="T259" s="1" t="s">
        <v>34</v>
      </c>
      <c r="U259" s="1" t="s">
        <v>33</v>
      </c>
      <c r="V259" s="1" t="s">
        <v>68</v>
      </c>
      <c r="W259" s="1" t="s">
        <v>33</v>
      </c>
    </row>
    <row r="260" spans="1:23" x14ac:dyDescent="0.35">
      <c r="A260" s="1" t="s">
        <v>786</v>
      </c>
      <c r="B260" s="1" t="s">
        <v>787</v>
      </c>
      <c r="C260">
        <v>54</v>
      </c>
      <c r="D260" s="1" t="s">
        <v>106</v>
      </c>
      <c r="E260" s="1" t="s">
        <v>263</v>
      </c>
      <c r="F260" s="1" t="s">
        <v>108</v>
      </c>
      <c r="G260" s="1" t="s">
        <v>788</v>
      </c>
      <c r="H260" s="2">
        <v>45651</v>
      </c>
      <c r="I260" s="1" t="s">
        <v>159</v>
      </c>
      <c r="J260" s="1" t="s">
        <v>137</v>
      </c>
      <c r="K260" s="1" t="s">
        <v>128</v>
      </c>
      <c r="L260" s="1" t="s">
        <v>92</v>
      </c>
      <c r="M260" s="1" t="s">
        <v>169</v>
      </c>
      <c r="N260">
        <v>0</v>
      </c>
      <c r="O260">
        <v>52375.96</v>
      </c>
      <c r="P260">
        <v>30508.17</v>
      </c>
      <c r="Q260">
        <v>3</v>
      </c>
      <c r="R260">
        <v>106</v>
      </c>
      <c r="S260">
        <v>5</v>
      </c>
      <c r="T260" s="1" t="s">
        <v>34</v>
      </c>
      <c r="U260" s="1" t="s">
        <v>149</v>
      </c>
      <c r="V260" s="1" t="s">
        <v>33</v>
      </c>
      <c r="W260" s="1" t="s">
        <v>33</v>
      </c>
    </row>
    <row r="261" spans="1:23" x14ac:dyDescent="0.35">
      <c r="A261" s="1" t="s">
        <v>789</v>
      </c>
      <c r="B261" s="1" t="s">
        <v>790</v>
      </c>
      <c r="C261">
        <v>37</v>
      </c>
      <c r="D261" s="1" t="s">
        <v>50</v>
      </c>
      <c r="E261" s="1" t="s">
        <v>203</v>
      </c>
      <c r="F261" s="1" t="s">
        <v>87</v>
      </c>
      <c r="G261" s="1" t="s">
        <v>791</v>
      </c>
      <c r="H261" s="2">
        <v>45560</v>
      </c>
      <c r="I261" s="1" t="s">
        <v>33</v>
      </c>
      <c r="J261" s="1" t="s">
        <v>43</v>
      </c>
      <c r="K261" s="1" t="s">
        <v>31</v>
      </c>
      <c r="L261" s="1" t="s">
        <v>33</v>
      </c>
      <c r="M261" s="1" t="s">
        <v>74</v>
      </c>
      <c r="N261">
        <v>95233.09</v>
      </c>
      <c r="O261">
        <v>0</v>
      </c>
      <c r="P261">
        <v>23425.4</v>
      </c>
      <c r="Q261">
        <v>5</v>
      </c>
      <c r="R261">
        <v>79</v>
      </c>
      <c r="S261">
        <v>2.4</v>
      </c>
      <c r="T261" s="1" t="s">
        <v>154</v>
      </c>
      <c r="U261" s="1" t="s">
        <v>33</v>
      </c>
      <c r="V261" s="1" t="s">
        <v>33</v>
      </c>
      <c r="W261" s="1" t="s">
        <v>36</v>
      </c>
    </row>
    <row r="262" spans="1:23" x14ac:dyDescent="0.35">
      <c r="A262" s="1" t="s">
        <v>792</v>
      </c>
      <c r="B262" s="1" t="s">
        <v>85</v>
      </c>
      <c r="C262">
        <v>44</v>
      </c>
      <c r="D262" s="1" t="s">
        <v>106</v>
      </c>
      <c r="E262" s="1" t="s">
        <v>134</v>
      </c>
      <c r="F262" s="1" t="s">
        <v>227</v>
      </c>
      <c r="G262" s="1" t="s">
        <v>793</v>
      </c>
      <c r="H262" s="2">
        <v>45529</v>
      </c>
      <c r="I262" s="1" t="s">
        <v>33</v>
      </c>
      <c r="J262" s="1" t="s">
        <v>54</v>
      </c>
      <c r="K262" s="1" t="s">
        <v>148</v>
      </c>
      <c r="L262" s="1" t="s">
        <v>33</v>
      </c>
      <c r="M262" s="1" t="s">
        <v>93</v>
      </c>
      <c r="N262">
        <v>188520.16</v>
      </c>
      <c r="O262">
        <v>13749.94</v>
      </c>
      <c r="P262">
        <v>50059.64</v>
      </c>
      <c r="Q262">
        <v>2</v>
      </c>
      <c r="R262">
        <v>128</v>
      </c>
      <c r="S262">
        <v>2.2999999999999998</v>
      </c>
      <c r="T262" s="1" t="s">
        <v>33</v>
      </c>
      <c r="U262" s="1" t="s">
        <v>58</v>
      </c>
      <c r="V262" s="1" t="s">
        <v>75</v>
      </c>
      <c r="W262" s="1" t="s">
        <v>179</v>
      </c>
    </row>
    <row r="263" spans="1:23" x14ac:dyDescent="0.35">
      <c r="A263" s="1" t="s">
        <v>794</v>
      </c>
      <c r="B263" s="1" t="s">
        <v>795</v>
      </c>
      <c r="C263">
        <v>40</v>
      </c>
      <c r="D263" s="1" t="s">
        <v>50</v>
      </c>
      <c r="E263" s="1" t="s">
        <v>192</v>
      </c>
      <c r="F263" s="1" t="s">
        <v>27</v>
      </c>
      <c r="G263" s="1" t="s">
        <v>348</v>
      </c>
      <c r="H263" s="2">
        <v>45887</v>
      </c>
      <c r="I263" s="1" t="s">
        <v>159</v>
      </c>
      <c r="J263" s="1" t="s">
        <v>137</v>
      </c>
      <c r="K263" s="1" t="s">
        <v>208</v>
      </c>
      <c r="L263" s="1" t="s">
        <v>32</v>
      </c>
      <c r="M263" s="1" t="s">
        <v>183</v>
      </c>
      <c r="N263">
        <v>222638.95</v>
      </c>
      <c r="O263">
        <v>47705.36</v>
      </c>
      <c r="P263">
        <v>51996.480000000003</v>
      </c>
      <c r="Q263">
        <v>8</v>
      </c>
      <c r="R263">
        <v>166</v>
      </c>
      <c r="S263">
        <v>4.0999999999999996</v>
      </c>
      <c r="T263" s="1" t="s">
        <v>46</v>
      </c>
      <c r="U263" s="1" t="s">
        <v>101</v>
      </c>
      <c r="V263" s="1" t="s">
        <v>164</v>
      </c>
      <c r="W263" s="1" t="s">
        <v>59</v>
      </c>
    </row>
    <row r="264" spans="1:23" x14ac:dyDescent="0.35">
      <c r="A264" s="1" t="s">
        <v>796</v>
      </c>
      <c r="B264" s="1" t="s">
        <v>797</v>
      </c>
      <c r="C264">
        <v>50</v>
      </c>
      <c r="D264" s="1" t="s">
        <v>25</v>
      </c>
      <c r="E264" s="1" t="s">
        <v>33</v>
      </c>
      <c r="F264" s="1" t="s">
        <v>193</v>
      </c>
      <c r="G264" s="1" t="s">
        <v>798</v>
      </c>
      <c r="H264" s="2">
        <v>46236</v>
      </c>
      <c r="I264" s="1" t="s">
        <v>273</v>
      </c>
      <c r="J264" s="1" t="s">
        <v>43</v>
      </c>
      <c r="K264" s="1" t="s">
        <v>33</v>
      </c>
      <c r="L264" s="1" t="s">
        <v>92</v>
      </c>
      <c r="M264" s="1" t="s">
        <v>169</v>
      </c>
      <c r="N264">
        <v>59878.33</v>
      </c>
      <c r="O264">
        <v>32713.99</v>
      </c>
      <c r="P264">
        <v>44003.1</v>
      </c>
      <c r="Q264">
        <v>2</v>
      </c>
      <c r="R264">
        <v>79</v>
      </c>
      <c r="S264">
        <v>3.5</v>
      </c>
      <c r="T264" s="1" t="s">
        <v>154</v>
      </c>
      <c r="U264" s="1" t="s">
        <v>33</v>
      </c>
      <c r="V264" s="1" t="s">
        <v>47</v>
      </c>
      <c r="W264" s="1" t="s">
        <v>103</v>
      </c>
    </row>
    <row r="265" spans="1:23" x14ac:dyDescent="0.35">
      <c r="A265" s="1" t="s">
        <v>799</v>
      </c>
      <c r="B265" s="1" t="s">
        <v>800</v>
      </c>
      <c r="C265">
        <v>30</v>
      </c>
      <c r="D265" s="1" t="s">
        <v>71</v>
      </c>
      <c r="E265" s="1" t="s">
        <v>177</v>
      </c>
      <c r="F265" s="1" t="s">
        <v>44</v>
      </c>
      <c r="G265" s="1" t="s">
        <v>581</v>
      </c>
      <c r="H265" s="2">
        <v>45700</v>
      </c>
      <c r="I265" s="1" t="s">
        <v>33</v>
      </c>
      <c r="J265" s="1" t="s">
        <v>43</v>
      </c>
      <c r="K265" s="1" t="s">
        <v>128</v>
      </c>
      <c r="L265" s="1" t="s">
        <v>56</v>
      </c>
      <c r="M265" s="1" t="s">
        <v>123</v>
      </c>
      <c r="N265">
        <v>232998.29</v>
      </c>
      <c r="O265">
        <v>33996.410000000003</v>
      </c>
      <c r="P265">
        <v>14169.75</v>
      </c>
      <c r="Q265">
        <v>1</v>
      </c>
      <c r="R265">
        <v>189</v>
      </c>
      <c r="S265">
        <v>2.6</v>
      </c>
      <c r="T265" s="1" t="s">
        <v>154</v>
      </c>
      <c r="U265" s="1" t="s">
        <v>67</v>
      </c>
      <c r="V265" s="1" t="s">
        <v>33</v>
      </c>
      <c r="W265" s="1" t="s">
        <v>83</v>
      </c>
    </row>
    <row r="266" spans="1:23" x14ac:dyDescent="0.35">
      <c r="A266" s="1" t="s">
        <v>801</v>
      </c>
      <c r="B266" s="1" t="s">
        <v>574</v>
      </c>
      <c r="C266">
        <v>52</v>
      </c>
      <c r="D266" s="1" t="s">
        <v>25</v>
      </c>
      <c r="E266" s="1" t="s">
        <v>72</v>
      </c>
      <c r="F266" s="1" t="s">
        <v>227</v>
      </c>
      <c r="G266" s="1" t="s">
        <v>802</v>
      </c>
      <c r="H266" s="2">
        <v>45686</v>
      </c>
      <c r="I266" s="1" t="s">
        <v>29</v>
      </c>
      <c r="J266" s="1" t="s">
        <v>147</v>
      </c>
      <c r="K266" s="1" t="s">
        <v>174</v>
      </c>
      <c r="L266" s="1" t="s">
        <v>66</v>
      </c>
      <c r="M266" s="1" t="s">
        <v>183</v>
      </c>
      <c r="N266">
        <v>129528.18</v>
      </c>
      <c r="O266">
        <v>74382.77</v>
      </c>
      <c r="P266">
        <v>9190.9</v>
      </c>
      <c r="Q266">
        <v>6</v>
      </c>
      <c r="R266">
        <v>163</v>
      </c>
      <c r="S266">
        <v>5</v>
      </c>
      <c r="T266" s="1" t="s">
        <v>46</v>
      </c>
      <c r="U266" s="1" t="s">
        <v>33</v>
      </c>
      <c r="V266" s="1" t="s">
        <v>47</v>
      </c>
      <c r="W266" s="1" t="s">
        <v>103</v>
      </c>
    </row>
    <row r="267" spans="1:23" x14ac:dyDescent="0.35">
      <c r="A267" s="1" t="s">
        <v>803</v>
      </c>
      <c r="B267" s="1" t="s">
        <v>558</v>
      </c>
      <c r="C267">
        <v>73</v>
      </c>
      <c r="D267" s="1" t="s">
        <v>33</v>
      </c>
      <c r="E267" s="1" t="s">
        <v>192</v>
      </c>
      <c r="F267" s="1" t="s">
        <v>193</v>
      </c>
      <c r="G267" s="1" t="s">
        <v>804</v>
      </c>
      <c r="H267" s="2">
        <v>45579</v>
      </c>
      <c r="I267" s="1" t="s">
        <v>277</v>
      </c>
      <c r="J267" s="1" t="s">
        <v>90</v>
      </c>
      <c r="K267" s="1" t="s">
        <v>116</v>
      </c>
      <c r="L267" s="1" t="s">
        <v>32</v>
      </c>
      <c r="M267" s="1" t="s">
        <v>57</v>
      </c>
      <c r="N267">
        <v>184993.49</v>
      </c>
      <c r="O267">
        <v>37217.339999999997</v>
      </c>
      <c r="P267">
        <v>52809.66</v>
      </c>
      <c r="Q267">
        <v>1</v>
      </c>
      <c r="R267">
        <v>84</v>
      </c>
      <c r="S267">
        <v>4.8</v>
      </c>
      <c r="T267" s="1" t="s">
        <v>154</v>
      </c>
      <c r="U267" s="1" t="s">
        <v>58</v>
      </c>
      <c r="V267" s="1" t="s">
        <v>68</v>
      </c>
      <c r="W267" s="1" t="s">
        <v>33</v>
      </c>
    </row>
    <row r="268" spans="1:23" x14ac:dyDescent="0.35">
      <c r="A268" s="1" t="s">
        <v>805</v>
      </c>
      <c r="B268" s="1" t="s">
        <v>456</v>
      </c>
      <c r="C268">
        <v>4</v>
      </c>
      <c r="D268" s="1" t="s">
        <v>39</v>
      </c>
      <c r="E268" s="1" t="s">
        <v>33</v>
      </c>
      <c r="F268" s="1" t="s">
        <v>135</v>
      </c>
      <c r="G268" s="1" t="s">
        <v>806</v>
      </c>
      <c r="H268" s="2">
        <v>45477</v>
      </c>
      <c r="I268" s="1" t="s">
        <v>33</v>
      </c>
      <c r="J268" s="1" t="s">
        <v>54</v>
      </c>
      <c r="K268" s="1" t="s">
        <v>208</v>
      </c>
      <c r="L268" s="1" t="s">
        <v>66</v>
      </c>
      <c r="M268" s="1" t="s">
        <v>142</v>
      </c>
      <c r="N268">
        <v>402607.63</v>
      </c>
      <c r="O268">
        <v>0</v>
      </c>
      <c r="P268">
        <v>75976.39</v>
      </c>
      <c r="Q268">
        <v>5</v>
      </c>
      <c r="R268">
        <v>179</v>
      </c>
      <c r="S268">
        <v>2.2999999999999998</v>
      </c>
      <c r="T268" s="1" t="s">
        <v>34</v>
      </c>
      <c r="U268" s="1" t="s">
        <v>58</v>
      </c>
      <c r="V268" s="1" t="s">
        <v>130</v>
      </c>
      <c r="W268" s="1" t="s">
        <v>179</v>
      </c>
    </row>
    <row r="269" spans="1:23" x14ac:dyDescent="0.35">
      <c r="A269" s="1" t="s">
        <v>807</v>
      </c>
      <c r="B269" s="1" t="s">
        <v>624</v>
      </c>
      <c r="C269">
        <v>18</v>
      </c>
      <c r="D269" s="1" t="s">
        <v>106</v>
      </c>
      <c r="E269" s="1" t="s">
        <v>263</v>
      </c>
      <c r="F269" s="1" t="s">
        <v>227</v>
      </c>
      <c r="G269" s="1" t="s">
        <v>808</v>
      </c>
      <c r="H269" s="2">
        <v>46056</v>
      </c>
      <c r="I269" s="1" t="s">
        <v>173</v>
      </c>
      <c r="J269" s="1" t="s">
        <v>54</v>
      </c>
      <c r="K269" s="1" t="s">
        <v>174</v>
      </c>
      <c r="L269" s="1" t="s">
        <v>33</v>
      </c>
      <c r="M269" s="1" t="s">
        <v>93</v>
      </c>
      <c r="N269">
        <v>189911.06</v>
      </c>
      <c r="O269">
        <v>22299.14</v>
      </c>
      <c r="P269">
        <v>68389.820000000007</v>
      </c>
      <c r="Q269">
        <v>2</v>
      </c>
      <c r="R269">
        <v>193</v>
      </c>
      <c r="S269">
        <v>5</v>
      </c>
      <c r="T269" s="1" t="s">
        <v>94</v>
      </c>
      <c r="U269" s="1" t="s">
        <v>95</v>
      </c>
      <c r="V269" s="1" t="s">
        <v>33</v>
      </c>
      <c r="W269" s="1" t="s">
        <v>131</v>
      </c>
    </row>
    <row r="270" spans="1:23" x14ac:dyDescent="0.35">
      <c r="A270" s="1" t="s">
        <v>809</v>
      </c>
      <c r="B270" s="1" t="s">
        <v>810</v>
      </c>
      <c r="C270">
        <v>38</v>
      </c>
      <c r="D270" s="1" t="s">
        <v>106</v>
      </c>
      <c r="E270" s="1" t="s">
        <v>72</v>
      </c>
      <c r="F270" s="1" t="s">
        <v>56</v>
      </c>
      <c r="G270" s="1" t="s">
        <v>811</v>
      </c>
      <c r="H270" s="2">
        <v>45585</v>
      </c>
      <c r="I270" s="1" t="s">
        <v>33</v>
      </c>
      <c r="J270" s="1" t="s">
        <v>137</v>
      </c>
      <c r="K270" s="1" t="s">
        <v>33</v>
      </c>
      <c r="L270" s="1" t="s">
        <v>33</v>
      </c>
      <c r="M270" s="1" t="s">
        <v>142</v>
      </c>
      <c r="N270">
        <v>0</v>
      </c>
      <c r="O270">
        <v>9853.25</v>
      </c>
      <c r="P270">
        <v>73945.55</v>
      </c>
      <c r="Q270">
        <v>2</v>
      </c>
      <c r="R270">
        <v>216</v>
      </c>
      <c r="S270">
        <v>2.1</v>
      </c>
      <c r="T270" s="1" t="s">
        <v>33</v>
      </c>
      <c r="U270" s="1" t="s">
        <v>33</v>
      </c>
      <c r="V270" s="1" t="s">
        <v>164</v>
      </c>
      <c r="W270" s="1" t="s">
        <v>33</v>
      </c>
    </row>
    <row r="271" spans="1:23" x14ac:dyDescent="0.35">
      <c r="A271" s="1" t="s">
        <v>812</v>
      </c>
      <c r="B271" s="1" t="s">
        <v>530</v>
      </c>
      <c r="C271">
        <v>42</v>
      </c>
      <c r="D271" s="1" t="s">
        <v>39</v>
      </c>
      <c r="E271" s="1" t="s">
        <v>86</v>
      </c>
      <c r="F271" s="1" t="s">
        <v>120</v>
      </c>
      <c r="G271" s="1" t="s">
        <v>813</v>
      </c>
      <c r="H271" s="2">
        <v>45879</v>
      </c>
      <c r="I271" s="1" t="s">
        <v>100</v>
      </c>
      <c r="J271" s="1" t="s">
        <v>152</v>
      </c>
      <c r="K271" s="1" t="s">
        <v>31</v>
      </c>
      <c r="L271" s="1" t="s">
        <v>66</v>
      </c>
      <c r="M271" s="1" t="s">
        <v>74</v>
      </c>
      <c r="N271">
        <v>259222.56</v>
      </c>
      <c r="O271">
        <v>9759.91</v>
      </c>
      <c r="P271">
        <v>57721.83</v>
      </c>
      <c r="Q271">
        <v>2</v>
      </c>
      <c r="R271">
        <v>59</v>
      </c>
      <c r="S271">
        <v>3.7</v>
      </c>
      <c r="T271" s="1" t="s">
        <v>94</v>
      </c>
      <c r="U271" s="1" t="s">
        <v>58</v>
      </c>
      <c r="V271" s="1" t="s">
        <v>164</v>
      </c>
      <c r="W271" s="1" t="s">
        <v>179</v>
      </c>
    </row>
    <row r="272" spans="1:23" x14ac:dyDescent="0.35">
      <c r="A272" s="1" t="s">
        <v>814</v>
      </c>
      <c r="B272" s="1" t="s">
        <v>815</v>
      </c>
      <c r="C272">
        <v>43</v>
      </c>
      <c r="D272" s="1" t="s">
        <v>78</v>
      </c>
      <c r="E272" s="1" t="s">
        <v>192</v>
      </c>
      <c r="F272" s="1" t="s">
        <v>33</v>
      </c>
      <c r="G272" s="1" t="s">
        <v>816</v>
      </c>
      <c r="H272" s="2">
        <v>45719</v>
      </c>
      <c r="I272" s="1" t="s">
        <v>273</v>
      </c>
      <c r="J272" s="1" t="s">
        <v>147</v>
      </c>
      <c r="K272" s="1" t="s">
        <v>208</v>
      </c>
      <c r="L272" s="1" t="s">
        <v>32</v>
      </c>
      <c r="M272" s="1" t="s">
        <v>33</v>
      </c>
      <c r="N272">
        <v>158905.98000000001</v>
      </c>
      <c r="O272">
        <v>27259.75</v>
      </c>
      <c r="P272">
        <v>42349.11</v>
      </c>
      <c r="Q272">
        <v>4</v>
      </c>
      <c r="R272">
        <v>67</v>
      </c>
      <c r="T272" s="1" t="s">
        <v>154</v>
      </c>
      <c r="U272" s="1" t="s">
        <v>35</v>
      </c>
      <c r="V272" s="1" t="s">
        <v>68</v>
      </c>
      <c r="W272" s="1" t="s">
        <v>83</v>
      </c>
    </row>
    <row r="273" spans="1:23" x14ac:dyDescent="0.35">
      <c r="A273" s="1" t="s">
        <v>817</v>
      </c>
      <c r="B273" s="1" t="s">
        <v>206</v>
      </c>
      <c r="C273">
        <v>55</v>
      </c>
      <c r="D273" s="1" t="s">
        <v>25</v>
      </c>
      <c r="E273" s="1" t="s">
        <v>157</v>
      </c>
      <c r="F273" s="1" t="s">
        <v>63</v>
      </c>
      <c r="G273" s="1" t="s">
        <v>651</v>
      </c>
      <c r="H273" s="2">
        <v>45707</v>
      </c>
      <c r="I273" s="1" t="s">
        <v>277</v>
      </c>
      <c r="J273" s="1" t="s">
        <v>87</v>
      </c>
      <c r="K273" s="1" t="s">
        <v>116</v>
      </c>
      <c r="L273" s="1" t="s">
        <v>56</v>
      </c>
      <c r="M273" s="1" t="s">
        <v>93</v>
      </c>
      <c r="N273">
        <v>178632.76</v>
      </c>
      <c r="O273">
        <v>47423.86</v>
      </c>
      <c r="P273">
        <v>34985.42</v>
      </c>
      <c r="Q273">
        <v>9</v>
      </c>
      <c r="R273">
        <v>182</v>
      </c>
      <c r="S273">
        <v>4.2</v>
      </c>
      <c r="T273" s="1" t="s">
        <v>33</v>
      </c>
      <c r="U273" s="1" t="s">
        <v>101</v>
      </c>
      <c r="V273" s="1" t="s">
        <v>164</v>
      </c>
      <c r="W273" s="1" t="s">
        <v>33</v>
      </c>
    </row>
    <row r="274" spans="1:23" x14ac:dyDescent="0.35">
      <c r="A274" s="1" t="s">
        <v>818</v>
      </c>
      <c r="B274" s="1" t="s">
        <v>753</v>
      </c>
      <c r="C274">
        <v>52</v>
      </c>
      <c r="D274" s="1" t="s">
        <v>106</v>
      </c>
      <c r="E274" s="1" t="s">
        <v>33</v>
      </c>
      <c r="F274" s="1" t="s">
        <v>41</v>
      </c>
      <c r="G274" s="1" t="s">
        <v>819</v>
      </c>
      <c r="H274" s="2">
        <v>46231</v>
      </c>
      <c r="I274" s="1" t="s">
        <v>29</v>
      </c>
      <c r="J274" s="1" t="s">
        <v>54</v>
      </c>
      <c r="K274" s="1" t="s">
        <v>91</v>
      </c>
      <c r="L274" s="1" t="s">
        <v>32</v>
      </c>
      <c r="M274" s="1" t="s">
        <v>33</v>
      </c>
      <c r="N274">
        <v>77.34</v>
      </c>
      <c r="O274">
        <v>1830.81</v>
      </c>
      <c r="P274">
        <v>9182.25</v>
      </c>
      <c r="Q274">
        <v>2</v>
      </c>
      <c r="R274">
        <v>105</v>
      </c>
      <c r="S274">
        <v>5</v>
      </c>
      <c r="T274" s="1" t="s">
        <v>33</v>
      </c>
      <c r="U274" s="1" t="s">
        <v>149</v>
      </c>
      <c r="V274" s="1" t="s">
        <v>33</v>
      </c>
      <c r="W274" s="1" t="s">
        <v>179</v>
      </c>
    </row>
    <row r="275" spans="1:23" x14ac:dyDescent="0.35">
      <c r="A275" s="1" t="s">
        <v>820</v>
      </c>
      <c r="B275" s="1" t="s">
        <v>821</v>
      </c>
      <c r="C275">
        <v>57</v>
      </c>
      <c r="D275" s="1" t="s">
        <v>106</v>
      </c>
      <c r="E275" s="1" t="s">
        <v>134</v>
      </c>
      <c r="F275" s="1" t="s">
        <v>63</v>
      </c>
      <c r="G275" s="1" t="s">
        <v>822</v>
      </c>
      <c r="H275" s="2">
        <v>45622</v>
      </c>
      <c r="I275" s="1" t="s">
        <v>277</v>
      </c>
      <c r="J275" s="1" t="s">
        <v>242</v>
      </c>
      <c r="K275" s="1" t="s">
        <v>148</v>
      </c>
      <c r="L275" s="1" t="s">
        <v>44</v>
      </c>
      <c r="M275" s="1" t="s">
        <v>123</v>
      </c>
      <c r="N275">
        <v>290118.23</v>
      </c>
      <c r="O275">
        <v>0</v>
      </c>
      <c r="P275">
        <v>28719.79</v>
      </c>
      <c r="Q275">
        <v>15</v>
      </c>
      <c r="R275">
        <v>35</v>
      </c>
      <c r="S275">
        <v>2.9</v>
      </c>
      <c r="T275" s="1" t="s">
        <v>154</v>
      </c>
      <c r="U275" s="1" t="s">
        <v>149</v>
      </c>
      <c r="V275" s="1" t="s">
        <v>47</v>
      </c>
      <c r="W275" s="1" t="s">
        <v>12</v>
      </c>
    </row>
    <row r="276" spans="1:23" x14ac:dyDescent="0.35">
      <c r="A276" s="1" t="s">
        <v>823</v>
      </c>
      <c r="B276" s="1" t="s">
        <v>202</v>
      </c>
      <c r="C276">
        <v>32</v>
      </c>
      <c r="D276" s="1" t="s">
        <v>39</v>
      </c>
      <c r="E276" s="1" t="s">
        <v>107</v>
      </c>
      <c r="F276" s="1" t="s">
        <v>193</v>
      </c>
      <c r="G276" s="1" t="s">
        <v>824</v>
      </c>
      <c r="H276" s="2">
        <v>46078</v>
      </c>
      <c r="I276" s="1" t="s">
        <v>257</v>
      </c>
      <c r="J276" s="1" t="s">
        <v>43</v>
      </c>
      <c r="K276" s="1" t="s">
        <v>148</v>
      </c>
      <c r="L276" s="1" t="s">
        <v>92</v>
      </c>
      <c r="M276" s="1" t="s">
        <v>74</v>
      </c>
      <c r="N276">
        <v>0</v>
      </c>
      <c r="O276">
        <v>48697.760000000002</v>
      </c>
      <c r="P276">
        <v>12817.71</v>
      </c>
      <c r="Q276">
        <v>2</v>
      </c>
      <c r="R276">
        <v>112</v>
      </c>
      <c r="S276">
        <v>5</v>
      </c>
      <c r="T276" s="1" t="s">
        <v>46</v>
      </c>
      <c r="U276" s="1" t="s">
        <v>33</v>
      </c>
      <c r="V276" s="1" t="s">
        <v>33</v>
      </c>
      <c r="W276" s="1" t="s">
        <v>179</v>
      </c>
    </row>
    <row r="277" spans="1:23" x14ac:dyDescent="0.35">
      <c r="A277" s="1" t="s">
        <v>825</v>
      </c>
      <c r="B277" s="1" t="s">
        <v>826</v>
      </c>
      <c r="C277">
        <v>0</v>
      </c>
      <c r="D277" s="1" t="s">
        <v>71</v>
      </c>
      <c r="E277" s="1" t="s">
        <v>33</v>
      </c>
      <c r="F277" s="1" t="s">
        <v>98</v>
      </c>
      <c r="G277" s="1" t="s">
        <v>827</v>
      </c>
      <c r="H277" s="2">
        <v>45725</v>
      </c>
      <c r="I277" s="1" t="s">
        <v>29</v>
      </c>
      <c r="J277" s="1" t="s">
        <v>242</v>
      </c>
      <c r="K277" s="1" t="s">
        <v>116</v>
      </c>
      <c r="L277" s="1" t="s">
        <v>33</v>
      </c>
      <c r="M277" s="1" t="s">
        <v>123</v>
      </c>
      <c r="N277">
        <v>179959.41</v>
      </c>
      <c r="O277">
        <v>57523.99</v>
      </c>
      <c r="P277">
        <v>103750.42</v>
      </c>
      <c r="Q277">
        <v>1</v>
      </c>
      <c r="R277">
        <v>2</v>
      </c>
      <c r="S277">
        <v>4.3</v>
      </c>
      <c r="T277" s="1" t="s">
        <v>34</v>
      </c>
      <c r="U277" s="1" t="s">
        <v>58</v>
      </c>
      <c r="V277" s="1" t="s">
        <v>33</v>
      </c>
      <c r="W277" s="1" t="s">
        <v>59</v>
      </c>
    </row>
    <row r="278" spans="1:23" x14ac:dyDescent="0.35">
      <c r="A278" s="1" t="s">
        <v>828</v>
      </c>
      <c r="B278" s="1" t="s">
        <v>829</v>
      </c>
      <c r="C278">
        <v>40</v>
      </c>
      <c r="D278" s="1" t="s">
        <v>33</v>
      </c>
      <c r="E278" s="1" t="s">
        <v>112</v>
      </c>
      <c r="F278" s="1" t="s">
        <v>227</v>
      </c>
      <c r="G278" s="1" t="s">
        <v>830</v>
      </c>
      <c r="H278" s="2">
        <v>45931</v>
      </c>
      <c r="I278" s="1" t="s">
        <v>273</v>
      </c>
      <c r="J278" s="1" t="s">
        <v>147</v>
      </c>
      <c r="K278" s="1" t="s">
        <v>148</v>
      </c>
      <c r="L278" s="1" t="s">
        <v>92</v>
      </c>
      <c r="M278" s="1" t="s">
        <v>169</v>
      </c>
      <c r="N278">
        <v>590208.06999999995</v>
      </c>
      <c r="O278">
        <v>0</v>
      </c>
      <c r="P278">
        <v>52612.19</v>
      </c>
      <c r="Q278">
        <v>2</v>
      </c>
      <c r="R278">
        <v>130</v>
      </c>
      <c r="S278">
        <v>5</v>
      </c>
      <c r="T278" s="1" t="s">
        <v>46</v>
      </c>
      <c r="U278" s="1" t="s">
        <v>35</v>
      </c>
      <c r="V278" s="1" t="s">
        <v>164</v>
      </c>
      <c r="W278" s="1" t="s">
        <v>12</v>
      </c>
    </row>
    <row r="279" spans="1:23" x14ac:dyDescent="0.35">
      <c r="A279" s="1" t="s">
        <v>831</v>
      </c>
      <c r="B279" s="1" t="s">
        <v>580</v>
      </c>
      <c r="C279">
        <v>49</v>
      </c>
      <c r="D279" s="1" t="s">
        <v>50</v>
      </c>
      <c r="E279" s="1" t="s">
        <v>33</v>
      </c>
      <c r="F279" s="1" t="s">
        <v>227</v>
      </c>
      <c r="G279" s="1" t="s">
        <v>194</v>
      </c>
      <c r="H279" s="2">
        <v>45725</v>
      </c>
      <c r="I279" s="1" t="s">
        <v>53</v>
      </c>
      <c r="J279" s="1" t="s">
        <v>80</v>
      </c>
      <c r="K279" s="1" t="s">
        <v>33</v>
      </c>
      <c r="L279" s="1" t="s">
        <v>44</v>
      </c>
      <c r="M279" s="1" t="s">
        <v>74</v>
      </c>
      <c r="N279">
        <v>165169.20000000001</v>
      </c>
      <c r="O279">
        <v>36728.17</v>
      </c>
      <c r="P279">
        <v>34704.230000000003</v>
      </c>
      <c r="Q279">
        <v>3</v>
      </c>
      <c r="R279">
        <v>141</v>
      </c>
      <c r="S279">
        <v>3.2</v>
      </c>
      <c r="T279" s="1" t="s">
        <v>154</v>
      </c>
      <c r="U279" s="1" t="s">
        <v>149</v>
      </c>
      <c r="V279" s="1" t="s">
        <v>130</v>
      </c>
      <c r="W279" s="1" t="s">
        <v>12</v>
      </c>
    </row>
    <row r="280" spans="1:23" x14ac:dyDescent="0.35">
      <c r="A280" s="1" t="s">
        <v>832</v>
      </c>
      <c r="B280" s="1" t="s">
        <v>833</v>
      </c>
      <c r="C280">
        <v>42</v>
      </c>
      <c r="D280" s="1" t="s">
        <v>119</v>
      </c>
      <c r="E280" s="1" t="s">
        <v>157</v>
      </c>
      <c r="F280" s="1" t="s">
        <v>98</v>
      </c>
      <c r="G280" s="1" t="s">
        <v>834</v>
      </c>
      <c r="H280" s="2">
        <v>46144</v>
      </c>
      <c r="I280" s="1" t="s">
        <v>257</v>
      </c>
      <c r="J280" s="1" t="s">
        <v>115</v>
      </c>
      <c r="K280" s="1" t="s">
        <v>33</v>
      </c>
      <c r="L280" s="1" t="s">
        <v>56</v>
      </c>
      <c r="M280" s="1" t="s">
        <v>183</v>
      </c>
      <c r="N280">
        <v>377647.04</v>
      </c>
      <c r="O280">
        <v>28715.16</v>
      </c>
      <c r="P280">
        <v>0</v>
      </c>
      <c r="Q280">
        <v>4</v>
      </c>
      <c r="R280">
        <v>189</v>
      </c>
      <c r="S280">
        <v>2.5</v>
      </c>
      <c r="T280" s="1" t="s">
        <v>33</v>
      </c>
      <c r="U280" s="1" t="s">
        <v>95</v>
      </c>
      <c r="V280" s="1" t="s">
        <v>68</v>
      </c>
      <c r="W280" s="1" t="s">
        <v>33</v>
      </c>
    </row>
    <row r="281" spans="1:23" x14ac:dyDescent="0.35">
      <c r="A281" s="1" t="s">
        <v>835</v>
      </c>
      <c r="B281" s="1" t="s">
        <v>697</v>
      </c>
      <c r="C281">
        <v>29</v>
      </c>
      <c r="D281" s="1" t="s">
        <v>106</v>
      </c>
      <c r="E281" s="1" t="s">
        <v>192</v>
      </c>
      <c r="F281" s="1" t="s">
        <v>56</v>
      </c>
      <c r="G281" s="1" t="s">
        <v>836</v>
      </c>
      <c r="H281" s="2">
        <v>46251</v>
      </c>
      <c r="I281" s="1" t="s">
        <v>53</v>
      </c>
      <c r="J281" s="1" t="s">
        <v>80</v>
      </c>
      <c r="K281" s="1" t="s">
        <v>174</v>
      </c>
      <c r="L281" s="1" t="s">
        <v>92</v>
      </c>
      <c r="M281" s="1" t="s">
        <v>57</v>
      </c>
      <c r="N281">
        <v>412421.33</v>
      </c>
      <c r="O281">
        <v>0</v>
      </c>
      <c r="P281">
        <v>139132.46</v>
      </c>
      <c r="Q281">
        <v>1</v>
      </c>
      <c r="R281">
        <v>174</v>
      </c>
      <c r="S281">
        <v>4</v>
      </c>
      <c r="T281" s="1" t="s">
        <v>94</v>
      </c>
      <c r="U281" s="1" t="s">
        <v>33</v>
      </c>
      <c r="V281" s="1" t="s">
        <v>164</v>
      </c>
      <c r="W281" s="1" t="s">
        <v>59</v>
      </c>
    </row>
    <row r="282" spans="1:23" x14ac:dyDescent="0.35">
      <c r="A282" s="1" t="s">
        <v>837</v>
      </c>
      <c r="B282" s="1" t="s">
        <v>315</v>
      </c>
      <c r="C282">
        <v>49</v>
      </c>
      <c r="D282" s="1" t="s">
        <v>78</v>
      </c>
      <c r="E282" s="1" t="s">
        <v>263</v>
      </c>
      <c r="F282" s="1" t="s">
        <v>193</v>
      </c>
      <c r="G282" s="1" t="s">
        <v>489</v>
      </c>
      <c r="H282" s="2">
        <v>45310</v>
      </c>
      <c r="I282" s="1" t="s">
        <v>127</v>
      </c>
      <c r="J282" s="1" t="s">
        <v>115</v>
      </c>
      <c r="K282" s="1" t="s">
        <v>33</v>
      </c>
      <c r="L282" s="1" t="s">
        <v>32</v>
      </c>
      <c r="M282" s="1" t="s">
        <v>169</v>
      </c>
      <c r="N282">
        <v>292957.14</v>
      </c>
      <c r="O282">
        <v>46130.39</v>
      </c>
      <c r="P282">
        <v>61668.13</v>
      </c>
      <c r="Q282">
        <v>3</v>
      </c>
      <c r="R282">
        <v>101</v>
      </c>
      <c r="S282">
        <v>3.4</v>
      </c>
      <c r="T282" s="1" t="s">
        <v>34</v>
      </c>
      <c r="U282" s="1" t="s">
        <v>33</v>
      </c>
      <c r="V282" s="1" t="s">
        <v>102</v>
      </c>
      <c r="W282" s="1" t="s">
        <v>103</v>
      </c>
    </row>
    <row r="283" spans="1:23" x14ac:dyDescent="0.35">
      <c r="A283" s="1" t="s">
        <v>838</v>
      </c>
      <c r="B283" s="1" t="s">
        <v>644</v>
      </c>
      <c r="C283">
        <v>38</v>
      </c>
      <c r="D283" s="1" t="s">
        <v>119</v>
      </c>
      <c r="E283" s="1" t="s">
        <v>51</v>
      </c>
      <c r="F283" s="1" t="s">
        <v>227</v>
      </c>
      <c r="G283" s="1" t="s">
        <v>354</v>
      </c>
      <c r="H283" s="2">
        <v>46071</v>
      </c>
      <c r="I283" s="1" t="s">
        <v>277</v>
      </c>
      <c r="J283" s="1" t="s">
        <v>80</v>
      </c>
      <c r="K283" s="1" t="s">
        <v>174</v>
      </c>
      <c r="L283" s="1" t="s">
        <v>33</v>
      </c>
      <c r="M283" s="1" t="s">
        <v>57</v>
      </c>
      <c r="N283">
        <v>378727.81</v>
      </c>
      <c r="O283">
        <v>44838.92</v>
      </c>
      <c r="P283">
        <v>0</v>
      </c>
      <c r="Q283">
        <v>2</v>
      </c>
      <c r="R283">
        <v>144</v>
      </c>
      <c r="S283">
        <v>4</v>
      </c>
      <c r="T283" s="1" t="s">
        <v>33</v>
      </c>
      <c r="U283" s="1" t="s">
        <v>33</v>
      </c>
      <c r="V283" s="1" t="s">
        <v>68</v>
      </c>
      <c r="W283" s="1" t="s">
        <v>103</v>
      </c>
    </row>
    <row r="284" spans="1:23" x14ac:dyDescent="0.35">
      <c r="A284" s="1" t="s">
        <v>839</v>
      </c>
      <c r="B284" s="1" t="s">
        <v>840</v>
      </c>
      <c r="C284">
        <v>34</v>
      </c>
      <c r="D284" s="1" t="s">
        <v>78</v>
      </c>
      <c r="E284" s="1" t="s">
        <v>263</v>
      </c>
      <c r="F284" s="1" t="s">
        <v>44</v>
      </c>
      <c r="G284" s="1" t="s">
        <v>841</v>
      </c>
      <c r="H284" s="2">
        <v>46036</v>
      </c>
      <c r="I284" s="1" t="s">
        <v>33</v>
      </c>
      <c r="J284" s="1" t="s">
        <v>80</v>
      </c>
      <c r="K284" s="1" t="s">
        <v>91</v>
      </c>
      <c r="L284" s="1" t="s">
        <v>92</v>
      </c>
      <c r="M284" s="1" t="s">
        <v>93</v>
      </c>
      <c r="N284">
        <v>377375.78</v>
      </c>
      <c r="O284">
        <v>53688.160000000003</v>
      </c>
      <c r="P284">
        <v>21813.67</v>
      </c>
      <c r="Q284">
        <v>3</v>
      </c>
      <c r="R284">
        <v>125</v>
      </c>
      <c r="S284">
        <v>2.4</v>
      </c>
      <c r="T284" s="1" t="s">
        <v>33</v>
      </c>
      <c r="U284" s="1" t="s">
        <v>33</v>
      </c>
      <c r="V284" s="1" t="s">
        <v>68</v>
      </c>
      <c r="W284" s="1" t="s">
        <v>83</v>
      </c>
    </row>
    <row r="285" spans="1:23" x14ac:dyDescent="0.35">
      <c r="A285" s="1" t="s">
        <v>842</v>
      </c>
      <c r="B285" s="1" t="s">
        <v>432</v>
      </c>
      <c r="C285">
        <v>29</v>
      </c>
      <c r="D285" s="1" t="s">
        <v>78</v>
      </c>
      <c r="E285" s="1" t="s">
        <v>86</v>
      </c>
      <c r="F285" s="1" t="s">
        <v>145</v>
      </c>
      <c r="G285" s="1" t="s">
        <v>843</v>
      </c>
      <c r="H285" s="2">
        <v>45860</v>
      </c>
      <c r="I285" s="1" t="s">
        <v>277</v>
      </c>
      <c r="J285" s="1" t="s">
        <v>137</v>
      </c>
      <c r="K285" s="1" t="s">
        <v>153</v>
      </c>
      <c r="L285" s="1" t="s">
        <v>33</v>
      </c>
      <c r="M285" s="1" t="s">
        <v>93</v>
      </c>
      <c r="N285">
        <v>340735.09</v>
      </c>
      <c r="O285">
        <v>53828.13</v>
      </c>
      <c r="P285">
        <v>60392.56</v>
      </c>
      <c r="Q285">
        <v>1</v>
      </c>
      <c r="R285">
        <v>149</v>
      </c>
      <c r="S285">
        <v>4.4000000000000004</v>
      </c>
      <c r="T285" s="1" t="s">
        <v>33</v>
      </c>
      <c r="U285" s="1" t="s">
        <v>67</v>
      </c>
      <c r="V285" s="1" t="s">
        <v>33</v>
      </c>
      <c r="W285" s="1" t="s">
        <v>36</v>
      </c>
    </row>
    <row r="286" spans="1:23" x14ac:dyDescent="0.35">
      <c r="A286" s="1" t="s">
        <v>844</v>
      </c>
      <c r="B286" s="1" t="s">
        <v>262</v>
      </c>
      <c r="C286">
        <v>52</v>
      </c>
      <c r="D286" s="1" t="s">
        <v>71</v>
      </c>
      <c r="E286" s="1" t="s">
        <v>72</v>
      </c>
      <c r="F286" s="1" t="s">
        <v>27</v>
      </c>
      <c r="G286" s="1" t="s">
        <v>845</v>
      </c>
      <c r="H286" s="2">
        <v>45929</v>
      </c>
      <c r="I286" s="1" t="s">
        <v>221</v>
      </c>
      <c r="J286" s="1" t="s">
        <v>65</v>
      </c>
      <c r="K286" s="1" t="s">
        <v>174</v>
      </c>
      <c r="L286" s="1" t="s">
        <v>33</v>
      </c>
      <c r="M286" s="1" t="s">
        <v>129</v>
      </c>
      <c r="N286">
        <v>332057.33</v>
      </c>
      <c r="O286">
        <v>48857.279999999999</v>
      </c>
      <c r="P286">
        <v>80667.399999999994</v>
      </c>
      <c r="Q286">
        <v>2</v>
      </c>
      <c r="R286">
        <v>148</v>
      </c>
      <c r="T286" s="1" t="s">
        <v>94</v>
      </c>
      <c r="U286" s="1" t="s">
        <v>33</v>
      </c>
      <c r="V286" s="1" t="s">
        <v>102</v>
      </c>
      <c r="W286" s="1" t="s">
        <v>12</v>
      </c>
    </row>
    <row r="287" spans="1:23" x14ac:dyDescent="0.35">
      <c r="A287" s="1" t="s">
        <v>846</v>
      </c>
      <c r="B287" s="1" t="s">
        <v>415</v>
      </c>
      <c r="C287">
        <v>42</v>
      </c>
      <c r="D287" s="1" t="s">
        <v>78</v>
      </c>
      <c r="E287" s="1" t="s">
        <v>192</v>
      </c>
      <c r="F287" s="1" t="s">
        <v>33</v>
      </c>
      <c r="G287" s="1" t="s">
        <v>847</v>
      </c>
      <c r="H287" s="2">
        <v>46258</v>
      </c>
      <c r="I287" s="1" t="s">
        <v>53</v>
      </c>
      <c r="J287" s="1" t="s">
        <v>30</v>
      </c>
      <c r="K287" s="1" t="s">
        <v>55</v>
      </c>
      <c r="L287" s="1" t="s">
        <v>56</v>
      </c>
      <c r="M287" s="1" t="s">
        <v>183</v>
      </c>
      <c r="N287">
        <v>96537.55</v>
      </c>
      <c r="O287">
        <v>25923.33</v>
      </c>
      <c r="P287">
        <v>22652.92</v>
      </c>
      <c r="Q287">
        <v>6</v>
      </c>
      <c r="R287">
        <v>44</v>
      </c>
      <c r="S287">
        <v>3.5</v>
      </c>
      <c r="T287" s="1" t="s">
        <v>33</v>
      </c>
      <c r="U287" s="1" t="s">
        <v>95</v>
      </c>
      <c r="V287" s="1" t="s">
        <v>33</v>
      </c>
      <c r="W287" s="1" t="s">
        <v>33</v>
      </c>
    </row>
    <row r="288" spans="1:23" x14ac:dyDescent="0.35">
      <c r="A288" s="1" t="s">
        <v>848</v>
      </c>
      <c r="B288" s="1" t="s">
        <v>233</v>
      </c>
      <c r="C288">
        <v>36</v>
      </c>
      <c r="D288" s="1" t="s">
        <v>71</v>
      </c>
      <c r="E288" s="1" t="s">
        <v>33</v>
      </c>
      <c r="F288" s="1" t="s">
        <v>33</v>
      </c>
      <c r="G288" s="1" t="s">
        <v>849</v>
      </c>
      <c r="H288" s="2">
        <v>45306</v>
      </c>
      <c r="I288" s="1" t="s">
        <v>221</v>
      </c>
      <c r="J288" s="1" t="s">
        <v>137</v>
      </c>
      <c r="K288" s="1" t="s">
        <v>33</v>
      </c>
      <c r="L288" s="1" t="s">
        <v>33</v>
      </c>
      <c r="M288" s="1" t="s">
        <v>169</v>
      </c>
      <c r="N288">
        <v>0</v>
      </c>
      <c r="O288">
        <v>35332.339999999997</v>
      </c>
      <c r="P288">
        <v>45036.160000000003</v>
      </c>
      <c r="Q288">
        <v>1</v>
      </c>
      <c r="R288">
        <v>33</v>
      </c>
      <c r="S288">
        <v>4.5999999999999996</v>
      </c>
      <c r="T288" s="1" t="s">
        <v>33</v>
      </c>
      <c r="U288" s="1" t="s">
        <v>33</v>
      </c>
      <c r="V288" s="1" t="s">
        <v>47</v>
      </c>
      <c r="W288" s="1" t="s">
        <v>36</v>
      </c>
    </row>
    <row r="289" spans="1:23" x14ac:dyDescent="0.35">
      <c r="A289" s="1" t="s">
        <v>850</v>
      </c>
      <c r="B289" s="1" t="s">
        <v>363</v>
      </c>
      <c r="C289">
        <v>7</v>
      </c>
      <c r="D289" s="1" t="s">
        <v>25</v>
      </c>
      <c r="E289" s="1" t="s">
        <v>157</v>
      </c>
      <c r="F289" s="1" t="s">
        <v>27</v>
      </c>
      <c r="G289" s="1" t="s">
        <v>851</v>
      </c>
      <c r="H289" s="2">
        <v>45829</v>
      </c>
      <c r="I289" s="1" t="s">
        <v>257</v>
      </c>
      <c r="J289" s="1" t="s">
        <v>54</v>
      </c>
      <c r="K289" s="1" t="s">
        <v>128</v>
      </c>
      <c r="L289" s="1" t="s">
        <v>32</v>
      </c>
      <c r="M289" s="1" t="s">
        <v>183</v>
      </c>
      <c r="N289">
        <v>113218.53</v>
      </c>
      <c r="O289">
        <v>10771.44</v>
      </c>
      <c r="P289">
        <v>16802.91</v>
      </c>
      <c r="Q289">
        <v>6</v>
      </c>
      <c r="R289">
        <v>157</v>
      </c>
      <c r="S289">
        <v>3.4</v>
      </c>
      <c r="T289" s="1" t="s">
        <v>33</v>
      </c>
      <c r="U289" s="1" t="s">
        <v>101</v>
      </c>
      <c r="V289" s="1" t="s">
        <v>102</v>
      </c>
      <c r="W289" s="1" t="s">
        <v>33</v>
      </c>
    </row>
    <row r="290" spans="1:23" x14ac:dyDescent="0.35">
      <c r="A290" s="1" t="s">
        <v>852</v>
      </c>
      <c r="B290" s="1" t="s">
        <v>443</v>
      </c>
      <c r="C290">
        <v>0</v>
      </c>
      <c r="D290" s="1" t="s">
        <v>39</v>
      </c>
      <c r="E290" s="1" t="s">
        <v>157</v>
      </c>
      <c r="F290" s="1" t="s">
        <v>135</v>
      </c>
      <c r="G290" s="1" t="s">
        <v>853</v>
      </c>
      <c r="H290" s="2">
        <v>46013</v>
      </c>
      <c r="I290" s="1" t="s">
        <v>100</v>
      </c>
      <c r="J290" s="1" t="s">
        <v>54</v>
      </c>
      <c r="K290" s="1" t="s">
        <v>128</v>
      </c>
      <c r="L290" s="1" t="s">
        <v>92</v>
      </c>
      <c r="M290" s="1" t="s">
        <v>74</v>
      </c>
      <c r="N290">
        <v>308958.52</v>
      </c>
      <c r="O290">
        <v>0</v>
      </c>
      <c r="P290">
        <v>46797.98</v>
      </c>
      <c r="Q290">
        <v>2</v>
      </c>
      <c r="R290">
        <v>115</v>
      </c>
      <c r="S290">
        <v>5</v>
      </c>
      <c r="T290" s="1" t="s">
        <v>94</v>
      </c>
      <c r="U290" s="1" t="s">
        <v>149</v>
      </c>
      <c r="V290" s="1" t="s">
        <v>33</v>
      </c>
      <c r="W290" s="1" t="s">
        <v>103</v>
      </c>
    </row>
    <row r="291" spans="1:23" x14ac:dyDescent="0.35">
      <c r="A291" s="1" t="s">
        <v>854</v>
      </c>
      <c r="B291" s="1" t="s">
        <v>726</v>
      </c>
      <c r="C291">
        <v>0</v>
      </c>
      <c r="D291" s="1" t="s">
        <v>71</v>
      </c>
      <c r="E291" s="1" t="s">
        <v>112</v>
      </c>
      <c r="F291" s="1" t="s">
        <v>87</v>
      </c>
      <c r="G291" s="1" t="s">
        <v>855</v>
      </c>
      <c r="H291" s="2">
        <v>45624</v>
      </c>
      <c r="I291" s="1" t="s">
        <v>29</v>
      </c>
      <c r="J291" s="1" t="s">
        <v>152</v>
      </c>
      <c r="K291" s="1" t="s">
        <v>91</v>
      </c>
      <c r="L291" s="1" t="s">
        <v>56</v>
      </c>
      <c r="M291" s="1" t="s">
        <v>129</v>
      </c>
      <c r="N291">
        <v>245738.94</v>
      </c>
      <c r="O291">
        <v>75012.78</v>
      </c>
      <c r="P291">
        <v>82168.39</v>
      </c>
      <c r="Q291">
        <v>1</v>
      </c>
      <c r="R291">
        <v>110</v>
      </c>
      <c r="S291">
        <v>3.1</v>
      </c>
      <c r="T291" s="1" t="s">
        <v>33</v>
      </c>
      <c r="U291" s="1" t="s">
        <v>95</v>
      </c>
      <c r="V291" s="1" t="s">
        <v>164</v>
      </c>
      <c r="W291" s="1" t="s">
        <v>36</v>
      </c>
    </row>
    <row r="292" spans="1:23" x14ac:dyDescent="0.35">
      <c r="A292" s="1" t="s">
        <v>856</v>
      </c>
      <c r="B292" s="1" t="s">
        <v>857</v>
      </c>
      <c r="C292">
        <v>21</v>
      </c>
      <c r="D292" s="1" t="s">
        <v>50</v>
      </c>
      <c r="E292" s="1" t="s">
        <v>33</v>
      </c>
      <c r="F292" s="1" t="s">
        <v>145</v>
      </c>
      <c r="G292" s="1" t="s">
        <v>858</v>
      </c>
      <c r="H292" s="2">
        <v>45319</v>
      </c>
      <c r="I292" s="1" t="s">
        <v>277</v>
      </c>
      <c r="J292" s="1" t="s">
        <v>87</v>
      </c>
      <c r="K292" s="1" t="s">
        <v>148</v>
      </c>
      <c r="L292" s="1" t="s">
        <v>56</v>
      </c>
      <c r="M292" s="1" t="s">
        <v>74</v>
      </c>
      <c r="N292">
        <v>286690.09000000003</v>
      </c>
      <c r="O292">
        <v>42636.75</v>
      </c>
      <c r="P292">
        <v>76806.3</v>
      </c>
      <c r="Q292">
        <v>5</v>
      </c>
      <c r="R292">
        <v>301</v>
      </c>
      <c r="S292">
        <v>4.2</v>
      </c>
      <c r="T292" s="1" t="s">
        <v>33</v>
      </c>
      <c r="U292" s="1" t="s">
        <v>149</v>
      </c>
      <c r="V292" s="1" t="s">
        <v>164</v>
      </c>
      <c r="W292" s="1" t="s">
        <v>103</v>
      </c>
    </row>
    <row r="293" spans="1:23" x14ac:dyDescent="0.35">
      <c r="A293" s="1" t="s">
        <v>859</v>
      </c>
      <c r="B293" s="1" t="s">
        <v>860</v>
      </c>
      <c r="C293">
        <v>42</v>
      </c>
      <c r="D293" s="1" t="s">
        <v>25</v>
      </c>
      <c r="E293" s="1" t="s">
        <v>72</v>
      </c>
      <c r="F293" s="1" t="s">
        <v>98</v>
      </c>
      <c r="G293" s="1" t="s">
        <v>861</v>
      </c>
      <c r="H293" s="2">
        <v>45516</v>
      </c>
      <c r="I293" s="1" t="s">
        <v>33</v>
      </c>
      <c r="J293" s="1" t="s">
        <v>147</v>
      </c>
      <c r="K293" s="1" t="s">
        <v>91</v>
      </c>
      <c r="L293" s="1" t="s">
        <v>33</v>
      </c>
      <c r="M293" s="1" t="s">
        <v>33</v>
      </c>
      <c r="N293">
        <v>0</v>
      </c>
      <c r="O293">
        <v>12632.17</v>
      </c>
      <c r="P293">
        <v>32721.53</v>
      </c>
      <c r="Q293">
        <v>2</v>
      </c>
      <c r="R293">
        <v>55</v>
      </c>
      <c r="S293">
        <v>3.9</v>
      </c>
      <c r="T293" s="1" t="s">
        <v>33</v>
      </c>
      <c r="U293" s="1" t="s">
        <v>35</v>
      </c>
      <c r="V293" s="1" t="s">
        <v>164</v>
      </c>
      <c r="W293" s="1" t="s">
        <v>36</v>
      </c>
    </row>
    <row r="294" spans="1:23" x14ac:dyDescent="0.35">
      <c r="A294" s="1" t="s">
        <v>862</v>
      </c>
      <c r="B294" s="1" t="s">
        <v>863</v>
      </c>
      <c r="C294">
        <v>67</v>
      </c>
      <c r="D294" s="1" t="s">
        <v>39</v>
      </c>
      <c r="E294" s="1" t="s">
        <v>134</v>
      </c>
      <c r="F294" s="1" t="s">
        <v>33</v>
      </c>
      <c r="G294" s="1" t="s">
        <v>864</v>
      </c>
      <c r="H294" s="2">
        <v>46129</v>
      </c>
      <c r="I294" s="1" t="s">
        <v>127</v>
      </c>
      <c r="J294" s="1" t="s">
        <v>33</v>
      </c>
      <c r="K294" s="1" t="s">
        <v>33</v>
      </c>
      <c r="L294" s="1" t="s">
        <v>32</v>
      </c>
      <c r="M294" s="1" t="s">
        <v>33</v>
      </c>
      <c r="N294">
        <v>220028.99</v>
      </c>
      <c r="O294">
        <v>29767.49</v>
      </c>
      <c r="P294">
        <v>35163.160000000003</v>
      </c>
      <c r="Q294">
        <v>1</v>
      </c>
      <c r="R294">
        <v>106</v>
      </c>
      <c r="S294">
        <v>4.8</v>
      </c>
      <c r="T294" s="1" t="s">
        <v>94</v>
      </c>
      <c r="U294" s="1" t="s">
        <v>95</v>
      </c>
      <c r="V294" s="1" t="s">
        <v>33</v>
      </c>
      <c r="W294" s="1" t="s">
        <v>36</v>
      </c>
    </row>
    <row r="295" spans="1:23" x14ac:dyDescent="0.35">
      <c r="A295" s="1" t="s">
        <v>865</v>
      </c>
      <c r="B295" s="1" t="s">
        <v>353</v>
      </c>
      <c r="C295">
        <v>28</v>
      </c>
      <c r="D295" s="1" t="s">
        <v>119</v>
      </c>
      <c r="E295" s="1" t="s">
        <v>62</v>
      </c>
      <c r="F295" s="1" t="s">
        <v>41</v>
      </c>
      <c r="G295" s="1" t="s">
        <v>866</v>
      </c>
      <c r="H295" s="2">
        <v>45449</v>
      </c>
      <c r="I295" s="1" t="s">
        <v>33</v>
      </c>
      <c r="J295" s="1" t="s">
        <v>87</v>
      </c>
      <c r="K295" s="1" t="s">
        <v>31</v>
      </c>
      <c r="L295" s="1" t="s">
        <v>56</v>
      </c>
      <c r="M295" s="1" t="s">
        <v>93</v>
      </c>
      <c r="N295">
        <v>177478.36</v>
      </c>
      <c r="O295">
        <v>0</v>
      </c>
      <c r="P295">
        <v>20422.259999999998</v>
      </c>
      <c r="Q295">
        <v>1</v>
      </c>
      <c r="R295">
        <v>59</v>
      </c>
      <c r="S295">
        <v>4.8</v>
      </c>
      <c r="T295" s="1" t="s">
        <v>94</v>
      </c>
      <c r="U295" s="1" t="s">
        <v>33</v>
      </c>
      <c r="V295" s="1" t="s">
        <v>102</v>
      </c>
      <c r="W295" s="1" t="s">
        <v>83</v>
      </c>
    </row>
    <row r="296" spans="1:23" x14ac:dyDescent="0.35">
      <c r="A296" s="1" t="s">
        <v>867</v>
      </c>
      <c r="B296" s="1" t="s">
        <v>587</v>
      </c>
      <c r="C296">
        <v>47</v>
      </c>
      <c r="D296" s="1" t="s">
        <v>39</v>
      </c>
      <c r="E296" s="1" t="s">
        <v>177</v>
      </c>
      <c r="F296" s="1" t="s">
        <v>98</v>
      </c>
      <c r="G296" s="1" t="s">
        <v>868</v>
      </c>
      <c r="H296" s="2">
        <v>45808</v>
      </c>
      <c r="I296" s="1" t="s">
        <v>277</v>
      </c>
      <c r="J296" s="1" t="s">
        <v>137</v>
      </c>
      <c r="K296" s="1" t="s">
        <v>174</v>
      </c>
      <c r="L296" s="1" t="s">
        <v>32</v>
      </c>
      <c r="M296" s="1" t="s">
        <v>142</v>
      </c>
      <c r="N296">
        <v>339125.71</v>
      </c>
      <c r="O296">
        <v>26565.71</v>
      </c>
      <c r="P296">
        <v>56713.95</v>
      </c>
      <c r="Q296">
        <v>3</v>
      </c>
      <c r="R296">
        <v>87</v>
      </c>
      <c r="S296">
        <v>4</v>
      </c>
      <c r="T296" s="1" t="s">
        <v>34</v>
      </c>
      <c r="U296" s="1" t="s">
        <v>101</v>
      </c>
      <c r="V296" s="1" t="s">
        <v>68</v>
      </c>
      <c r="W296" s="1" t="s">
        <v>59</v>
      </c>
    </row>
    <row r="297" spans="1:23" x14ac:dyDescent="0.35">
      <c r="A297" s="1" t="s">
        <v>869</v>
      </c>
      <c r="B297" s="1" t="s">
        <v>695</v>
      </c>
      <c r="C297">
        <v>0</v>
      </c>
      <c r="D297" s="1" t="s">
        <v>39</v>
      </c>
      <c r="E297" s="1" t="s">
        <v>219</v>
      </c>
      <c r="F297" s="1" t="s">
        <v>227</v>
      </c>
      <c r="G297" s="1" t="s">
        <v>816</v>
      </c>
      <c r="H297" s="2">
        <v>45717</v>
      </c>
      <c r="I297" s="1" t="s">
        <v>159</v>
      </c>
      <c r="J297" s="1" t="s">
        <v>152</v>
      </c>
      <c r="K297" s="1" t="s">
        <v>122</v>
      </c>
      <c r="L297" s="1" t="s">
        <v>92</v>
      </c>
      <c r="M297" s="1" t="s">
        <v>33</v>
      </c>
      <c r="N297">
        <v>201200.92</v>
      </c>
      <c r="O297">
        <v>65568.7</v>
      </c>
      <c r="P297">
        <v>72786.460000000006</v>
      </c>
      <c r="Q297">
        <v>2</v>
      </c>
      <c r="R297">
        <v>167</v>
      </c>
      <c r="S297">
        <v>5</v>
      </c>
      <c r="T297" s="1" t="s">
        <v>33</v>
      </c>
      <c r="U297" s="1" t="s">
        <v>58</v>
      </c>
      <c r="V297" s="1" t="s">
        <v>102</v>
      </c>
      <c r="W297" s="1" t="s">
        <v>103</v>
      </c>
    </row>
    <row r="298" spans="1:23" x14ac:dyDescent="0.35">
      <c r="A298" s="1" t="s">
        <v>870</v>
      </c>
      <c r="B298" s="1" t="s">
        <v>871</v>
      </c>
      <c r="C298">
        <v>47</v>
      </c>
      <c r="D298" s="1" t="s">
        <v>78</v>
      </c>
      <c r="E298" s="1" t="s">
        <v>86</v>
      </c>
      <c r="F298" s="1" t="s">
        <v>120</v>
      </c>
      <c r="G298" s="1" t="s">
        <v>872</v>
      </c>
      <c r="H298" s="2">
        <v>45677</v>
      </c>
      <c r="I298" s="1" t="s">
        <v>53</v>
      </c>
      <c r="J298" s="1" t="s">
        <v>30</v>
      </c>
      <c r="K298" s="1" t="s">
        <v>81</v>
      </c>
      <c r="L298" s="1" t="s">
        <v>32</v>
      </c>
      <c r="M298" s="1" t="s">
        <v>93</v>
      </c>
      <c r="N298">
        <v>133528.73000000001</v>
      </c>
      <c r="O298">
        <v>22098.18</v>
      </c>
      <c r="P298">
        <v>63473.13</v>
      </c>
      <c r="Q298">
        <v>3</v>
      </c>
      <c r="R298">
        <v>185</v>
      </c>
      <c r="S298">
        <v>3.5</v>
      </c>
      <c r="T298" s="1" t="s">
        <v>154</v>
      </c>
      <c r="U298" s="1" t="s">
        <v>67</v>
      </c>
      <c r="V298" s="1" t="s">
        <v>75</v>
      </c>
      <c r="W298" s="1" t="s">
        <v>12</v>
      </c>
    </row>
    <row r="299" spans="1:23" x14ac:dyDescent="0.35">
      <c r="A299" s="1" t="s">
        <v>873</v>
      </c>
      <c r="B299" s="1" t="s">
        <v>139</v>
      </c>
      <c r="C299">
        <v>43</v>
      </c>
      <c r="D299" s="1" t="s">
        <v>50</v>
      </c>
      <c r="E299" s="1" t="s">
        <v>33</v>
      </c>
      <c r="F299" s="1" t="s">
        <v>193</v>
      </c>
      <c r="G299" s="1" t="s">
        <v>874</v>
      </c>
      <c r="H299" s="2">
        <v>46062</v>
      </c>
      <c r="I299" s="1" t="s">
        <v>277</v>
      </c>
      <c r="J299" s="1" t="s">
        <v>80</v>
      </c>
      <c r="K299" s="1" t="s">
        <v>208</v>
      </c>
      <c r="L299" s="1" t="s">
        <v>33</v>
      </c>
      <c r="M299" s="1" t="s">
        <v>169</v>
      </c>
      <c r="N299">
        <v>304168.94</v>
      </c>
      <c r="O299">
        <v>0</v>
      </c>
      <c r="P299">
        <v>0</v>
      </c>
      <c r="Q299">
        <v>2</v>
      </c>
      <c r="R299">
        <v>53</v>
      </c>
      <c r="S299">
        <v>2.1</v>
      </c>
      <c r="T299" s="1" t="s">
        <v>34</v>
      </c>
      <c r="U299" s="1" t="s">
        <v>95</v>
      </c>
      <c r="V299" s="1" t="s">
        <v>164</v>
      </c>
      <c r="W299" s="1" t="s">
        <v>83</v>
      </c>
    </row>
    <row r="300" spans="1:23" x14ac:dyDescent="0.35">
      <c r="A300" s="1" t="s">
        <v>875</v>
      </c>
      <c r="B300" s="1" t="s">
        <v>558</v>
      </c>
      <c r="C300">
        <v>39</v>
      </c>
      <c r="D300" s="1" t="s">
        <v>25</v>
      </c>
      <c r="E300" s="1" t="s">
        <v>62</v>
      </c>
      <c r="F300" s="1" t="s">
        <v>56</v>
      </c>
      <c r="G300" s="1" t="s">
        <v>876</v>
      </c>
      <c r="H300" s="2">
        <v>45302</v>
      </c>
      <c r="I300" s="1" t="s">
        <v>29</v>
      </c>
      <c r="J300" s="1" t="s">
        <v>65</v>
      </c>
      <c r="K300" s="1" t="s">
        <v>33</v>
      </c>
      <c r="L300" s="1" t="s">
        <v>33</v>
      </c>
      <c r="M300" s="1" t="s">
        <v>74</v>
      </c>
      <c r="N300">
        <v>156545.22</v>
      </c>
      <c r="O300">
        <v>66311.69</v>
      </c>
      <c r="P300">
        <v>54802.34</v>
      </c>
      <c r="Q300">
        <v>2</v>
      </c>
      <c r="R300">
        <v>117</v>
      </c>
      <c r="S300">
        <v>4.5</v>
      </c>
      <c r="T300" s="1" t="s">
        <v>33</v>
      </c>
      <c r="U300" s="1" t="s">
        <v>35</v>
      </c>
      <c r="V300" s="1" t="s">
        <v>130</v>
      </c>
      <c r="W300" s="1" t="s">
        <v>12</v>
      </c>
    </row>
    <row r="301" spans="1:23" x14ac:dyDescent="0.35">
      <c r="A301" s="1" t="s">
        <v>877</v>
      </c>
      <c r="B301" s="1" t="s">
        <v>125</v>
      </c>
      <c r="C301">
        <v>65</v>
      </c>
      <c r="D301" s="1" t="s">
        <v>25</v>
      </c>
      <c r="E301" s="1" t="s">
        <v>192</v>
      </c>
      <c r="F301" s="1" t="s">
        <v>108</v>
      </c>
      <c r="G301" s="1" t="s">
        <v>878</v>
      </c>
      <c r="H301" s="2">
        <v>45789</v>
      </c>
      <c r="I301" s="1" t="s">
        <v>33</v>
      </c>
      <c r="J301" s="1" t="s">
        <v>137</v>
      </c>
      <c r="K301" s="1" t="s">
        <v>174</v>
      </c>
      <c r="L301" s="1" t="s">
        <v>33</v>
      </c>
      <c r="M301" s="1" t="s">
        <v>169</v>
      </c>
      <c r="N301">
        <v>209393</v>
      </c>
      <c r="O301">
        <v>46762.02</v>
      </c>
      <c r="P301">
        <v>12844.28</v>
      </c>
      <c r="Q301">
        <v>1</v>
      </c>
      <c r="R301">
        <v>0</v>
      </c>
      <c r="S301">
        <v>4.8</v>
      </c>
      <c r="T301" s="1" t="s">
        <v>154</v>
      </c>
      <c r="U301" s="1" t="s">
        <v>101</v>
      </c>
      <c r="V301" s="1" t="s">
        <v>164</v>
      </c>
      <c r="W301" s="1" t="s">
        <v>103</v>
      </c>
    </row>
    <row r="302" spans="1:23" x14ac:dyDescent="0.35">
      <c r="A302" s="1" t="s">
        <v>879</v>
      </c>
      <c r="B302" s="1" t="s">
        <v>713</v>
      </c>
      <c r="C302">
        <v>23</v>
      </c>
      <c r="D302" s="1" t="s">
        <v>50</v>
      </c>
      <c r="E302" s="1" t="s">
        <v>51</v>
      </c>
      <c r="F302" s="1" t="s">
        <v>56</v>
      </c>
      <c r="G302" s="1" t="s">
        <v>880</v>
      </c>
      <c r="H302" s="2">
        <v>45537</v>
      </c>
      <c r="I302" s="1" t="s">
        <v>29</v>
      </c>
      <c r="J302" s="1" t="s">
        <v>33</v>
      </c>
      <c r="K302" s="1" t="s">
        <v>128</v>
      </c>
      <c r="L302" s="1" t="s">
        <v>33</v>
      </c>
      <c r="M302" s="1" t="s">
        <v>169</v>
      </c>
      <c r="N302">
        <v>98247.17</v>
      </c>
      <c r="O302">
        <v>58135.87</v>
      </c>
      <c r="P302">
        <v>9317.64</v>
      </c>
      <c r="Q302">
        <v>4</v>
      </c>
      <c r="R302">
        <v>218</v>
      </c>
      <c r="S302">
        <v>2.5</v>
      </c>
      <c r="T302" s="1" t="s">
        <v>94</v>
      </c>
      <c r="U302" s="1" t="s">
        <v>58</v>
      </c>
      <c r="V302" s="1" t="s">
        <v>68</v>
      </c>
      <c r="W302" s="1" t="s">
        <v>83</v>
      </c>
    </row>
    <row r="303" spans="1:23" x14ac:dyDescent="0.35">
      <c r="A303" s="1" t="s">
        <v>881</v>
      </c>
      <c r="B303" s="1" t="s">
        <v>716</v>
      </c>
      <c r="C303">
        <v>35</v>
      </c>
      <c r="D303" s="1" t="s">
        <v>71</v>
      </c>
      <c r="E303" s="1" t="s">
        <v>134</v>
      </c>
      <c r="F303" s="1" t="s">
        <v>108</v>
      </c>
      <c r="G303" s="1" t="s">
        <v>444</v>
      </c>
      <c r="H303" s="2">
        <v>46189</v>
      </c>
      <c r="I303" s="1" t="s">
        <v>277</v>
      </c>
      <c r="J303" s="1" t="s">
        <v>115</v>
      </c>
      <c r="K303" s="1" t="s">
        <v>153</v>
      </c>
      <c r="L303" s="1" t="s">
        <v>92</v>
      </c>
      <c r="M303" s="1" t="s">
        <v>74</v>
      </c>
      <c r="N303">
        <v>304446.24</v>
      </c>
      <c r="O303">
        <v>16397.150000000001</v>
      </c>
      <c r="P303">
        <v>40116.21</v>
      </c>
      <c r="Q303">
        <v>4</v>
      </c>
      <c r="R303">
        <v>98</v>
      </c>
      <c r="S303">
        <v>2.4</v>
      </c>
      <c r="T303" s="1" t="s">
        <v>33</v>
      </c>
      <c r="U303" s="1" t="s">
        <v>149</v>
      </c>
      <c r="V303" s="1" t="s">
        <v>68</v>
      </c>
      <c r="W303" s="1" t="s">
        <v>83</v>
      </c>
    </row>
    <row r="304" spans="1:23" x14ac:dyDescent="0.35">
      <c r="A304" s="1" t="s">
        <v>882</v>
      </c>
      <c r="B304" s="1" t="s">
        <v>883</v>
      </c>
      <c r="C304">
        <v>31</v>
      </c>
      <c r="D304" s="1" t="s">
        <v>78</v>
      </c>
      <c r="E304" s="1" t="s">
        <v>134</v>
      </c>
      <c r="F304" s="1" t="s">
        <v>98</v>
      </c>
      <c r="G304" s="1" t="s">
        <v>884</v>
      </c>
      <c r="H304" s="2">
        <v>45833</v>
      </c>
      <c r="I304" s="1" t="s">
        <v>277</v>
      </c>
      <c r="J304" s="1" t="s">
        <v>65</v>
      </c>
      <c r="K304" s="1" t="s">
        <v>81</v>
      </c>
      <c r="L304" s="1" t="s">
        <v>32</v>
      </c>
      <c r="M304" s="1" t="s">
        <v>74</v>
      </c>
      <c r="N304">
        <v>187996.01</v>
      </c>
      <c r="O304">
        <v>5141.2700000000004</v>
      </c>
      <c r="P304">
        <v>0</v>
      </c>
      <c r="Q304">
        <v>5</v>
      </c>
      <c r="R304">
        <v>80</v>
      </c>
      <c r="S304">
        <v>5</v>
      </c>
      <c r="T304" s="1" t="s">
        <v>46</v>
      </c>
      <c r="U304" s="1" t="s">
        <v>35</v>
      </c>
      <c r="V304" s="1" t="s">
        <v>102</v>
      </c>
      <c r="W304" s="1" t="s">
        <v>103</v>
      </c>
    </row>
    <row r="305" spans="1:23" x14ac:dyDescent="0.35">
      <c r="A305" s="1" t="s">
        <v>885</v>
      </c>
      <c r="B305" s="1" t="s">
        <v>377</v>
      </c>
      <c r="C305">
        <v>42</v>
      </c>
      <c r="D305" s="1" t="s">
        <v>50</v>
      </c>
      <c r="E305" s="1" t="s">
        <v>177</v>
      </c>
      <c r="F305" s="1" t="s">
        <v>98</v>
      </c>
      <c r="G305" s="1" t="s">
        <v>351</v>
      </c>
      <c r="H305" s="2">
        <v>46060</v>
      </c>
      <c r="I305" s="1" t="s">
        <v>159</v>
      </c>
      <c r="J305" s="1" t="s">
        <v>87</v>
      </c>
      <c r="K305" s="1" t="s">
        <v>163</v>
      </c>
      <c r="L305" s="1" t="s">
        <v>32</v>
      </c>
      <c r="M305" s="1" t="s">
        <v>169</v>
      </c>
      <c r="N305">
        <v>183195.28</v>
      </c>
      <c r="O305">
        <v>30561.65</v>
      </c>
      <c r="P305">
        <v>61413.57</v>
      </c>
      <c r="Q305">
        <v>5</v>
      </c>
      <c r="R305">
        <v>6</v>
      </c>
      <c r="S305">
        <v>5</v>
      </c>
      <c r="T305" s="1" t="s">
        <v>46</v>
      </c>
      <c r="U305" s="1" t="s">
        <v>58</v>
      </c>
      <c r="V305" s="1" t="s">
        <v>68</v>
      </c>
      <c r="W305" s="1" t="s">
        <v>59</v>
      </c>
    </row>
    <row r="306" spans="1:23" x14ac:dyDescent="0.35">
      <c r="A306" s="1" t="s">
        <v>886</v>
      </c>
      <c r="B306" s="1" t="s">
        <v>653</v>
      </c>
      <c r="C306">
        <v>58</v>
      </c>
      <c r="D306" s="1" t="s">
        <v>106</v>
      </c>
      <c r="E306" s="1" t="s">
        <v>192</v>
      </c>
      <c r="F306" s="1" t="s">
        <v>33</v>
      </c>
      <c r="G306" s="1" t="s">
        <v>887</v>
      </c>
      <c r="H306" s="2">
        <v>45777</v>
      </c>
      <c r="I306" s="1" t="s">
        <v>89</v>
      </c>
      <c r="J306" s="1" t="s">
        <v>137</v>
      </c>
      <c r="K306" s="1" t="s">
        <v>91</v>
      </c>
      <c r="L306" s="1" t="s">
        <v>32</v>
      </c>
      <c r="M306" s="1" t="s">
        <v>45</v>
      </c>
      <c r="N306">
        <v>281386.59999999998</v>
      </c>
      <c r="O306">
        <v>30490.42</v>
      </c>
      <c r="P306">
        <v>65185.84</v>
      </c>
      <c r="Q306">
        <v>5</v>
      </c>
      <c r="R306">
        <v>139</v>
      </c>
      <c r="S306">
        <v>3.2</v>
      </c>
      <c r="T306" s="1" t="s">
        <v>34</v>
      </c>
      <c r="U306" s="1" t="s">
        <v>101</v>
      </c>
      <c r="V306" s="1" t="s">
        <v>130</v>
      </c>
      <c r="W306" s="1" t="s">
        <v>179</v>
      </c>
    </row>
    <row r="307" spans="1:23" x14ac:dyDescent="0.35">
      <c r="A307" s="1" t="s">
        <v>888</v>
      </c>
      <c r="B307" s="1" t="s">
        <v>415</v>
      </c>
      <c r="C307">
        <v>45</v>
      </c>
      <c r="D307" s="1" t="s">
        <v>33</v>
      </c>
      <c r="E307" s="1" t="s">
        <v>33</v>
      </c>
      <c r="F307" s="1" t="s">
        <v>27</v>
      </c>
      <c r="G307" s="1" t="s">
        <v>889</v>
      </c>
      <c r="H307" s="2">
        <v>45475</v>
      </c>
      <c r="I307" s="1" t="s">
        <v>235</v>
      </c>
      <c r="J307" s="1" t="s">
        <v>33</v>
      </c>
      <c r="K307" s="1" t="s">
        <v>91</v>
      </c>
      <c r="L307" s="1" t="s">
        <v>32</v>
      </c>
      <c r="M307" s="1" t="s">
        <v>129</v>
      </c>
      <c r="N307">
        <v>436862.82</v>
      </c>
      <c r="O307">
        <v>0</v>
      </c>
      <c r="P307">
        <v>974.24</v>
      </c>
      <c r="Q307">
        <v>2</v>
      </c>
      <c r="R307">
        <v>107</v>
      </c>
      <c r="S307">
        <v>3.8</v>
      </c>
      <c r="T307" s="1" t="s">
        <v>154</v>
      </c>
      <c r="U307" s="1" t="s">
        <v>95</v>
      </c>
      <c r="V307" s="1" t="s">
        <v>33</v>
      </c>
      <c r="W307" s="1" t="s">
        <v>103</v>
      </c>
    </row>
    <row r="308" spans="1:23" x14ac:dyDescent="0.35">
      <c r="A308" s="1" t="s">
        <v>890</v>
      </c>
      <c r="B308" s="1" t="s">
        <v>891</v>
      </c>
      <c r="C308">
        <v>48</v>
      </c>
      <c r="D308" s="1" t="s">
        <v>25</v>
      </c>
      <c r="E308" s="1" t="s">
        <v>203</v>
      </c>
      <c r="F308" s="1" t="s">
        <v>41</v>
      </c>
      <c r="G308" s="1" t="s">
        <v>892</v>
      </c>
      <c r="H308" s="2">
        <v>45334</v>
      </c>
      <c r="I308" s="1" t="s">
        <v>53</v>
      </c>
      <c r="J308" s="1" t="s">
        <v>33</v>
      </c>
      <c r="K308" s="1" t="s">
        <v>31</v>
      </c>
      <c r="L308" s="1" t="s">
        <v>92</v>
      </c>
      <c r="M308" s="1" t="s">
        <v>123</v>
      </c>
      <c r="N308">
        <v>188751.68</v>
      </c>
      <c r="O308">
        <v>67246.59</v>
      </c>
      <c r="P308">
        <v>0</v>
      </c>
      <c r="Q308">
        <v>3</v>
      </c>
      <c r="R308">
        <v>32</v>
      </c>
      <c r="S308">
        <v>3.6</v>
      </c>
      <c r="T308" s="1" t="s">
        <v>33</v>
      </c>
      <c r="U308" s="1" t="s">
        <v>95</v>
      </c>
      <c r="V308" s="1" t="s">
        <v>33</v>
      </c>
      <c r="W308" s="1" t="s">
        <v>33</v>
      </c>
    </row>
    <row r="309" spans="1:23" x14ac:dyDescent="0.35">
      <c r="A309" s="1" t="s">
        <v>893</v>
      </c>
      <c r="B309" s="1" t="s">
        <v>199</v>
      </c>
      <c r="C309">
        <v>39</v>
      </c>
      <c r="D309" s="1" t="s">
        <v>78</v>
      </c>
      <c r="E309" s="1" t="s">
        <v>134</v>
      </c>
      <c r="F309" s="1" t="s">
        <v>63</v>
      </c>
      <c r="G309" s="1" t="s">
        <v>894</v>
      </c>
      <c r="H309" s="2">
        <v>45765</v>
      </c>
      <c r="I309" s="1" t="s">
        <v>53</v>
      </c>
      <c r="J309" s="1" t="s">
        <v>80</v>
      </c>
      <c r="K309" s="1" t="s">
        <v>174</v>
      </c>
      <c r="L309" s="1" t="s">
        <v>32</v>
      </c>
      <c r="M309" s="1" t="s">
        <v>142</v>
      </c>
      <c r="N309">
        <v>452605.82</v>
      </c>
      <c r="O309">
        <v>30522.16</v>
      </c>
      <c r="P309">
        <v>51921.03</v>
      </c>
      <c r="Q309">
        <v>1</v>
      </c>
      <c r="R309">
        <v>0</v>
      </c>
      <c r="S309">
        <v>2.9</v>
      </c>
      <c r="T309" s="1" t="s">
        <v>34</v>
      </c>
      <c r="U309" s="1" t="s">
        <v>33</v>
      </c>
      <c r="V309" s="1" t="s">
        <v>75</v>
      </c>
      <c r="W309" s="1" t="s">
        <v>33</v>
      </c>
    </row>
    <row r="310" spans="1:23" x14ac:dyDescent="0.35">
      <c r="A310" s="1" t="s">
        <v>895</v>
      </c>
      <c r="B310" s="1" t="s">
        <v>815</v>
      </c>
      <c r="C310">
        <v>36</v>
      </c>
      <c r="D310" s="1" t="s">
        <v>33</v>
      </c>
      <c r="E310" s="1" t="s">
        <v>26</v>
      </c>
      <c r="F310" s="1" t="s">
        <v>135</v>
      </c>
      <c r="G310" s="1" t="s">
        <v>855</v>
      </c>
      <c r="H310" s="2">
        <v>45625</v>
      </c>
      <c r="I310" s="1" t="s">
        <v>53</v>
      </c>
      <c r="J310" s="1" t="s">
        <v>90</v>
      </c>
      <c r="K310" s="1" t="s">
        <v>208</v>
      </c>
      <c r="L310" s="1" t="s">
        <v>32</v>
      </c>
      <c r="M310" s="1" t="s">
        <v>142</v>
      </c>
      <c r="N310">
        <v>399430.13</v>
      </c>
      <c r="O310">
        <v>43942.28</v>
      </c>
      <c r="P310">
        <v>11656.26</v>
      </c>
      <c r="Q310">
        <v>2</v>
      </c>
      <c r="R310">
        <v>113</v>
      </c>
      <c r="S310">
        <v>4.3</v>
      </c>
      <c r="T310" s="1" t="s">
        <v>33</v>
      </c>
      <c r="U310" s="1" t="s">
        <v>58</v>
      </c>
      <c r="V310" s="1" t="s">
        <v>47</v>
      </c>
      <c r="W310" s="1" t="s">
        <v>83</v>
      </c>
    </row>
    <row r="311" spans="1:23" x14ac:dyDescent="0.35">
      <c r="A311" s="1" t="s">
        <v>896</v>
      </c>
      <c r="B311" s="1" t="s">
        <v>344</v>
      </c>
      <c r="C311">
        <v>77</v>
      </c>
      <c r="D311" s="1" t="s">
        <v>78</v>
      </c>
      <c r="E311" s="1" t="s">
        <v>62</v>
      </c>
      <c r="F311" s="1" t="s">
        <v>145</v>
      </c>
      <c r="G311" s="1" t="s">
        <v>897</v>
      </c>
      <c r="H311" s="2">
        <v>45692</v>
      </c>
      <c r="I311" s="1" t="s">
        <v>89</v>
      </c>
      <c r="J311" s="1" t="s">
        <v>141</v>
      </c>
      <c r="K311" s="1" t="s">
        <v>33</v>
      </c>
      <c r="L311" s="1" t="s">
        <v>32</v>
      </c>
      <c r="M311" s="1" t="s">
        <v>74</v>
      </c>
      <c r="N311">
        <v>77886.81</v>
      </c>
      <c r="O311">
        <v>9728.56</v>
      </c>
      <c r="P311">
        <v>7272.66</v>
      </c>
      <c r="Q311">
        <v>7</v>
      </c>
      <c r="R311">
        <v>77</v>
      </c>
      <c r="S311">
        <v>4.3</v>
      </c>
      <c r="T311" s="1" t="s">
        <v>46</v>
      </c>
      <c r="U311" s="1" t="s">
        <v>149</v>
      </c>
      <c r="V311" s="1" t="s">
        <v>102</v>
      </c>
      <c r="W311" s="1" t="s">
        <v>83</v>
      </c>
    </row>
    <row r="312" spans="1:23" x14ac:dyDescent="0.35">
      <c r="A312" s="1" t="s">
        <v>898</v>
      </c>
      <c r="B312" s="1" t="s">
        <v>899</v>
      </c>
      <c r="C312">
        <v>41</v>
      </c>
      <c r="D312" s="1" t="s">
        <v>25</v>
      </c>
      <c r="E312" s="1" t="s">
        <v>177</v>
      </c>
      <c r="F312" s="1" t="s">
        <v>108</v>
      </c>
      <c r="G312" s="1" t="s">
        <v>900</v>
      </c>
      <c r="H312" s="2">
        <v>45483</v>
      </c>
      <c r="I312" s="1" t="s">
        <v>273</v>
      </c>
      <c r="J312" s="1" t="s">
        <v>90</v>
      </c>
      <c r="K312" s="1" t="s">
        <v>33</v>
      </c>
      <c r="L312" s="1" t="s">
        <v>66</v>
      </c>
      <c r="M312" s="1" t="s">
        <v>169</v>
      </c>
      <c r="N312">
        <v>175221.35</v>
      </c>
      <c r="O312">
        <v>33793.949999999997</v>
      </c>
      <c r="P312">
        <v>19945.71</v>
      </c>
      <c r="Q312">
        <v>6</v>
      </c>
      <c r="R312">
        <v>251</v>
      </c>
      <c r="S312">
        <v>1.6</v>
      </c>
      <c r="T312" s="1" t="s">
        <v>34</v>
      </c>
      <c r="U312" s="1" t="s">
        <v>33</v>
      </c>
      <c r="V312" s="1" t="s">
        <v>33</v>
      </c>
      <c r="W312" s="1" t="s">
        <v>33</v>
      </c>
    </row>
    <row r="313" spans="1:23" x14ac:dyDescent="0.35">
      <c r="A313" s="1" t="s">
        <v>901</v>
      </c>
      <c r="B313" s="1" t="s">
        <v>508</v>
      </c>
      <c r="C313">
        <v>87</v>
      </c>
      <c r="D313" s="1" t="s">
        <v>25</v>
      </c>
      <c r="E313" s="1" t="s">
        <v>26</v>
      </c>
      <c r="F313" s="1" t="s">
        <v>108</v>
      </c>
      <c r="G313" s="1" t="s">
        <v>902</v>
      </c>
      <c r="H313" s="2">
        <v>45747</v>
      </c>
      <c r="I313" s="1" t="s">
        <v>29</v>
      </c>
      <c r="J313" s="1" t="s">
        <v>90</v>
      </c>
      <c r="K313" s="1" t="s">
        <v>116</v>
      </c>
      <c r="L313" s="1" t="s">
        <v>92</v>
      </c>
      <c r="M313" s="1" t="s">
        <v>183</v>
      </c>
      <c r="N313">
        <v>220951.98</v>
      </c>
      <c r="O313">
        <v>25249.02</v>
      </c>
      <c r="P313">
        <v>34276.639999999999</v>
      </c>
      <c r="Q313">
        <v>3</v>
      </c>
      <c r="R313">
        <v>81</v>
      </c>
      <c r="S313">
        <v>5</v>
      </c>
      <c r="T313" s="1" t="s">
        <v>33</v>
      </c>
      <c r="U313" s="1" t="s">
        <v>149</v>
      </c>
      <c r="V313" s="1" t="s">
        <v>102</v>
      </c>
      <c r="W313" s="1" t="s">
        <v>36</v>
      </c>
    </row>
    <row r="314" spans="1:23" x14ac:dyDescent="0.35">
      <c r="A314" s="1" t="s">
        <v>903</v>
      </c>
      <c r="B314" s="1" t="s">
        <v>904</v>
      </c>
      <c r="C314">
        <v>76</v>
      </c>
      <c r="D314" s="1" t="s">
        <v>25</v>
      </c>
      <c r="E314" s="1" t="s">
        <v>51</v>
      </c>
      <c r="F314" s="1" t="s">
        <v>120</v>
      </c>
      <c r="G314" s="1" t="s">
        <v>439</v>
      </c>
      <c r="H314" s="2">
        <v>45632</v>
      </c>
      <c r="I314" s="1" t="s">
        <v>168</v>
      </c>
      <c r="J314" s="1" t="s">
        <v>147</v>
      </c>
      <c r="K314" s="1" t="s">
        <v>163</v>
      </c>
      <c r="L314" s="1" t="s">
        <v>33</v>
      </c>
      <c r="M314" s="1" t="s">
        <v>93</v>
      </c>
      <c r="N314">
        <v>20646</v>
      </c>
      <c r="O314">
        <v>23333.69</v>
      </c>
      <c r="P314">
        <v>32122.67</v>
      </c>
      <c r="Q314">
        <v>1</v>
      </c>
      <c r="R314">
        <v>139</v>
      </c>
      <c r="S314">
        <v>1.6</v>
      </c>
      <c r="T314" s="1" t="s">
        <v>34</v>
      </c>
      <c r="U314" s="1" t="s">
        <v>149</v>
      </c>
      <c r="V314" s="1" t="s">
        <v>33</v>
      </c>
      <c r="W314" s="1" t="s">
        <v>103</v>
      </c>
    </row>
    <row r="315" spans="1:23" x14ac:dyDescent="0.35">
      <c r="A315" s="1" t="s">
        <v>905</v>
      </c>
      <c r="B315" s="1" t="s">
        <v>397</v>
      </c>
      <c r="C315">
        <v>87</v>
      </c>
      <c r="D315" s="1" t="s">
        <v>25</v>
      </c>
      <c r="E315" s="1" t="s">
        <v>107</v>
      </c>
      <c r="F315" s="1" t="s">
        <v>41</v>
      </c>
      <c r="G315" s="1" t="s">
        <v>906</v>
      </c>
      <c r="H315" s="2">
        <v>45733</v>
      </c>
      <c r="I315" s="1" t="s">
        <v>277</v>
      </c>
      <c r="J315" s="1" t="s">
        <v>87</v>
      </c>
      <c r="K315" s="1" t="s">
        <v>208</v>
      </c>
      <c r="L315" s="1" t="s">
        <v>33</v>
      </c>
      <c r="M315" s="1" t="s">
        <v>93</v>
      </c>
      <c r="N315">
        <v>29155.64</v>
      </c>
      <c r="O315">
        <v>34742.65</v>
      </c>
      <c r="P315">
        <v>25140.53</v>
      </c>
      <c r="Q315">
        <v>4</v>
      </c>
      <c r="R315">
        <v>126</v>
      </c>
      <c r="S315">
        <v>3.7</v>
      </c>
      <c r="T315" s="1" t="s">
        <v>33</v>
      </c>
      <c r="U315" s="1" t="s">
        <v>33</v>
      </c>
      <c r="V315" s="1" t="s">
        <v>68</v>
      </c>
      <c r="W315" s="1" t="s">
        <v>59</v>
      </c>
    </row>
    <row r="316" spans="1:23" x14ac:dyDescent="0.35">
      <c r="A316" s="1" t="s">
        <v>907</v>
      </c>
      <c r="B316" s="1" t="s">
        <v>494</v>
      </c>
      <c r="C316">
        <v>53</v>
      </c>
      <c r="D316" s="1" t="s">
        <v>50</v>
      </c>
      <c r="E316" s="1" t="s">
        <v>134</v>
      </c>
      <c r="F316" s="1" t="s">
        <v>193</v>
      </c>
      <c r="G316" s="1" t="s">
        <v>841</v>
      </c>
      <c r="H316" s="2">
        <v>46035</v>
      </c>
      <c r="I316" s="1" t="s">
        <v>235</v>
      </c>
      <c r="J316" s="1" t="s">
        <v>242</v>
      </c>
      <c r="K316" s="1" t="s">
        <v>174</v>
      </c>
      <c r="L316" s="1" t="s">
        <v>92</v>
      </c>
      <c r="M316" s="1" t="s">
        <v>82</v>
      </c>
      <c r="N316">
        <v>472608.74</v>
      </c>
      <c r="O316">
        <v>25227.41</v>
      </c>
      <c r="P316">
        <v>66592.740000000005</v>
      </c>
      <c r="Q316">
        <v>2</v>
      </c>
      <c r="R316">
        <v>0</v>
      </c>
      <c r="S316">
        <v>2.5</v>
      </c>
      <c r="T316" s="1" t="s">
        <v>33</v>
      </c>
      <c r="U316" s="1" t="s">
        <v>149</v>
      </c>
      <c r="V316" s="1" t="s">
        <v>33</v>
      </c>
      <c r="W316" s="1" t="s">
        <v>33</v>
      </c>
    </row>
    <row r="317" spans="1:23" x14ac:dyDescent="0.35">
      <c r="A317" s="1" t="s">
        <v>908</v>
      </c>
      <c r="B317" s="1" t="s">
        <v>909</v>
      </c>
      <c r="C317">
        <v>75</v>
      </c>
      <c r="D317" s="1" t="s">
        <v>119</v>
      </c>
      <c r="E317" s="1" t="s">
        <v>157</v>
      </c>
      <c r="F317" s="1" t="s">
        <v>44</v>
      </c>
      <c r="G317" s="1" t="s">
        <v>910</v>
      </c>
      <c r="H317" s="2">
        <v>45494</v>
      </c>
      <c r="I317" s="1" t="s">
        <v>53</v>
      </c>
      <c r="J317" s="1" t="s">
        <v>65</v>
      </c>
      <c r="K317" s="1" t="s">
        <v>33</v>
      </c>
      <c r="L317" s="1" t="s">
        <v>44</v>
      </c>
      <c r="M317" s="1" t="s">
        <v>33</v>
      </c>
      <c r="N317">
        <v>269785.87</v>
      </c>
      <c r="O317">
        <v>22173.55</v>
      </c>
      <c r="P317">
        <v>44978.74</v>
      </c>
      <c r="Q317">
        <v>4</v>
      </c>
      <c r="R317">
        <v>1</v>
      </c>
      <c r="S317">
        <v>4.5</v>
      </c>
      <c r="T317" s="1" t="s">
        <v>34</v>
      </c>
      <c r="U317" s="1" t="s">
        <v>101</v>
      </c>
      <c r="V317" s="1" t="s">
        <v>33</v>
      </c>
      <c r="W317" s="1" t="s">
        <v>179</v>
      </c>
    </row>
    <row r="318" spans="1:23" x14ac:dyDescent="0.35">
      <c r="A318" s="1" t="s">
        <v>911</v>
      </c>
      <c r="B318" s="1" t="s">
        <v>438</v>
      </c>
      <c r="C318">
        <v>33</v>
      </c>
      <c r="D318" s="1" t="s">
        <v>50</v>
      </c>
      <c r="E318" s="1" t="s">
        <v>86</v>
      </c>
      <c r="F318" s="1" t="s">
        <v>63</v>
      </c>
      <c r="G318" s="1" t="s">
        <v>912</v>
      </c>
      <c r="H318" s="2">
        <v>45585</v>
      </c>
      <c r="I318" s="1" t="s">
        <v>114</v>
      </c>
      <c r="J318" s="1" t="s">
        <v>54</v>
      </c>
      <c r="K318" s="1" t="s">
        <v>174</v>
      </c>
      <c r="L318" s="1" t="s">
        <v>66</v>
      </c>
      <c r="M318" s="1" t="s">
        <v>169</v>
      </c>
      <c r="N318">
        <v>154194.1</v>
      </c>
      <c r="O318">
        <v>36646.959999999999</v>
      </c>
      <c r="P318">
        <v>31898.41</v>
      </c>
      <c r="Q318">
        <v>5</v>
      </c>
      <c r="R318">
        <v>90</v>
      </c>
      <c r="S318">
        <v>5</v>
      </c>
      <c r="T318" s="1" t="s">
        <v>33</v>
      </c>
      <c r="U318" s="1" t="s">
        <v>67</v>
      </c>
      <c r="V318" s="1" t="s">
        <v>47</v>
      </c>
      <c r="W318" s="1" t="s">
        <v>179</v>
      </c>
    </row>
    <row r="319" spans="1:23" x14ac:dyDescent="0.35">
      <c r="A319" s="1" t="s">
        <v>913</v>
      </c>
      <c r="B319" s="1" t="s">
        <v>697</v>
      </c>
      <c r="C319">
        <v>35</v>
      </c>
      <c r="D319" s="1" t="s">
        <v>33</v>
      </c>
      <c r="E319" s="1" t="s">
        <v>33</v>
      </c>
      <c r="F319" s="1" t="s">
        <v>98</v>
      </c>
      <c r="G319" s="1" t="s">
        <v>914</v>
      </c>
      <c r="H319" s="2">
        <v>46238</v>
      </c>
      <c r="I319" s="1" t="s">
        <v>53</v>
      </c>
      <c r="J319" s="1" t="s">
        <v>65</v>
      </c>
      <c r="K319" s="1" t="s">
        <v>163</v>
      </c>
      <c r="L319" s="1" t="s">
        <v>56</v>
      </c>
      <c r="M319" s="1" t="s">
        <v>45</v>
      </c>
      <c r="N319">
        <v>129344.15</v>
      </c>
      <c r="O319">
        <v>48604.800000000003</v>
      </c>
      <c r="P319">
        <v>39563.269999999997</v>
      </c>
      <c r="Q319">
        <v>2</v>
      </c>
      <c r="R319">
        <v>46</v>
      </c>
      <c r="S319">
        <v>5</v>
      </c>
      <c r="T319" s="1" t="s">
        <v>154</v>
      </c>
      <c r="U319" s="1" t="s">
        <v>33</v>
      </c>
      <c r="V319" s="1" t="s">
        <v>47</v>
      </c>
      <c r="W319" s="1" t="s">
        <v>33</v>
      </c>
    </row>
    <row r="320" spans="1:23" x14ac:dyDescent="0.35">
      <c r="A320" s="1" t="s">
        <v>915</v>
      </c>
      <c r="B320" s="1" t="s">
        <v>916</v>
      </c>
      <c r="C320">
        <v>29</v>
      </c>
      <c r="D320" s="1" t="s">
        <v>71</v>
      </c>
      <c r="E320" s="1" t="s">
        <v>72</v>
      </c>
      <c r="F320" s="1" t="s">
        <v>98</v>
      </c>
      <c r="G320" s="1" t="s">
        <v>220</v>
      </c>
      <c r="H320" s="2">
        <v>45319</v>
      </c>
      <c r="I320" s="1" t="s">
        <v>173</v>
      </c>
      <c r="J320" s="1" t="s">
        <v>87</v>
      </c>
      <c r="K320" s="1" t="s">
        <v>163</v>
      </c>
      <c r="L320" s="1" t="s">
        <v>66</v>
      </c>
      <c r="M320" s="1" t="s">
        <v>169</v>
      </c>
      <c r="N320">
        <v>0</v>
      </c>
      <c r="O320">
        <v>55187.839999999997</v>
      </c>
      <c r="P320">
        <v>24461.11</v>
      </c>
      <c r="Q320">
        <v>8</v>
      </c>
      <c r="R320">
        <v>154</v>
      </c>
      <c r="S320">
        <v>1.1000000000000001</v>
      </c>
      <c r="T320" s="1" t="s">
        <v>46</v>
      </c>
      <c r="U320" s="1" t="s">
        <v>33</v>
      </c>
      <c r="V320" s="1" t="s">
        <v>102</v>
      </c>
      <c r="W320" s="1" t="s">
        <v>179</v>
      </c>
    </row>
    <row r="321" spans="1:23" x14ac:dyDescent="0.35">
      <c r="A321" s="1" t="s">
        <v>917</v>
      </c>
      <c r="B321" s="1" t="s">
        <v>318</v>
      </c>
      <c r="C321">
        <v>16</v>
      </c>
      <c r="D321" s="1" t="s">
        <v>50</v>
      </c>
      <c r="E321" s="1" t="s">
        <v>134</v>
      </c>
      <c r="F321" s="1" t="s">
        <v>120</v>
      </c>
      <c r="G321" s="1" t="s">
        <v>918</v>
      </c>
      <c r="H321" s="2">
        <v>45329</v>
      </c>
      <c r="I321" s="1" t="s">
        <v>33</v>
      </c>
      <c r="J321" s="1" t="s">
        <v>33</v>
      </c>
      <c r="K321" s="1" t="s">
        <v>31</v>
      </c>
      <c r="L321" s="1" t="s">
        <v>66</v>
      </c>
      <c r="M321" s="1" t="s">
        <v>142</v>
      </c>
      <c r="N321">
        <v>322306.98</v>
      </c>
      <c r="O321">
        <v>30356.83</v>
      </c>
      <c r="P321">
        <v>16381.82</v>
      </c>
      <c r="Q321">
        <v>5</v>
      </c>
      <c r="R321">
        <v>64</v>
      </c>
      <c r="S321">
        <v>4.5999999999999996</v>
      </c>
      <c r="T321" s="1" t="s">
        <v>94</v>
      </c>
      <c r="U321" s="1" t="s">
        <v>58</v>
      </c>
      <c r="V321" s="1" t="s">
        <v>68</v>
      </c>
      <c r="W321" s="1" t="s">
        <v>33</v>
      </c>
    </row>
    <row r="322" spans="1:23" x14ac:dyDescent="0.35">
      <c r="A322" s="1" t="s">
        <v>919</v>
      </c>
      <c r="B322" s="1" t="s">
        <v>920</v>
      </c>
      <c r="C322">
        <v>55</v>
      </c>
      <c r="D322" s="1" t="s">
        <v>119</v>
      </c>
      <c r="E322" s="1" t="s">
        <v>33</v>
      </c>
      <c r="F322" s="1" t="s">
        <v>145</v>
      </c>
      <c r="G322" s="1" t="s">
        <v>921</v>
      </c>
      <c r="H322" s="2">
        <v>45813</v>
      </c>
      <c r="I322" s="1" t="s">
        <v>277</v>
      </c>
      <c r="J322" s="1" t="s">
        <v>30</v>
      </c>
      <c r="K322" s="1" t="s">
        <v>122</v>
      </c>
      <c r="L322" s="1" t="s">
        <v>56</v>
      </c>
      <c r="M322" s="1" t="s">
        <v>33</v>
      </c>
      <c r="N322">
        <v>496701.68</v>
      </c>
      <c r="O322">
        <v>0</v>
      </c>
      <c r="P322">
        <v>93516.38</v>
      </c>
      <c r="Q322">
        <v>3</v>
      </c>
      <c r="R322">
        <v>102</v>
      </c>
      <c r="S322">
        <v>2.5</v>
      </c>
      <c r="T322" s="1" t="s">
        <v>34</v>
      </c>
      <c r="U322" s="1" t="s">
        <v>58</v>
      </c>
      <c r="V322" s="1" t="s">
        <v>47</v>
      </c>
      <c r="W322" s="1" t="s">
        <v>83</v>
      </c>
    </row>
    <row r="323" spans="1:23" x14ac:dyDescent="0.35">
      <c r="A323" s="1" t="s">
        <v>922</v>
      </c>
      <c r="B323" s="1" t="s">
        <v>923</v>
      </c>
      <c r="C323">
        <v>38</v>
      </c>
      <c r="D323" s="1" t="s">
        <v>25</v>
      </c>
      <c r="E323" s="1" t="s">
        <v>26</v>
      </c>
      <c r="F323" s="1" t="s">
        <v>63</v>
      </c>
      <c r="G323" s="1" t="s">
        <v>140</v>
      </c>
      <c r="H323" s="2">
        <v>46178</v>
      </c>
      <c r="I323" s="1" t="s">
        <v>53</v>
      </c>
      <c r="J323" s="1" t="s">
        <v>65</v>
      </c>
      <c r="K323" s="1" t="s">
        <v>33</v>
      </c>
      <c r="L323" s="1" t="s">
        <v>92</v>
      </c>
      <c r="M323" s="1" t="s">
        <v>57</v>
      </c>
      <c r="N323">
        <v>349031.02</v>
      </c>
      <c r="O323">
        <v>26811.27</v>
      </c>
      <c r="P323">
        <v>90334.65</v>
      </c>
      <c r="Q323">
        <v>1</v>
      </c>
      <c r="R323">
        <v>0</v>
      </c>
      <c r="S323">
        <v>3.7</v>
      </c>
      <c r="T323" s="1" t="s">
        <v>33</v>
      </c>
      <c r="U323" s="1" t="s">
        <v>33</v>
      </c>
      <c r="V323" s="1" t="s">
        <v>130</v>
      </c>
      <c r="W323" s="1" t="s">
        <v>131</v>
      </c>
    </row>
    <row r="324" spans="1:23" x14ac:dyDescent="0.35">
      <c r="A324" s="1" t="s">
        <v>924</v>
      </c>
      <c r="B324" s="1" t="s">
        <v>569</v>
      </c>
      <c r="C324">
        <v>50</v>
      </c>
      <c r="D324" s="1" t="s">
        <v>50</v>
      </c>
      <c r="E324" s="1" t="s">
        <v>263</v>
      </c>
      <c r="F324" s="1" t="s">
        <v>145</v>
      </c>
      <c r="G324" s="1" t="s">
        <v>925</v>
      </c>
      <c r="H324" s="2">
        <v>45490</v>
      </c>
      <c r="I324" s="1" t="s">
        <v>235</v>
      </c>
      <c r="J324" s="1" t="s">
        <v>43</v>
      </c>
      <c r="K324" s="1" t="s">
        <v>91</v>
      </c>
      <c r="L324" s="1" t="s">
        <v>33</v>
      </c>
      <c r="M324" s="1" t="s">
        <v>57</v>
      </c>
      <c r="N324">
        <v>344164.23</v>
      </c>
      <c r="O324">
        <v>19480.96</v>
      </c>
      <c r="P324">
        <v>0</v>
      </c>
      <c r="Q324">
        <v>1</v>
      </c>
      <c r="R324">
        <v>109</v>
      </c>
      <c r="S324">
        <v>4.3</v>
      </c>
      <c r="T324" s="1" t="s">
        <v>34</v>
      </c>
      <c r="U324" s="1" t="s">
        <v>149</v>
      </c>
      <c r="V324" s="1" t="s">
        <v>102</v>
      </c>
      <c r="W324" s="1" t="s">
        <v>12</v>
      </c>
    </row>
    <row r="325" spans="1:23" x14ac:dyDescent="0.35">
      <c r="A325" s="1" t="s">
        <v>926</v>
      </c>
      <c r="B325" s="1" t="s">
        <v>770</v>
      </c>
      <c r="C325">
        <v>70</v>
      </c>
      <c r="D325" s="1" t="s">
        <v>78</v>
      </c>
      <c r="E325" s="1" t="s">
        <v>107</v>
      </c>
      <c r="F325" s="1" t="s">
        <v>193</v>
      </c>
      <c r="G325" s="1" t="s">
        <v>927</v>
      </c>
      <c r="H325" s="2">
        <v>45573</v>
      </c>
      <c r="I325" s="1" t="s">
        <v>257</v>
      </c>
      <c r="J325" s="1" t="s">
        <v>147</v>
      </c>
      <c r="K325" s="1" t="s">
        <v>55</v>
      </c>
      <c r="L325" s="1" t="s">
        <v>66</v>
      </c>
      <c r="M325" s="1" t="s">
        <v>82</v>
      </c>
      <c r="N325">
        <v>70052.479999999996</v>
      </c>
      <c r="O325">
        <v>47005.4</v>
      </c>
      <c r="P325">
        <v>80775.23</v>
      </c>
      <c r="Q325">
        <v>4</v>
      </c>
      <c r="R325">
        <v>0</v>
      </c>
      <c r="S325">
        <v>4.0999999999999996</v>
      </c>
      <c r="T325" s="1" t="s">
        <v>34</v>
      </c>
      <c r="U325" s="1" t="s">
        <v>33</v>
      </c>
      <c r="V325" s="1" t="s">
        <v>130</v>
      </c>
      <c r="W325" s="1" t="s">
        <v>83</v>
      </c>
    </row>
    <row r="326" spans="1:23" x14ac:dyDescent="0.35">
      <c r="A326" s="1" t="s">
        <v>928</v>
      </c>
      <c r="B326" s="1" t="s">
        <v>929</v>
      </c>
      <c r="C326">
        <v>41</v>
      </c>
      <c r="D326" s="1" t="s">
        <v>33</v>
      </c>
      <c r="E326" s="1" t="s">
        <v>219</v>
      </c>
      <c r="F326" s="1" t="s">
        <v>63</v>
      </c>
      <c r="G326" s="1" t="s">
        <v>779</v>
      </c>
      <c r="H326" s="2">
        <v>45477</v>
      </c>
      <c r="I326" s="1" t="s">
        <v>235</v>
      </c>
      <c r="J326" s="1" t="s">
        <v>33</v>
      </c>
      <c r="K326" s="1" t="s">
        <v>31</v>
      </c>
      <c r="L326" s="1" t="s">
        <v>33</v>
      </c>
      <c r="M326" s="1" t="s">
        <v>33</v>
      </c>
      <c r="N326">
        <v>268674.71000000002</v>
      </c>
      <c r="O326">
        <v>17819.29</v>
      </c>
      <c r="P326">
        <v>24728.76</v>
      </c>
      <c r="Q326">
        <v>2</v>
      </c>
      <c r="R326">
        <v>97</v>
      </c>
      <c r="S326">
        <v>2.2999999999999998</v>
      </c>
      <c r="T326" s="1" t="s">
        <v>34</v>
      </c>
      <c r="U326" s="1" t="s">
        <v>35</v>
      </c>
      <c r="V326" s="1" t="s">
        <v>33</v>
      </c>
      <c r="W326" s="1" t="s">
        <v>83</v>
      </c>
    </row>
    <row r="327" spans="1:23" x14ac:dyDescent="0.35">
      <c r="A327" s="1" t="s">
        <v>930</v>
      </c>
      <c r="B327" s="1" t="s">
        <v>931</v>
      </c>
      <c r="C327">
        <v>57</v>
      </c>
      <c r="D327" s="1" t="s">
        <v>71</v>
      </c>
      <c r="E327" s="1" t="s">
        <v>177</v>
      </c>
      <c r="F327" s="1" t="s">
        <v>33</v>
      </c>
      <c r="G327" s="1" t="s">
        <v>932</v>
      </c>
      <c r="H327" s="2">
        <v>45530</v>
      </c>
      <c r="I327" s="1" t="s">
        <v>29</v>
      </c>
      <c r="J327" s="1" t="s">
        <v>33</v>
      </c>
      <c r="K327" s="1" t="s">
        <v>122</v>
      </c>
      <c r="L327" s="1" t="s">
        <v>56</v>
      </c>
      <c r="M327" s="1" t="s">
        <v>45</v>
      </c>
      <c r="N327">
        <v>59168.84</v>
      </c>
      <c r="O327">
        <v>46657.81</v>
      </c>
      <c r="P327">
        <v>58877.74</v>
      </c>
      <c r="Q327">
        <v>1</v>
      </c>
      <c r="R327">
        <v>0</v>
      </c>
      <c r="S327">
        <v>2.8</v>
      </c>
      <c r="T327" s="1" t="s">
        <v>154</v>
      </c>
      <c r="U327" s="1" t="s">
        <v>67</v>
      </c>
      <c r="V327" s="1" t="s">
        <v>47</v>
      </c>
      <c r="W327" s="1" t="s">
        <v>33</v>
      </c>
    </row>
    <row r="328" spans="1:23" x14ac:dyDescent="0.35">
      <c r="A328" s="1" t="s">
        <v>933</v>
      </c>
      <c r="B328" s="1" t="s">
        <v>540</v>
      </c>
      <c r="C328">
        <v>21</v>
      </c>
      <c r="D328" s="1" t="s">
        <v>106</v>
      </c>
      <c r="E328" s="1" t="s">
        <v>177</v>
      </c>
      <c r="F328" s="1" t="s">
        <v>145</v>
      </c>
      <c r="G328" s="1" t="s">
        <v>934</v>
      </c>
      <c r="H328" s="2">
        <v>46085</v>
      </c>
      <c r="I328" s="1" t="s">
        <v>127</v>
      </c>
      <c r="J328" s="1" t="s">
        <v>115</v>
      </c>
      <c r="K328" s="1" t="s">
        <v>33</v>
      </c>
      <c r="L328" s="1" t="s">
        <v>33</v>
      </c>
      <c r="M328" s="1" t="s">
        <v>57</v>
      </c>
      <c r="N328">
        <v>154983.4</v>
      </c>
      <c r="O328">
        <v>41551.519999999997</v>
      </c>
      <c r="P328">
        <v>68501.72</v>
      </c>
      <c r="Q328">
        <v>7</v>
      </c>
      <c r="R328">
        <v>76</v>
      </c>
      <c r="S328">
        <v>2.9</v>
      </c>
      <c r="T328" s="1" t="s">
        <v>154</v>
      </c>
      <c r="U328" s="1" t="s">
        <v>35</v>
      </c>
      <c r="V328" s="1" t="s">
        <v>164</v>
      </c>
      <c r="W328" s="1" t="s">
        <v>33</v>
      </c>
    </row>
    <row r="329" spans="1:23" x14ac:dyDescent="0.35">
      <c r="A329" s="1" t="s">
        <v>935</v>
      </c>
      <c r="B329" s="1" t="s">
        <v>797</v>
      </c>
      <c r="C329">
        <v>81</v>
      </c>
      <c r="D329" s="1" t="s">
        <v>25</v>
      </c>
      <c r="E329" s="1" t="s">
        <v>72</v>
      </c>
      <c r="F329" s="1" t="s">
        <v>108</v>
      </c>
      <c r="G329" s="1" t="s">
        <v>897</v>
      </c>
      <c r="H329" s="2">
        <v>45693</v>
      </c>
      <c r="I329" s="1" t="s">
        <v>168</v>
      </c>
      <c r="J329" s="1" t="s">
        <v>43</v>
      </c>
      <c r="K329" s="1" t="s">
        <v>128</v>
      </c>
      <c r="L329" s="1" t="s">
        <v>92</v>
      </c>
      <c r="M329" s="1" t="s">
        <v>74</v>
      </c>
      <c r="N329">
        <v>357040.13</v>
      </c>
      <c r="O329">
        <v>32132.95</v>
      </c>
      <c r="P329">
        <v>20752.03</v>
      </c>
      <c r="Q329">
        <v>8</v>
      </c>
      <c r="R329">
        <v>32</v>
      </c>
      <c r="S329">
        <v>4.4000000000000004</v>
      </c>
      <c r="T329" s="1" t="s">
        <v>33</v>
      </c>
      <c r="U329" s="1" t="s">
        <v>101</v>
      </c>
      <c r="V329" s="1" t="s">
        <v>102</v>
      </c>
      <c r="W329" s="1" t="s">
        <v>131</v>
      </c>
    </row>
    <row r="330" spans="1:23" x14ac:dyDescent="0.35">
      <c r="A330" s="1" t="s">
        <v>936</v>
      </c>
      <c r="B330" s="1" t="s">
        <v>397</v>
      </c>
      <c r="C330">
        <v>73</v>
      </c>
      <c r="D330" s="1" t="s">
        <v>33</v>
      </c>
      <c r="E330" s="1" t="s">
        <v>192</v>
      </c>
      <c r="F330" s="1" t="s">
        <v>63</v>
      </c>
      <c r="G330" s="1" t="s">
        <v>632</v>
      </c>
      <c r="H330" s="2">
        <v>46137</v>
      </c>
      <c r="I330" s="1" t="s">
        <v>89</v>
      </c>
      <c r="J330" s="1" t="s">
        <v>87</v>
      </c>
      <c r="K330" s="1" t="s">
        <v>81</v>
      </c>
      <c r="L330" s="1" t="s">
        <v>44</v>
      </c>
      <c r="M330" s="1" t="s">
        <v>33</v>
      </c>
      <c r="N330">
        <v>311063.01</v>
      </c>
      <c r="O330">
        <v>0</v>
      </c>
      <c r="P330">
        <v>76558.429999999993</v>
      </c>
      <c r="Q330">
        <v>4</v>
      </c>
      <c r="R330">
        <v>20</v>
      </c>
      <c r="S330">
        <v>3.2</v>
      </c>
      <c r="T330" s="1" t="s">
        <v>33</v>
      </c>
      <c r="U330" s="1" t="s">
        <v>33</v>
      </c>
      <c r="V330" s="1" t="s">
        <v>47</v>
      </c>
      <c r="W330" s="1" t="s">
        <v>33</v>
      </c>
    </row>
    <row r="331" spans="1:23" x14ac:dyDescent="0.35">
      <c r="A331" s="1" t="s">
        <v>937</v>
      </c>
      <c r="B331" s="1" t="s">
        <v>938</v>
      </c>
      <c r="C331">
        <v>86</v>
      </c>
      <c r="D331" s="1" t="s">
        <v>119</v>
      </c>
      <c r="E331" s="1" t="s">
        <v>177</v>
      </c>
      <c r="F331" s="1" t="s">
        <v>56</v>
      </c>
      <c r="G331" s="1" t="s">
        <v>939</v>
      </c>
      <c r="H331" s="2">
        <v>46124</v>
      </c>
      <c r="I331" s="1" t="s">
        <v>277</v>
      </c>
      <c r="J331" s="1" t="s">
        <v>137</v>
      </c>
      <c r="K331" s="1" t="s">
        <v>174</v>
      </c>
      <c r="L331" s="1" t="s">
        <v>66</v>
      </c>
      <c r="M331" s="1" t="s">
        <v>129</v>
      </c>
      <c r="N331">
        <v>655388.6</v>
      </c>
      <c r="O331">
        <v>45168.08</v>
      </c>
      <c r="P331">
        <v>39504.1</v>
      </c>
      <c r="Q331">
        <v>3</v>
      </c>
      <c r="R331">
        <v>135</v>
      </c>
      <c r="S331">
        <v>4.9000000000000004</v>
      </c>
      <c r="T331" s="1" t="s">
        <v>33</v>
      </c>
      <c r="U331" s="1" t="s">
        <v>33</v>
      </c>
      <c r="V331" s="1" t="s">
        <v>68</v>
      </c>
      <c r="W331" s="1" t="s">
        <v>59</v>
      </c>
    </row>
    <row r="332" spans="1:23" x14ac:dyDescent="0.35">
      <c r="A332" s="1" t="s">
        <v>940</v>
      </c>
      <c r="B332" s="1" t="s">
        <v>941</v>
      </c>
      <c r="C332">
        <v>82</v>
      </c>
      <c r="D332" s="1" t="s">
        <v>106</v>
      </c>
      <c r="E332" s="1" t="s">
        <v>86</v>
      </c>
      <c r="F332" s="1" t="s">
        <v>193</v>
      </c>
      <c r="G332" s="1" t="s">
        <v>231</v>
      </c>
      <c r="H332" s="2">
        <v>45739</v>
      </c>
      <c r="I332" s="1" t="s">
        <v>273</v>
      </c>
      <c r="J332" s="1" t="s">
        <v>90</v>
      </c>
      <c r="K332" s="1" t="s">
        <v>174</v>
      </c>
      <c r="L332" s="1" t="s">
        <v>56</v>
      </c>
      <c r="M332" s="1" t="s">
        <v>45</v>
      </c>
      <c r="N332">
        <v>252209.91</v>
      </c>
      <c r="O332">
        <v>42443.58</v>
      </c>
      <c r="P332">
        <v>64977.73</v>
      </c>
      <c r="Q332">
        <v>2</v>
      </c>
      <c r="R332">
        <v>126</v>
      </c>
      <c r="S332">
        <v>4.8</v>
      </c>
      <c r="T332" s="1" t="s">
        <v>33</v>
      </c>
      <c r="U332" s="1" t="s">
        <v>58</v>
      </c>
      <c r="V332" s="1" t="s">
        <v>130</v>
      </c>
      <c r="W332" s="1" t="s">
        <v>103</v>
      </c>
    </row>
    <row r="333" spans="1:23" x14ac:dyDescent="0.35">
      <c r="A333" s="1" t="s">
        <v>942</v>
      </c>
      <c r="B333" s="1" t="s">
        <v>561</v>
      </c>
      <c r="C333">
        <v>30</v>
      </c>
      <c r="D333" s="1" t="s">
        <v>119</v>
      </c>
      <c r="E333" s="1" t="s">
        <v>40</v>
      </c>
      <c r="F333" s="1" t="s">
        <v>87</v>
      </c>
      <c r="G333" s="1" t="s">
        <v>943</v>
      </c>
      <c r="H333" s="2">
        <v>46180</v>
      </c>
      <c r="I333" s="1" t="s">
        <v>89</v>
      </c>
      <c r="J333" s="1" t="s">
        <v>65</v>
      </c>
      <c r="K333" s="1" t="s">
        <v>122</v>
      </c>
      <c r="L333" s="1" t="s">
        <v>33</v>
      </c>
      <c r="M333" s="1" t="s">
        <v>129</v>
      </c>
      <c r="N333">
        <v>65978.41</v>
      </c>
      <c r="O333">
        <v>40987.53</v>
      </c>
      <c r="P333">
        <v>68368.100000000006</v>
      </c>
      <c r="Q333">
        <v>2</v>
      </c>
      <c r="R333">
        <v>129</v>
      </c>
      <c r="S333">
        <v>5</v>
      </c>
      <c r="T333" s="1" t="s">
        <v>46</v>
      </c>
      <c r="U333" s="1" t="s">
        <v>33</v>
      </c>
      <c r="V333" s="1" t="s">
        <v>33</v>
      </c>
      <c r="W333" s="1" t="s">
        <v>33</v>
      </c>
    </row>
    <row r="334" spans="1:23" x14ac:dyDescent="0.35">
      <c r="A334" s="1" t="s">
        <v>944</v>
      </c>
      <c r="B334" s="1" t="s">
        <v>945</v>
      </c>
      <c r="C334">
        <v>57</v>
      </c>
      <c r="D334" s="1" t="s">
        <v>78</v>
      </c>
      <c r="E334" s="1" t="s">
        <v>107</v>
      </c>
      <c r="F334" s="1" t="s">
        <v>33</v>
      </c>
      <c r="G334" s="1" t="s">
        <v>495</v>
      </c>
      <c r="H334" s="2">
        <v>45722</v>
      </c>
      <c r="I334" s="1" t="s">
        <v>277</v>
      </c>
      <c r="J334" s="1" t="s">
        <v>147</v>
      </c>
      <c r="K334" s="1" t="s">
        <v>148</v>
      </c>
      <c r="L334" s="1" t="s">
        <v>44</v>
      </c>
      <c r="M334" s="1" t="s">
        <v>33</v>
      </c>
      <c r="N334">
        <v>67161.88</v>
      </c>
      <c r="O334">
        <v>20322.509999999998</v>
      </c>
      <c r="P334">
        <v>65866.13</v>
      </c>
      <c r="Q334">
        <v>3</v>
      </c>
      <c r="R334">
        <v>158</v>
      </c>
      <c r="S334">
        <v>3.3</v>
      </c>
      <c r="T334" s="1" t="s">
        <v>46</v>
      </c>
      <c r="U334" s="1" t="s">
        <v>149</v>
      </c>
      <c r="V334" s="1" t="s">
        <v>33</v>
      </c>
      <c r="W334" s="1" t="s">
        <v>179</v>
      </c>
    </row>
    <row r="335" spans="1:23" x14ac:dyDescent="0.35">
      <c r="A335" s="1" t="s">
        <v>946</v>
      </c>
      <c r="B335" s="1" t="s">
        <v>259</v>
      </c>
      <c r="C335">
        <v>9</v>
      </c>
      <c r="D335" s="1" t="s">
        <v>39</v>
      </c>
      <c r="E335" s="1" t="s">
        <v>192</v>
      </c>
      <c r="F335" s="1" t="s">
        <v>41</v>
      </c>
      <c r="G335" s="1" t="s">
        <v>52</v>
      </c>
      <c r="H335" s="2">
        <v>45913</v>
      </c>
      <c r="I335" s="1" t="s">
        <v>33</v>
      </c>
      <c r="J335" s="1" t="s">
        <v>115</v>
      </c>
      <c r="K335" s="1" t="s">
        <v>174</v>
      </c>
      <c r="L335" s="1" t="s">
        <v>33</v>
      </c>
      <c r="M335" s="1" t="s">
        <v>142</v>
      </c>
      <c r="N335">
        <v>170015.91</v>
      </c>
      <c r="O335">
        <v>52259.58</v>
      </c>
      <c r="P335">
        <v>62256.15</v>
      </c>
      <c r="Q335">
        <v>3</v>
      </c>
      <c r="R335">
        <v>132</v>
      </c>
      <c r="S335">
        <v>3.8</v>
      </c>
      <c r="T335" s="1" t="s">
        <v>154</v>
      </c>
      <c r="U335" s="1" t="s">
        <v>67</v>
      </c>
      <c r="V335" s="1" t="s">
        <v>68</v>
      </c>
      <c r="W335" s="1" t="s">
        <v>83</v>
      </c>
    </row>
    <row r="336" spans="1:23" x14ac:dyDescent="0.35">
      <c r="A336" s="1" t="s">
        <v>947</v>
      </c>
      <c r="B336" s="1" t="s">
        <v>166</v>
      </c>
      <c r="C336">
        <v>28</v>
      </c>
      <c r="D336" s="1" t="s">
        <v>106</v>
      </c>
      <c r="E336" s="1" t="s">
        <v>51</v>
      </c>
      <c r="F336" s="1" t="s">
        <v>44</v>
      </c>
      <c r="G336" s="1" t="s">
        <v>948</v>
      </c>
      <c r="H336" s="2">
        <v>45715</v>
      </c>
      <c r="I336" s="1" t="s">
        <v>33</v>
      </c>
      <c r="J336" s="1" t="s">
        <v>80</v>
      </c>
      <c r="K336" s="1" t="s">
        <v>122</v>
      </c>
      <c r="L336" s="1" t="s">
        <v>44</v>
      </c>
      <c r="M336" s="1" t="s">
        <v>82</v>
      </c>
      <c r="N336">
        <v>317835.98</v>
      </c>
      <c r="O336">
        <v>40524.32</v>
      </c>
      <c r="P336">
        <v>59760.57</v>
      </c>
      <c r="Q336">
        <v>3</v>
      </c>
      <c r="R336">
        <v>55</v>
      </c>
      <c r="S336">
        <v>0.9</v>
      </c>
      <c r="T336" s="1" t="s">
        <v>94</v>
      </c>
      <c r="U336" s="1" t="s">
        <v>35</v>
      </c>
      <c r="V336" s="1" t="s">
        <v>102</v>
      </c>
      <c r="W336" s="1" t="s">
        <v>33</v>
      </c>
    </row>
    <row r="337" spans="1:23" x14ac:dyDescent="0.35">
      <c r="A337" s="1" t="s">
        <v>949</v>
      </c>
      <c r="B337" s="1" t="s">
        <v>644</v>
      </c>
      <c r="C337">
        <v>32</v>
      </c>
      <c r="D337" s="1" t="s">
        <v>25</v>
      </c>
      <c r="E337" s="1" t="s">
        <v>107</v>
      </c>
      <c r="F337" s="1" t="s">
        <v>193</v>
      </c>
      <c r="G337" s="1" t="s">
        <v>950</v>
      </c>
      <c r="H337" s="2">
        <v>46057</v>
      </c>
      <c r="I337" s="1" t="s">
        <v>53</v>
      </c>
      <c r="J337" s="1" t="s">
        <v>33</v>
      </c>
      <c r="K337" s="1" t="s">
        <v>122</v>
      </c>
      <c r="L337" s="1" t="s">
        <v>92</v>
      </c>
      <c r="M337" s="1" t="s">
        <v>169</v>
      </c>
      <c r="N337">
        <v>99211.39</v>
      </c>
      <c r="O337">
        <v>47336.97</v>
      </c>
      <c r="P337">
        <v>33239.620000000003</v>
      </c>
      <c r="Q337">
        <v>6</v>
      </c>
      <c r="R337">
        <v>174</v>
      </c>
      <c r="S337">
        <v>4.5</v>
      </c>
      <c r="T337" s="1" t="s">
        <v>154</v>
      </c>
      <c r="U337" s="1" t="s">
        <v>33</v>
      </c>
      <c r="V337" s="1" t="s">
        <v>33</v>
      </c>
      <c r="W337" s="1" t="s">
        <v>103</v>
      </c>
    </row>
    <row r="338" spans="1:23" x14ac:dyDescent="0.35">
      <c r="A338" s="1" t="s">
        <v>951</v>
      </c>
      <c r="B338" s="1" t="s">
        <v>945</v>
      </c>
      <c r="C338">
        <v>12</v>
      </c>
      <c r="D338" s="1" t="s">
        <v>50</v>
      </c>
      <c r="E338" s="1" t="s">
        <v>51</v>
      </c>
      <c r="F338" s="1" t="s">
        <v>56</v>
      </c>
      <c r="G338" s="1" t="s">
        <v>952</v>
      </c>
      <c r="H338" s="2">
        <v>45608</v>
      </c>
      <c r="I338" s="1" t="s">
        <v>33</v>
      </c>
      <c r="J338" s="1" t="s">
        <v>90</v>
      </c>
      <c r="K338" s="1" t="s">
        <v>163</v>
      </c>
      <c r="L338" s="1" t="s">
        <v>92</v>
      </c>
      <c r="M338" s="1" t="s">
        <v>169</v>
      </c>
      <c r="N338">
        <v>389672.16</v>
      </c>
      <c r="O338">
        <v>36531.26</v>
      </c>
      <c r="P338">
        <v>33921.69</v>
      </c>
      <c r="Q338">
        <v>5</v>
      </c>
      <c r="R338">
        <v>105</v>
      </c>
      <c r="S338">
        <v>1.4</v>
      </c>
      <c r="T338" s="1" t="s">
        <v>154</v>
      </c>
      <c r="U338" s="1" t="s">
        <v>58</v>
      </c>
      <c r="V338" s="1" t="s">
        <v>130</v>
      </c>
      <c r="W338" s="1" t="s">
        <v>12</v>
      </c>
    </row>
    <row r="339" spans="1:23" x14ac:dyDescent="0.35">
      <c r="A339" s="1" t="s">
        <v>953</v>
      </c>
      <c r="B339" s="1" t="s">
        <v>291</v>
      </c>
      <c r="C339">
        <v>20</v>
      </c>
      <c r="D339" s="1" t="s">
        <v>50</v>
      </c>
      <c r="E339" s="1" t="s">
        <v>263</v>
      </c>
      <c r="F339" s="1" t="s">
        <v>44</v>
      </c>
      <c r="G339" s="1" t="s">
        <v>554</v>
      </c>
      <c r="H339" s="2">
        <v>45583</v>
      </c>
      <c r="I339" s="1" t="s">
        <v>127</v>
      </c>
      <c r="J339" s="1" t="s">
        <v>90</v>
      </c>
      <c r="K339" s="1" t="s">
        <v>163</v>
      </c>
      <c r="L339" s="1" t="s">
        <v>92</v>
      </c>
      <c r="M339" s="1" t="s">
        <v>33</v>
      </c>
      <c r="N339">
        <v>30626.16</v>
      </c>
      <c r="O339">
        <v>0</v>
      </c>
      <c r="P339">
        <v>78380.649999999994</v>
      </c>
      <c r="Q339">
        <v>4</v>
      </c>
      <c r="R339">
        <v>47</v>
      </c>
      <c r="S339">
        <v>5</v>
      </c>
      <c r="T339" s="1" t="s">
        <v>94</v>
      </c>
      <c r="U339" s="1" t="s">
        <v>33</v>
      </c>
      <c r="V339" s="1" t="s">
        <v>47</v>
      </c>
      <c r="W339" s="1" t="s">
        <v>83</v>
      </c>
    </row>
    <row r="340" spans="1:23" x14ac:dyDescent="0.35">
      <c r="A340" s="1" t="s">
        <v>954</v>
      </c>
      <c r="B340" s="1" t="s">
        <v>587</v>
      </c>
      <c r="C340">
        <v>5</v>
      </c>
      <c r="D340" s="1" t="s">
        <v>78</v>
      </c>
      <c r="E340" s="1" t="s">
        <v>33</v>
      </c>
      <c r="F340" s="1" t="s">
        <v>98</v>
      </c>
      <c r="G340" s="1" t="s">
        <v>955</v>
      </c>
      <c r="H340" s="2">
        <v>45442</v>
      </c>
      <c r="I340" s="1" t="s">
        <v>168</v>
      </c>
      <c r="J340" s="1" t="s">
        <v>43</v>
      </c>
      <c r="K340" s="1" t="s">
        <v>128</v>
      </c>
      <c r="L340" s="1" t="s">
        <v>32</v>
      </c>
      <c r="M340" s="1" t="s">
        <v>33</v>
      </c>
      <c r="N340">
        <v>63686.58</v>
      </c>
      <c r="O340">
        <v>60895.29</v>
      </c>
      <c r="P340">
        <v>40323.050000000003</v>
      </c>
      <c r="Q340">
        <v>2</v>
      </c>
      <c r="R340">
        <v>53</v>
      </c>
      <c r="S340">
        <v>3.9</v>
      </c>
      <c r="T340" s="1" t="s">
        <v>34</v>
      </c>
      <c r="U340" s="1" t="s">
        <v>149</v>
      </c>
      <c r="V340" s="1" t="s">
        <v>68</v>
      </c>
      <c r="W340" s="1" t="s">
        <v>103</v>
      </c>
    </row>
    <row r="341" spans="1:23" x14ac:dyDescent="0.35">
      <c r="A341" s="1" t="s">
        <v>956</v>
      </c>
      <c r="B341" s="1" t="s">
        <v>713</v>
      </c>
      <c r="C341">
        <v>67</v>
      </c>
      <c r="D341" s="1" t="s">
        <v>71</v>
      </c>
      <c r="E341" s="1" t="s">
        <v>62</v>
      </c>
      <c r="F341" s="1" t="s">
        <v>56</v>
      </c>
      <c r="G341" s="1" t="s">
        <v>957</v>
      </c>
      <c r="H341" s="2">
        <v>45783</v>
      </c>
      <c r="I341" s="1" t="s">
        <v>89</v>
      </c>
      <c r="J341" s="1" t="s">
        <v>137</v>
      </c>
      <c r="K341" s="1" t="s">
        <v>153</v>
      </c>
      <c r="L341" s="1" t="s">
        <v>32</v>
      </c>
      <c r="M341" s="1" t="s">
        <v>123</v>
      </c>
      <c r="N341">
        <v>422789.89</v>
      </c>
      <c r="O341">
        <v>21005.78</v>
      </c>
      <c r="P341">
        <v>5218.57</v>
      </c>
      <c r="Q341">
        <v>4</v>
      </c>
      <c r="R341">
        <v>63</v>
      </c>
      <c r="S341">
        <v>4</v>
      </c>
      <c r="T341" s="1" t="s">
        <v>154</v>
      </c>
      <c r="U341" s="1" t="s">
        <v>33</v>
      </c>
      <c r="V341" s="1" t="s">
        <v>130</v>
      </c>
      <c r="W341" s="1" t="s">
        <v>12</v>
      </c>
    </row>
    <row r="342" spans="1:23" x14ac:dyDescent="0.35">
      <c r="A342" s="1" t="s">
        <v>958</v>
      </c>
      <c r="B342" s="1" t="s">
        <v>959</v>
      </c>
      <c r="C342">
        <v>21</v>
      </c>
      <c r="D342" s="1" t="s">
        <v>106</v>
      </c>
      <c r="E342" s="1" t="s">
        <v>134</v>
      </c>
      <c r="F342" s="1" t="s">
        <v>193</v>
      </c>
      <c r="G342" s="1" t="s">
        <v>960</v>
      </c>
      <c r="H342" s="2">
        <v>45837</v>
      </c>
      <c r="I342" s="1" t="s">
        <v>29</v>
      </c>
      <c r="J342" s="1" t="s">
        <v>152</v>
      </c>
      <c r="K342" s="1" t="s">
        <v>153</v>
      </c>
      <c r="L342" s="1" t="s">
        <v>66</v>
      </c>
      <c r="M342" s="1" t="s">
        <v>57</v>
      </c>
      <c r="N342">
        <v>268130.3</v>
      </c>
      <c r="O342">
        <v>28783.69</v>
      </c>
      <c r="P342">
        <v>45983.91</v>
      </c>
      <c r="Q342">
        <v>1</v>
      </c>
      <c r="R342">
        <v>38</v>
      </c>
      <c r="S342">
        <v>3.4</v>
      </c>
      <c r="T342" s="1" t="s">
        <v>33</v>
      </c>
      <c r="U342" s="1" t="s">
        <v>33</v>
      </c>
      <c r="V342" s="1" t="s">
        <v>33</v>
      </c>
      <c r="W342" s="1" t="s">
        <v>59</v>
      </c>
    </row>
    <row r="343" spans="1:23" x14ac:dyDescent="0.35">
      <c r="A343" s="1" t="s">
        <v>961</v>
      </c>
      <c r="B343" s="1" t="s">
        <v>692</v>
      </c>
      <c r="C343">
        <v>62</v>
      </c>
      <c r="D343" s="1" t="s">
        <v>119</v>
      </c>
      <c r="E343" s="1" t="s">
        <v>26</v>
      </c>
      <c r="F343" s="1" t="s">
        <v>33</v>
      </c>
      <c r="G343" s="1" t="s">
        <v>962</v>
      </c>
      <c r="H343" s="2">
        <v>45853</v>
      </c>
      <c r="I343" s="1" t="s">
        <v>221</v>
      </c>
      <c r="J343" s="1" t="s">
        <v>141</v>
      </c>
      <c r="K343" s="1" t="s">
        <v>128</v>
      </c>
      <c r="L343" s="1" t="s">
        <v>44</v>
      </c>
      <c r="M343" s="1" t="s">
        <v>123</v>
      </c>
      <c r="N343">
        <v>364934.91</v>
      </c>
      <c r="O343">
        <v>0</v>
      </c>
      <c r="P343">
        <v>17114.669999999998</v>
      </c>
      <c r="Q343">
        <v>1</v>
      </c>
      <c r="R343">
        <v>0</v>
      </c>
      <c r="S343">
        <v>2.9</v>
      </c>
      <c r="T343" s="1" t="s">
        <v>33</v>
      </c>
      <c r="U343" s="1" t="s">
        <v>33</v>
      </c>
      <c r="V343" s="1" t="s">
        <v>47</v>
      </c>
      <c r="W343" s="1" t="s">
        <v>59</v>
      </c>
    </row>
    <row r="344" spans="1:23" x14ac:dyDescent="0.35">
      <c r="A344" s="1" t="s">
        <v>963</v>
      </c>
      <c r="B344" s="1" t="s">
        <v>309</v>
      </c>
      <c r="C344">
        <v>11</v>
      </c>
      <c r="D344" s="1" t="s">
        <v>71</v>
      </c>
      <c r="E344" s="1" t="s">
        <v>157</v>
      </c>
      <c r="F344" s="1" t="s">
        <v>27</v>
      </c>
      <c r="G344" s="1" t="s">
        <v>964</v>
      </c>
      <c r="H344" s="2">
        <v>45966</v>
      </c>
      <c r="I344" s="1" t="s">
        <v>127</v>
      </c>
      <c r="J344" s="1" t="s">
        <v>87</v>
      </c>
      <c r="K344" s="1" t="s">
        <v>33</v>
      </c>
      <c r="L344" s="1" t="s">
        <v>92</v>
      </c>
      <c r="M344" s="1" t="s">
        <v>45</v>
      </c>
      <c r="N344">
        <v>90939.63</v>
      </c>
      <c r="O344">
        <v>4901.07</v>
      </c>
      <c r="P344">
        <v>51218.02</v>
      </c>
      <c r="Q344">
        <v>2</v>
      </c>
      <c r="R344">
        <v>100</v>
      </c>
      <c r="S344">
        <v>2.8</v>
      </c>
      <c r="T344" s="1" t="s">
        <v>94</v>
      </c>
      <c r="U344" s="1" t="s">
        <v>149</v>
      </c>
      <c r="V344" s="1" t="s">
        <v>75</v>
      </c>
      <c r="W344" s="1" t="s">
        <v>83</v>
      </c>
    </row>
    <row r="345" spans="1:23" x14ac:dyDescent="0.35">
      <c r="A345" s="1" t="s">
        <v>965</v>
      </c>
      <c r="B345" s="1" t="s">
        <v>966</v>
      </c>
      <c r="C345">
        <v>30</v>
      </c>
      <c r="D345" s="1" t="s">
        <v>39</v>
      </c>
      <c r="E345" s="1" t="s">
        <v>72</v>
      </c>
      <c r="F345" s="1" t="s">
        <v>63</v>
      </c>
      <c r="G345" s="1" t="s">
        <v>967</v>
      </c>
      <c r="H345" s="2">
        <v>46082</v>
      </c>
      <c r="I345" s="1" t="s">
        <v>100</v>
      </c>
      <c r="J345" s="1" t="s">
        <v>43</v>
      </c>
      <c r="K345" s="1" t="s">
        <v>55</v>
      </c>
      <c r="L345" s="1" t="s">
        <v>66</v>
      </c>
      <c r="M345" s="1" t="s">
        <v>169</v>
      </c>
      <c r="N345">
        <v>181968.28</v>
      </c>
      <c r="O345">
        <v>71836.3</v>
      </c>
      <c r="P345">
        <v>85213.83</v>
      </c>
      <c r="Q345">
        <v>3</v>
      </c>
      <c r="R345">
        <v>0</v>
      </c>
      <c r="S345">
        <v>4.8</v>
      </c>
      <c r="T345" s="1" t="s">
        <v>94</v>
      </c>
      <c r="U345" s="1" t="s">
        <v>33</v>
      </c>
      <c r="V345" s="1" t="s">
        <v>47</v>
      </c>
      <c r="W345" s="1" t="s">
        <v>36</v>
      </c>
    </row>
    <row r="346" spans="1:23" x14ac:dyDescent="0.35">
      <c r="A346" s="1" t="s">
        <v>968</v>
      </c>
      <c r="B346" s="1" t="s">
        <v>61</v>
      </c>
      <c r="C346">
        <v>17</v>
      </c>
      <c r="D346" s="1" t="s">
        <v>33</v>
      </c>
      <c r="E346" s="1" t="s">
        <v>157</v>
      </c>
      <c r="F346" s="1" t="s">
        <v>135</v>
      </c>
      <c r="G346" s="1" t="s">
        <v>969</v>
      </c>
      <c r="H346" s="2">
        <v>45479</v>
      </c>
      <c r="I346" s="1" t="s">
        <v>168</v>
      </c>
      <c r="J346" s="1" t="s">
        <v>30</v>
      </c>
      <c r="K346" s="1" t="s">
        <v>81</v>
      </c>
      <c r="L346" s="1" t="s">
        <v>33</v>
      </c>
      <c r="M346" s="1" t="s">
        <v>57</v>
      </c>
      <c r="N346">
        <v>334628.87</v>
      </c>
      <c r="O346">
        <v>68448.3</v>
      </c>
      <c r="P346">
        <v>11323.66</v>
      </c>
      <c r="Q346">
        <v>5</v>
      </c>
      <c r="R346">
        <v>26</v>
      </c>
      <c r="S346">
        <v>5</v>
      </c>
      <c r="T346" s="1" t="s">
        <v>34</v>
      </c>
      <c r="U346" s="1" t="s">
        <v>58</v>
      </c>
      <c r="V346" s="1" t="s">
        <v>75</v>
      </c>
      <c r="W346" s="1" t="s">
        <v>36</v>
      </c>
    </row>
    <row r="347" spans="1:23" x14ac:dyDescent="0.35">
      <c r="A347" s="1" t="s">
        <v>970</v>
      </c>
      <c r="B347" s="1" t="s">
        <v>971</v>
      </c>
      <c r="C347">
        <v>55</v>
      </c>
      <c r="D347" s="1" t="s">
        <v>119</v>
      </c>
      <c r="E347" s="1" t="s">
        <v>51</v>
      </c>
      <c r="F347" s="1" t="s">
        <v>56</v>
      </c>
      <c r="G347" s="1" t="s">
        <v>972</v>
      </c>
      <c r="H347" s="2">
        <v>45963</v>
      </c>
      <c r="I347" s="1" t="s">
        <v>89</v>
      </c>
      <c r="J347" s="1" t="s">
        <v>242</v>
      </c>
      <c r="K347" s="1" t="s">
        <v>163</v>
      </c>
      <c r="L347" s="1" t="s">
        <v>33</v>
      </c>
      <c r="M347" s="1" t="s">
        <v>74</v>
      </c>
      <c r="N347">
        <v>267682.49</v>
      </c>
      <c r="O347">
        <v>39767.4</v>
      </c>
      <c r="P347">
        <v>5205.84</v>
      </c>
      <c r="Q347">
        <v>3</v>
      </c>
      <c r="R347">
        <v>173</v>
      </c>
      <c r="S347">
        <v>5</v>
      </c>
      <c r="T347" s="1" t="s">
        <v>154</v>
      </c>
      <c r="U347" s="1" t="s">
        <v>95</v>
      </c>
      <c r="V347" s="1" t="s">
        <v>33</v>
      </c>
      <c r="W347" s="1" t="s">
        <v>33</v>
      </c>
    </row>
    <row r="348" spans="1:23" x14ac:dyDescent="0.35">
      <c r="A348" s="1" t="s">
        <v>973</v>
      </c>
      <c r="B348" s="1" t="s">
        <v>974</v>
      </c>
      <c r="C348">
        <v>42</v>
      </c>
      <c r="D348" s="1" t="s">
        <v>33</v>
      </c>
      <c r="E348" s="1" t="s">
        <v>157</v>
      </c>
      <c r="F348" s="1" t="s">
        <v>193</v>
      </c>
      <c r="G348" s="1" t="s">
        <v>897</v>
      </c>
      <c r="H348" s="2">
        <v>45687</v>
      </c>
      <c r="I348" s="1" t="s">
        <v>173</v>
      </c>
      <c r="J348" s="1" t="s">
        <v>152</v>
      </c>
      <c r="K348" s="1" t="s">
        <v>116</v>
      </c>
      <c r="L348" s="1" t="s">
        <v>66</v>
      </c>
      <c r="M348" s="1" t="s">
        <v>129</v>
      </c>
      <c r="N348">
        <v>5644.95</v>
      </c>
      <c r="O348">
        <v>42856.37</v>
      </c>
      <c r="P348">
        <v>62161.72</v>
      </c>
      <c r="Q348">
        <v>2</v>
      </c>
      <c r="R348">
        <v>90</v>
      </c>
      <c r="S348">
        <v>5</v>
      </c>
      <c r="T348" s="1" t="s">
        <v>94</v>
      </c>
      <c r="U348" s="1" t="s">
        <v>35</v>
      </c>
      <c r="V348" s="1" t="s">
        <v>47</v>
      </c>
      <c r="W348" s="1" t="s">
        <v>33</v>
      </c>
    </row>
    <row r="349" spans="1:23" x14ac:dyDescent="0.35">
      <c r="A349" s="1" t="s">
        <v>975</v>
      </c>
      <c r="B349" s="1" t="s">
        <v>976</v>
      </c>
      <c r="C349">
        <v>55</v>
      </c>
      <c r="D349" s="1" t="s">
        <v>39</v>
      </c>
      <c r="E349" s="1" t="s">
        <v>112</v>
      </c>
      <c r="F349" s="1" t="s">
        <v>63</v>
      </c>
      <c r="G349" s="1" t="s">
        <v>977</v>
      </c>
      <c r="H349" s="2">
        <v>45334</v>
      </c>
      <c r="I349" s="1" t="s">
        <v>89</v>
      </c>
      <c r="J349" s="1" t="s">
        <v>33</v>
      </c>
      <c r="K349" s="1" t="s">
        <v>55</v>
      </c>
      <c r="L349" s="1" t="s">
        <v>33</v>
      </c>
      <c r="M349" s="1" t="s">
        <v>33</v>
      </c>
      <c r="N349">
        <v>77246.990000000005</v>
      </c>
      <c r="O349">
        <v>29411.200000000001</v>
      </c>
      <c r="P349">
        <v>39769.370000000003</v>
      </c>
      <c r="Q349">
        <v>2</v>
      </c>
      <c r="R349">
        <v>111</v>
      </c>
      <c r="S349">
        <v>3.2</v>
      </c>
      <c r="T349" s="1" t="s">
        <v>33</v>
      </c>
      <c r="U349" s="1" t="s">
        <v>33</v>
      </c>
      <c r="V349" s="1" t="s">
        <v>75</v>
      </c>
      <c r="W349" s="1" t="s">
        <v>33</v>
      </c>
    </row>
    <row r="350" spans="1:23" x14ac:dyDescent="0.35">
      <c r="A350" s="1" t="s">
        <v>978</v>
      </c>
      <c r="B350" s="1" t="s">
        <v>533</v>
      </c>
      <c r="C350">
        <v>61</v>
      </c>
      <c r="D350" s="1" t="s">
        <v>25</v>
      </c>
      <c r="E350" s="1" t="s">
        <v>107</v>
      </c>
      <c r="F350" s="1" t="s">
        <v>41</v>
      </c>
      <c r="G350" s="1" t="s">
        <v>979</v>
      </c>
      <c r="H350" s="2">
        <v>45692</v>
      </c>
      <c r="I350" s="1" t="s">
        <v>53</v>
      </c>
      <c r="J350" s="1" t="s">
        <v>141</v>
      </c>
      <c r="K350" s="1" t="s">
        <v>148</v>
      </c>
      <c r="L350" s="1" t="s">
        <v>66</v>
      </c>
      <c r="M350" s="1" t="s">
        <v>169</v>
      </c>
      <c r="N350">
        <v>158853.01</v>
      </c>
      <c r="O350">
        <v>0</v>
      </c>
      <c r="P350">
        <v>97487.52</v>
      </c>
      <c r="Q350">
        <v>2</v>
      </c>
      <c r="R350">
        <v>198</v>
      </c>
      <c r="S350">
        <v>2</v>
      </c>
      <c r="T350" s="1" t="s">
        <v>46</v>
      </c>
      <c r="U350" s="1" t="s">
        <v>95</v>
      </c>
      <c r="V350" s="1" t="s">
        <v>33</v>
      </c>
      <c r="W350" s="1" t="s">
        <v>131</v>
      </c>
    </row>
    <row r="351" spans="1:23" x14ac:dyDescent="0.35">
      <c r="A351" s="1" t="s">
        <v>980</v>
      </c>
      <c r="B351" s="1" t="s">
        <v>723</v>
      </c>
      <c r="C351">
        <v>31</v>
      </c>
      <c r="D351" s="1" t="s">
        <v>25</v>
      </c>
      <c r="E351" s="1" t="s">
        <v>51</v>
      </c>
      <c r="F351" s="1" t="s">
        <v>27</v>
      </c>
      <c r="G351" s="1" t="s">
        <v>981</v>
      </c>
      <c r="H351" s="2">
        <v>45535</v>
      </c>
      <c r="I351" s="1" t="s">
        <v>277</v>
      </c>
      <c r="J351" s="1" t="s">
        <v>137</v>
      </c>
      <c r="K351" s="1" t="s">
        <v>116</v>
      </c>
      <c r="L351" s="1" t="s">
        <v>44</v>
      </c>
      <c r="M351" s="1" t="s">
        <v>142</v>
      </c>
      <c r="N351">
        <v>256888.21</v>
      </c>
      <c r="O351">
        <v>37355.599999999999</v>
      </c>
      <c r="P351">
        <v>37967.769999999997</v>
      </c>
      <c r="Q351">
        <v>5</v>
      </c>
      <c r="R351">
        <v>36</v>
      </c>
      <c r="S351">
        <v>2.8</v>
      </c>
      <c r="T351" s="1" t="s">
        <v>34</v>
      </c>
      <c r="U351" s="1" t="s">
        <v>95</v>
      </c>
      <c r="V351" s="1" t="s">
        <v>68</v>
      </c>
      <c r="W351" s="1" t="s">
        <v>83</v>
      </c>
    </row>
    <row r="352" spans="1:23" x14ac:dyDescent="0.35">
      <c r="A352" s="1" t="s">
        <v>982</v>
      </c>
      <c r="B352" s="1" t="s">
        <v>983</v>
      </c>
      <c r="C352">
        <v>24</v>
      </c>
      <c r="D352" s="1" t="s">
        <v>25</v>
      </c>
      <c r="E352" s="1" t="s">
        <v>157</v>
      </c>
      <c r="F352" s="1" t="s">
        <v>120</v>
      </c>
      <c r="G352" s="1" t="s">
        <v>984</v>
      </c>
      <c r="H352" s="2">
        <v>45467</v>
      </c>
      <c r="I352" s="1" t="s">
        <v>33</v>
      </c>
      <c r="J352" s="1" t="s">
        <v>90</v>
      </c>
      <c r="K352" s="1" t="s">
        <v>33</v>
      </c>
      <c r="L352" s="1" t="s">
        <v>92</v>
      </c>
      <c r="M352" s="1" t="s">
        <v>183</v>
      </c>
      <c r="N352">
        <v>210595.04</v>
      </c>
      <c r="O352">
        <v>12106</v>
      </c>
      <c r="P352">
        <v>65461.56</v>
      </c>
      <c r="Q352">
        <v>1</v>
      </c>
      <c r="R352">
        <v>206</v>
      </c>
      <c r="S352">
        <v>2.9</v>
      </c>
      <c r="T352" s="1" t="s">
        <v>33</v>
      </c>
      <c r="U352" s="1" t="s">
        <v>101</v>
      </c>
      <c r="V352" s="1" t="s">
        <v>33</v>
      </c>
      <c r="W352" s="1" t="s">
        <v>103</v>
      </c>
    </row>
    <row r="353" spans="1:23" x14ac:dyDescent="0.35">
      <c r="A353" s="1" t="s">
        <v>985</v>
      </c>
      <c r="B353" s="1" t="s">
        <v>561</v>
      </c>
      <c r="C353">
        <v>53</v>
      </c>
      <c r="D353" s="1" t="s">
        <v>71</v>
      </c>
      <c r="E353" s="1" t="s">
        <v>51</v>
      </c>
      <c r="F353" s="1" t="s">
        <v>193</v>
      </c>
      <c r="G353" s="1" t="s">
        <v>197</v>
      </c>
      <c r="H353" s="2">
        <v>46107</v>
      </c>
      <c r="I353" s="1" t="s">
        <v>100</v>
      </c>
      <c r="J353" s="1" t="s">
        <v>152</v>
      </c>
      <c r="K353" s="1" t="s">
        <v>55</v>
      </c>
      <c r="L353" s="1" t="s">
        <v>44</v>
      </c>
      <c r="M353" s="1" t="s">
        <v>93</v>
      </c>
      <c r="N353">
        <v>286080.32</v>
      </c>
      <c r="O353">
        <v>31898.880000000001</v>
      </c>
      <c r="P353">
        <v>67280.47</v>
      </c>
      <c r="Q353">
        <v>3</v>
      </c>
      <c r="R353">
        <v>131</v>
      </c>
      <c r="S353">
        <v>2.1</v>
      </c>
      <c r="T353" s="1" t="s">
        <v>33</v>
      </c>
      <c r="U353" s="1" t="s">
        <v>33</v>
      </c>
      <c r="V353" s="1" t="s">
        <v>102</v>
      </c>
      <c r="W353" s="1" t="s">
        <v>103</v>
      </c>
    </row>
    <row r="354" spans="1:23" x14ac:dyDescent="0.35">
      <c r="A354" s="1" t="s">
        <v>986</v>
      </c>
      <c r="B354" s="1" t="s">
        <v>350</v>
      </c>
      <c r="C354">
        <v>62</v>
      </c>
      <c r="D354" s="1" t="s">
        <v>39</v>
      </c>
      <c r="E354" s="1" t="s">
        <v>192</v>
      </c>
      <c r="F354" s="1" t="s">
        <v>44</v>
      </c>
      <c r="G354" s="1" t="s">
        <v>987</v>
      </c>
      <c r="H354" s="2">
        <v>45944</v>
      </c>
      <c r="I354" s="1" t="s">
        <v>33</v>
      </c>
      <c r="J354" s="1" t="s">
        <v>87</v>
      </c>
      <c r="K354" s="1" t="s">
        <v>148</v>
      </c>
      <c r="L354" s="1" t="s">
        <v>44</v>
      </c>
      <c r="M354" s="1" t="s">
        <v>45</v>
      </c>
      <c r="N354">
        <v>113139.95</v>
      </c>
      <c r="O354">
        <v>30948.45</v>
      </c>
      <c r="P354">
        <v>65499.87</v>
      </c>
      <c r="Q354">
        <v>5</v>
      </c>
      <c r="R354">
        <v>79</v>
      </c>
      <c r="S354">
        <v>5</v>
      </c>
      <c r="T354" s="1" t="s">
        <v>33</v>
      </c>
      <c r="U354" s="1" t="s">
        <v>58</v>
      </c>
      <c r="V354" s="1" t="s">
        <v>33</v>
      </c>
      <c r="W354" s="1" t="s">
        <v>33</v>
      </c>
    </row>
    <row r="355" spans="1:23" x14ac:dyDescent="0.35">
      <c r="A355" s="1" t="s">
        <v>988</v>
      </c>
      <c r="B355" s="1" t="s">
        <v>223</v>
      </c>
      <c r="C355">
        <v>25</v>
      </c>
      <c r="D355" s="1" t="s">
        <v>119</v>
      </c>
      <c r="E355" s="1" t="s">
        <v>192</v>
      </c>
      <c r="F355" s="1" t="s">
        <v>27</v>
      </c>
      <c r="G355" s="1" t="s">
        <v>989</v>
      </c>
      <c r="H355" s="2">
        <v>45486</v>
      </c>
      <c r="I355" s="1" t="s">
        <v>33</v>
      </c>
      <c r="J355" s="1" t="s">
        <v>90</v>
      </c>
      <c r="K355" s="1" t="s">
        <v>55</v>
      </c>
      <c r="L355" s="1" t="s">
        <v>33</v>
      </c>
      <c r="M355" s="1" t="s">
        <v>93</v>
      </c>
      <c r="N355">
        <v>26653.759999999998</v>
      </c>
      <c r="O355">
        <v>37595.46</v>
      </c>
      <c r="P355">
        <v>66646.880000000005</v>
      </c>
      <c r="Q355">
        <v>16</v>
      </c>
      <c r="R355">
        <v>77</v>
      </c>
      <c r="S355">
        <v>5</v>
      </c>
      <c r="T355" s="1" t="s">
        <v>46</v>
      </c>
      <c r="U355" s="1" t="s">
        <v>33</v>
      </c>
      <c r="V355" s="1" t="s">
        <v>130</v>
      </c>
      <c r="W355" s="1" t="s">
        <v>33</v>
      </c>
    </row>
    <row r="356" spans="1:23" x14ac:dyDescent="0.35">
      <c r="A356" s="1" t="s">
        <v>990</v>
      </c>
      <c r="B356" s="1" t="s">
        <v>723</v>
      </c>
      <c r="C356">
        <v>58</v>
      </c>
      <c r="D356" s="1" t="s">
        <v>71</v>
      </c>
      <c r="E356" s="1" t="s">
        <v>203</v>
      </c>
      <c r="F356" s="1" t="s">
        <v>98</v>
      </c>
      <c r="G356" s="1" t="s">
        <v>991</v>
      </c>
      <c r="H356" s="2">
        <v>45845</v>
      </c>
      <c r="I356" s="1" t="s">
        <v>159</v>
      </c>
      <c r="J356" s="1" t="s">
        <v>242</v>
      </c>
      <c r="K356" s="1" t="s">
        <v>148</v>
      </c>
      <c r="L356" s="1" t="s">
        <v>32</v>
      </c>
      <c r="M356" s="1" t="s">
        <v>57</v>
      </c>
      <c r="N356">
        <v>135179.49</v>
      </c>
      <c r="O356">
        <v>72984.45</v>
      </c>
      <c r="P356">
        <v>104775.46</v>
      </c>
      <c r="Q356">
        <v>1</v>
      </c>
      <c r="R356">
        <v>37</v>
      </c>
      <c r="S356">
        <v>3</v>
      </c>
      <c r="T356" s="1" t="s">
        <v>46</v>
      </c>
      <c r="U356" s="1" t="s">
        <v>149</v>
      </c>
      <c r="V356" s="1" t="s">
        <v>33</v>
      </c>
      <c r="W356" s="1" t="s">
        <v>33</v>
      </c>
    </row>
    <row r="357" spans="1:23" x14ac:dyDescent="0.35">
      <c r="A357" s="1" t="s">
        <v>992</v>
      </c>
      <c r="B357" s="1" t="s">
        <v>133</v>
      </c>
      <c r="C357">
        <v>34</v>
      </c>
      <c r="D357" s="1" t="s">
        <v>106</v>
      </c>
      <c r="E357" s="1" t="s">
        <v>203</v>
      </c>
      <c r="F357" s="1" t="s">
        <v>44</v>
      </c>
      <c r="G357" s="1" t="s">
        <v>167</v>
      </c>
      <c r="H357" s="2">
        <v>45554</v>
      </c>
      <c r="I357" s="1" t="s">
        <v>127</v>
      </c>
      <c r="J357" s="1" t="s">
        <v>80</v>
      </c>
      <c r="K357" s="1" t="s">
        <v>148</v>
      </c>
      <c r="L357" s="1" t="s">
        <v>92</v>
      </c>
      <c r="M357" s="1" t="s">
        <v>45</v>
      </c>
      <c r="N357">
        <v>213642.43</v>
      </c>
      <c r="O357">
        <v>30634.71</v>
      </c>
      <c r="P357">
        <v>0</v>
      </c>
      <c r="Q357">
        <v>5</v>
      </c>
      <c r="R357">
        <v>93</v>
      </c>
      <c r="S357">
        <v>2.8</v>
      </c>
      <c r="T357" s="1" t="s">
        <v>34</v>
      </c>
      <c r="U357" s="1" t="s">
        <v>95</v>
      </c>
      <c r="V357" s="1" t="s">
        <v>33</v>
      </c>
      <c r="W357" s="1" t="s">
        <v>33</v>
      </c>
    </row>
    <row r="358" spans="1:23" x14ac:dyDescent="0.35">
      <c r="A358" s="1" t="s">
        <v>993</v>
      </c>
      <c r="B358" s="1" t="s">
        <v>353</v>
      </c>
      <c r="C358">
        <v>74</v>
      </c>
      <c r="D358" s="1" t="s">
        <v>106</v>
      </c>
      <c r="E358" s="1" t="s">
        <v>40</v>
      </c>
      <c r="F358" s="1" t="s">
        <v>98</v>
      </c>
      <c r="G358" s="1" t="s">
        <v>994</v>
      </c>
      <c r="H358" s="2">
        <v>46059</v>
      </c>
      <c r="I358" s="1" t="s">
        <v>127</v>
      </c>
      <c r="J358" s="1" t="s">
        <v>152</v>
      </c>
      <c r="K358" s="1" t="s">
        <v>31</v>
      </c>
      <c r="L358" s="1" t="s">
        <v>44</v>
      </c>
      <c r="M358" s="1" t="s">
        <v>183</v>
      </c>
      <c r="N358">
        <v>44089.03</v>
      </c>
      <c r="O358">
        <v>50330.13</v>
      </c>
      <c r="P358">
        <v>36631.11</v>
      </c>
      <c r="Q358">
        <v>2</v>
      </c>
      <c r="R358">
        <v>74</v>
      </c>
      <c r="S358">
        <v>4.7</v>
      </c>
      <c r="T358" s="1" t="s">
        <v>46</v>
      </c>
      <c r="U358" s="1" t="s">
        <v>33</v>
      </c>
      <c r="V358" s="1" t="s">
        <v>68</v>
      </c>
      <c r="W358" s="1" t="s">
        <v>179</v>
      </c>
    </row>
    <row r="359" spans="1:23" x14ac:dyDescent="0.35">
      <c r="A359" s="1" t="s">
        <v>995</v>
      </c>
      <c r="B359" s="1" t="s">
        <v>196</v>
      </c>
      <c r="C359">
        <v>55</v>
      </c>
      <c r="D359" s="1" t="s">
        <v>33</v>
      </c>
      <c r="E359" s="1" t="s">
        <v>192</v>
      </c>
      <c r="F359" s="1" t="s">
        <v>87</v>
      </c>
      <c r="G359" s="1" t="s">
        <v>996</v>
      </c>
      <c r="H359" s="2">
        <v>45920</v>
      </c>
      <c r="I359" s="1" t="s">
        <v>173</v>
      </c>
      <c r="J359" s="1" t="s">
        <v>147</v>
      </c>
      <c r="K359" s="1" t="s">
        <v>91</v>
      </c>
      <c r="L359" s="1" t="s">
        <v>33</v>
      </c>
      <c r="M359" s="1" t="s">
        <v>183</v>
      </c>
      <c r="N359">
        <v>355545.85</v>
      </c>
      <c r="O359">
        <v>21717.29</v>
      </c>
      <c r="P359">
        <v>26632.9</v>
      </c>
      <c r="Q359">
        <v>4</v>
      </c>
      <c r="R359">
        <v>13</v>
      </c>
      <c r="S359">
        <v>2.6</v>
      </c>
      <c r="T359" s="1" t="s">
        <v>94</v>
      </c>
      <c r="U359" s="1" t="s">
        <v>67</v>
      </c>
      <c r="V359" s="1" t="s">
        <v>164</v>
      </c>
      <c r="W359" s="1" t="s">
        <v>59</v>
      </c>
    </row>
    <row r="360" spans="1:23" x14ac:dyDescent="0.35">
      <c r="A360" s="1" t="s">
        <v>997</v>
      </c>
      <c r="B360" s="1" t="s">
        <v>533</v>
      </c>
      <c r="C360">
        <v>70</v>
      </c>
      <c r="D360" s="1" t="s">
        <v>39</v>
      </c>
      <c r="E360" s="1" t="s">
        <v>192</v>
      </c>
      <c r="F360" s="1" t="s">
        <v>98</v>
      </c>
      <c r="G360" s="1" t="s">
        <v>998</v>
      </c>
      <c r="H360" s="2">
        <v>45785</v>
      </c>
      <c r="I360" s="1" t="s">
        <v>235</v>
      </c>
      <c r="J360" s="1" t="s">
        <v>30</v>
      </c>
      <c r="K360" s="1" t="s">
        <v>153</v>
      </c>
      <c r="L360" s="1" t="s">
        <v>92</v>
      </c>
      <c r="M360" s="1" t="s">
        <v>45</v>
      </c>
      <c r="N360">
        <v>30849.59</v>
      </c>
      <c r="O360">
        <v>0</v>
      </c>
      <c r="P360">
        <v>59455.98</v>
      </c>
      <c r="Q360">
        <v>24</v>
      </c>
      <c r="R360">
        <v>136</v>
      </c>
      <c r="S360">
        <v>4.4000000000000004</v>
      </c>
      <c r="T360" s="1" t="s">
        <v>154</v>
      </c>
      <c r="U360" s="1" t="s">
        <v>149</v>
      </c>
      <c r="V360" s="1" t="s">
        <v>68</v>
      </c>
      <c r="W360" s="1" t="s">
        <v>131</v>
      </c>
    </row>
    <row r="361" spans="1:23" x14ac:dyDescent="0.35">
      <c r="A361" s="1" t="s">
        <v>999</v>
      </c>
      <c r="B361" s="1" t="s">
        <v>1000</v>
      </c>
      <c r="C361">
        <v>40</v>
      </c>
      <c r="D361" s="1" t="s">
        <v>39</v>
      </c>
      <c r="E361" s="1" t="s">
        <v>40</v>
      </c>
      <c r="F361" s="1" t="s">
        <v>108</v>
      </c>
      <c r="G361" s="1" t="s">
        <v>1001</v>
      </c>
      <c r="H361" s="2">
        <v>45308</v>
      </c>
      <c r="I361" s="1" t="s">
        <v>235</v>
      </c>
      <c r="J361" s="1" t="s">
        <v>115</v>
      </c>
      <c r="K361" s="1" t="s">
        <v>81</v>
      </c>
      <c r="L361" s="1" t="s">
        <v>32</v>
      </c>
      <c r="M361" s="1" t="s">
        <v>82</v>
      </c>
      <c r="N361">
        <v>265903.13</v>
      </c>
      <c r="O361">
        <v>32147.33</v>
      </c>
      <c r="P361">
        <v>0</v>
      </c>
      <c r="Q361">
        <v>2</v>
      </c>
      <c r="R361">
        <v>77</v>
      </c>
      <c r="S361">
        <v>2.6</v>
      </c>
      <c r="T361" s="1" t="s">
        <v>34</v>
      </c>
      <c r="U361" s="1" t="s">
        <v>95</v>
      </c>
      <c r="V361" s="1" t="s">
        <v>33</v>
      </c>
      <c r="W361" s="1" t="s">
        <v>36</v>
      </c>
    </row>
    <row r="362" spans="1:23" x14ac:dyDescent="0.35">
      <c r="A362" s="1" t="s">
        <v>1002</v>
      </c>
      <c r="B362" s="1" t="s">
        <v>139</v>
      </c>
      <c r="C362">
        <v>92</v>
      </c>
      <c r="D362" s="1" t="s">
        <v>25</v>
      </c>
      <c r="E362" s="1" t="s">
        <v>203</v>
      </c>
      <c r="F362" s="1" t="s">
        <v>41</v>
      </c>
      <c r="G362" s="1" t="s">
        <v>1003</v>
      </c>
      <c r="H362" s="2">
        <v>46112</v>
      </c>
      <c r="I362" s="1" t="s">
        <v>257</v>
      </c>
      <c r="J362" s="1" t="s">
        <v>87</v>
      </c>
      <c r="K362" s="1" t="s">
        <v>174</v>
      </c>
      <c r="L362" s="1" t="s">
        <v>33</v>
      </c>
      <c r="M362" s="1" t="s">
        <v>169</v>
      </c>
      <c r="N362">
        <v>271447.43</v>
      </c>
      <c r="O362">
        <v>22161.759999999998</v>
      </c>
      <c r="P362">
        <v>72654.05</v>
      </c>
      <c r="Q362">
        <v>3</v>
      </c>
      <c r="R362">
        <v>131</v>
      </c>
      <c r="S362">
        <v>4.2</v>
      </c>
      <c r="T362" s="1" t="s">
        <v>94</v>
      </c>
      <c r="U362" s="1" t="s">
        <v>33</v>
      </c>
      <c r="V362" s="1" t="s">
        <v>68</v>
      </c>
      <c r="W362" s="1" t="s">
        <v>83</v>
      </c>
    </row>
    <row r="363" spans="1:23" x14ac:dyDescent="0.35">
      <c r="A363" s="1" t="s">
        <v>1004</v>
      </c>
      <c r="B363" s="1" t="s">
        <v>1005</v>
      </c>
      <c r="C363">
        <v>88</v>
      </c>
      <c r="D363" s="1" t="s">
        <v>33</v>
      </c>
      <c r="E363" s="1" t="s">
        <v>26</v>
      </c>
      <c r="F363" s="1" t="s">
        <v>41</v>
      </c>
      <c r="G363" s="1" t="s">
        <v>1006</v>
      </c>
      <c r="H363" s="2">
        <v>46016</v>
      </c>
      <c r="I363" s="1" t="s">
        <v>53</v>
      </c>
      <c r="J363" s="1" t="s">
        <v>43</v>
      </c>
      <c r="K363" s="1" t="s">
        <v>163</v>
      </c>
      <c r="L363" s="1" t="s">
        <v>33</v>
      </c>
      <c r="M363" s="1" t="s">
        <v>33</v>
      </c>
      <c r="N363">
        <v>61675.62</v>
      </c>
      <c r="O363">
        <v>41840.800000000003</v>
      </c>
      <c r="P363">
        <v>17208.57</v>
      </c>
      <c r="Q363">
        <v>4</v>
      </c>
      <c r="R363">
        <v>136</v>
      </c>
      <c r="S363">
        <v>2.5</v>
      </c>
      <c r="T363" s="1" t="s">
        <v>33</v>
      </c>
      <c r="U363" s="1" t="s">
        <v>149</v>
      </c>
      <c r="V363" s="1" t="s">
        <v>47</v>
      </c>
      <c r="W363" s="1" t="s">
        <v>33</v>
      </c>
    </row>
    <row r="364" spans="1:23" x14ac:dyDescent="0.35">
      <c r="A364" s="1" t="s">
        <v>1007</v>
      </c>
      <c r="B364" s="1" t="s">
        <v>983</v>
      </c>
      <c r="C364">
        <v>36</v>
      </c>
      <c r="D364" s="1" t="s">
        <v>39</v>
      </c>
      <c r="E364" s="1" t="s">
        <v>263</v>
      </c>
      <c r="F364" s="1" t="s">
        <v>27</v>
      </c>
      <c r="G364" s="1" t="s">
        <v>1008</v>
      </c>
      <c r="H364" s="2">
        <v>45597</v>
      </c>
      <c r="I364" s="1" t="s">
        <v>159</v>
      </c>
      <c r="J364" s="1" t="s">
        <v>43</v>
      </c>
      <c r="K364" s="1" t="s">
        <v>116</v>
      </c>
      <c r="L364" s="1" t="s">
        <v>44</v>
      </c>
      <c r="M364" s="1" t="s">
        <v>82</v>
      </c>
      <c r="N364">
        <v>356614.34</v>
      </c>
      <c r="O364">
        <v>52961.36</v>
      </c>
      <c r="P364">
        <v>7628.48</v>
      </c>
      <c r="Q364">
        <v>2</v>
      </c>
      <c r="R364">
        <v>99</v>
      </c>
      <c r="S364">
        <v>2.8</v>
      </c>
      <c r="T364" s="1" t="s">
        <v>34</v>
      </c>
      <c r="U364" s="1" t="s">
        <v>95</v>
      </c>
      <c r="V364" s="1" t="s">
        <v>47</v>
      </c>
      <c r="W364" s="1" t="s">
        <v>36</v>
      </c>
    </row>
    <row r="365" spans="1:23" x14ac:dyDescent="0.35">
      <c r="A365" s="1" t="s">
        <v>1009</v>
      </c>
      <c r="B365" s="1" t="s">
        <v>233</v>
      </c>
      <c r="C365">
        <v>38</v>
      </c>
      <c r="D365" s="1" t="s">
        <v>25</v>
      </c>
      <c r="E365" s="1" t="s">
        <v>112</v>
      </c>
      <c r="F365" s="1" t="s">
        <v>135</v>
      </c>
      <c r="G365" s="1" t="s">
        <v>1010</v>
      </c>
      <c r="H365" s="2">
        <v>46014</v>
      </c>
      <c r="I365" s="1" t="s">
        <v>235</v>
      </c>
      <c r="J365" s="1" t="s">
        <v>30</v>
      </c>
      <c r="K365" s="1" t="s">
        <v>174</v>
      </c>
      <c r="L365" s="1" t="s">
        <v>44</v>
      </c>
      <c r="M365" s="1" t="s">
        <v>33</v>
      </c>
      <c r="N365">
        <v>176812.41</v>
      </c>
      <c r="O365">
        <v>90667.91</v>
      </c>
      <c r="P365">
        <v>57988.79</v>
      </c>
      <c r="Q365">
        <v>1</v>
      </c>
      <c r="R365">
        <v>0</v>
      </c>
      <c r="S365">
        <v>3</v>
      </c>
      <c r="T365" s="1" t="s">
        <v>94</v>
      </c>
      <c r="U365" s="1" t="s">
        <v>101</v>
      </c>
      <c r="V365" s="1" t="s">
        <v>68</v>
      </c>
      <c r="W365" s="1" t="s">
        <v>103</v>
      </c>
    </row>
    <row r="366" spans="1:23" x14ac:dyDescent="0.35">
      <c r="A366" s="1" t="s">
        <v>1011</v>
      </c>
      <c r="B366" s="1" t="s">
        <v>328</v>
      </c>
      <c r="C366">
        <v>88</v>
      </c>
      <c r="D366" s="1" t="s">
        <v>25</v>
      </c>
      <c r="E366" s="1" t="s">
        <v>33</v>
      </c>
      <c r="F366" s="1" t="s">
        <v>27</v>
      </c>
      <c r="G366" s="1" t="s">
        <v>1012</v>
      </c>
      <c r="H366" s="2">
        <v>45795</v>
      </c>
      <c r="I366" s="1" t="s">
        <v>114</v>
      </c>
      <c r="J366" s="1" t="s">
        <v>137</v>
      </c>
      <c r="K366" s="1" t="s">
        <v>81</v>
      </c>
      <c r="L366" s="1" t="s">
        <v>66</v>
      </c>
      <c r="M366" s="1" t="s">
        <v>33</v>
      </c>
      <c r="N366">
        <v>0</v>
      </c>
      <c r="O366">
        <v>0</v>
      </c>
      <c r="P366">
        <v>101128.96000000001</v>
      </c>
      <c r="Q366">
        <v>6</v>
      </c>
      <c r="R366">
        <v>124</v>
      </c>
      <c r="S366">
        <v>2.6</v>
      </c>
      <c r="T366" s="1" t="s">
        <v>34</v>
      </c>
      <c r="U366" s="1" t="s">
        <v>35</v>
      </c>
      <c r="V366" s="1" t="s">
        <v>68</v>
      </c>
      <c r="W366" s="1" t="s">
        <v>33</v>
      </c>
    </row>
    <row r="367" spans="1:23" x14ac:dyDescent="0.35">
      <c r="A367" s="1" t="s">
        <v>1013</v>
      </c>
      <c r="B367" s="1" t="s">
        <v>446</v>
      </c>
      <c r="C367">
        <v>0</v>
      </c>
      <c r="D367" s="1" t="s">
        <v>25</v>
      </c>
      <c r="E367" s="1" t="s">
        <v>177</v>
      </c>
      <c r="F367" s="1" t="s">
        <v>41</v>
      </c>
      <c r="G367" s="1" t="s">
        <v>1014</v>
      </c>
      <c r="H367" s="2">
        <v>45578</v>
      </c>
      <c r="I367" s="1" t="s">
        <v>277</v>
      </c>
      <c r="J367" s="1" t="s">
        <v>33</v>
      </c>
      <c r="K367" s="1" t="s">
        <v>31</v>
      </c>
      <c r="L367" s="1" t="s">
        <v>92</v>
      </c>
      <c r="M367" s="1" t="s">
        <v>33</v>
      </c>
      <c r="N367">
        <v>220472.57</v>
      </c>
      <c r="O367">
        <v>38195.53</v>
      </c>
      <c r="P367">
        <v>72728.100000000006</v>
      </c>
      <c r="Q367">
        <v>4</v>
      </c>
      <c r="R367">
        <v>18</v>
      </c>
      <c r="S367">
        <v>3.8</v>
      </c>
      <c r="T367" s="1" t="s">
        <v>46</v>
      </c>
      <c r="U367" s="1" t="s">
        <v>58</v>
      </c>
      <c r="V367" s="1" t="s">
        <v>33</v>
      </c>
      <c r="W367" s="1" t="s">
        <v>33</v>
      </c>
    </row>
    <row r="368" spans="1:23" x14ac:dyDescent="0.35">
      <c r="A368" s="1" t="s">
        <v>1015</v>
      </c>
      <c r="B368" s="1" t="s">
        <v>358</v>
      </c>
      <c r="C368">
        <v>48</v>
      </c>
      <c r="D368" s="1" t="s">
        <v>71</v>
      </c>
      <c r="E368" s="1" t="s">
        <v>33</v>
      </c>
      <c r="F368" s="1" t="s">
        <v>56</v>
      </c>
      <c r="G368" s="1" t="s">
        <v>858</v>
      </c>
      <c r="H368" s="2">
        <v>45315</v>
      </c>
      <c r="I368" s="1" t="s">
        <v>235</v>
      </c>
      <c r="J368" s="1" t="s">
        <v>115</v>
      </c>
      <c r="K368" s="1" t="s">
        <v>81</v>
      </c>
      <c r="L368" s="1" t="s">
        <v>66</v>
      </c>
      <c r="M368" s="1" t="s">
        <v>33</v>
      </c>
      <c r="N368">
        <v>94651.51</v>
      </c>
      <c r="O368">
        <v>19797.48</v>
      </c>
      <c r="P368">
        <v>15125.54</v>
      </c>
      <c r="Q368">
        <v>1</v>
      </c>
      <c r="R368">
        <v>143</v>
      </c>
      <c r="S368">
        <v>4.8</v>
      </c>
      <c r="T368" s="1" t="s">
        <v>33</v>
      </c>
      <c r="U368" s="1" t="s">
        <v>67</v>
      </c>
      <c r="V368" s="1" t="s">
        <v>33</v>
      </c>
      <c r="W368" s="1" t="s">
        <v>33</v>
      </c>
    </row>
    <row r="369" spans="1:23" x14ac:dyDescent="0.35">
      <c r="A369" s="1" t="s">
        <v>1016</v>
      </c>
      <c r="B369" s="1" t="s">
        <v>202</v>
      </c>
      <c r="C369">
        <v>43</v>
      </c>
      <c r="D369" s="1" t="s">
        <v>71</v>
      </c>
      <c r="E369" s="1" t="s">
        <v>33</v>
      </c>
      <c r="F369" s="1" t="s">
        <v>227</v>
      </c>
      <c r="G369" s="1" t="s">
        <v>609</v>
      </c>
      <c r="H369" s="2">
        <v>45560</v>
      </c>
      <c r="I369" s="1" t="s">
        <v>114</v>
      </c>
      <c r="J369" s="1" t="s">
        <v>43</v>
      </c>
      <c r="K369" s="1" t="s">
        <v>33</v>
      </c>
      <c r="L369" s="1" t="s">
        <v>44</v>
      </c>
      <c r="M369" s="1" t="s">
        <v>45</v>
      </c>
      <c r="N369">
        <v>17197.2</v>
      </c>
      <c r="O369">
        <v>22508.080000000002</v>
      </c>
      <c r="P369">
        <v>43493.86</v>
      </c>
      <c r="Q369">
        <v>2</v>
      </c>
      <c r="R369">
        <v>291</v>
      </c>
      <c r="S369">
        <v>2.2999999999999998</v>
      </c>
      <c r="T369" s="1" t="s">
        <v>33</v>
      </c>
      <c r="U369" s="1" t="s">
        <v>58</v>
      </c>
      <c r="V369" s="1" t="s">
        <v>33</v>
      </c>
      <c r="W369" s="1" t="s">
        <v>83</v>
      </c>
    </row>
    <row r="370" spans="1:23" x14ac:dyDescent="0.35">
      <c r="A370" s="1" t="s">
        <v>1017</v>
      </c>
      <c r="B370" s="1" t="s">
        <v>1018</v>
      </c>
      <c r="C370">
        <v>64</v>
      </c>
      <c r="D370" s="1" t="s">
        <v>78</v>
      </c>
      <c r="E370" s="1" t="s">
        <v>192</v>
      </c>
      <c r="F370" s="1" t="s">
        <v>108</v>
      </c>
      <c r="G370" s="1" t="s">
        <v>1019</v>
      </c>
      <c r="H370" s="2">
        <v>46226</v>
      </c>
      <c r="I370" s="1" t="s">
        <v>127</v>
      </c>
      <c r="J370" s="1" t="s">
        <v>141</v>
      </c>
      <c r="K370" s="1" t="s">
        <v>122</v>
      </c>
      <c r="L370" s="1" t="s">
        <v>92</v>
      </c>
      <c r="M370" s="1" t="s">
        <v>45</v>
      </c>
      <c r="N370">
        <v>259289.1</v>
      </c>
      <c r="O370">
        <v>73965.509999999995</v>
      </c>
      <c r="P370">
        <v>56163.16</v>
      </c>
      <c r="Q370">
        <v>8</v>
      </c>
      <c r="R370">
        <v>124</v>
      </c>
      <c r="S370">
        <v>3.6</v>
      </c>
      <c r="T370" s="1" t="s">
        <v>46</v>
      </c>
      <c r="U370" s="1" t="s">
        <v>58</v>
      </c>
      <c r="V370" s="1" t="s">
        <v>47</v>
      </c>
      <c r="W370" s="1" t="s">
        <v>83</v>
      </c>
    </row>
    <row r="371" spans="1:23" x14ac:dyDescent="0.35">
      <c r="A371" s="1" t="s">
        <v>1020</v>
      </c>
      <c r="B371" s="1" t="s">
        <v>1021</v>
      </c>
      <c r="C371">
        <v>67</v>
      </c>
      <c r="D371" s="1" t="s">
        <v>78</v>
      </c>
      <c r="E371" s="1" t="s">
        <v>107</v>
      </c>
      <c r="F371" s="1" t="s">
        <v>120</v>
      </c>
      <c r="G371" s="1" t="s">
        <v>991</v>
      </c>
      <c r="H371" s="2">
        <v>45851</v>
      </c>
      <c r="I371" s="1" t="s">
        <v>273</v>
      </c>
      <c r="J371" s="1" t="s">
        <v>115</v>
      </c>
      <c r="K371" s="1" t="s">
        <v>91</v>
      </c>
      <c r="L371" s="1" t="s">
        <v>33</v>
      </c>
      <c r="M371" s="1" t="s">
        <v>45</v>
      </c>
      <c r="N371">
        <v>132405.18</v>
      </c>
      <c r="O371">
        <v>0</v>
      </c>
      <c r="P371">
        <v>38910.58</v>
      </c>
      <c r="Q371">
        <v>7</v>
      </c>
      <c r="R371">
        <v>34</v>
      </c>
      <c r="S371">
        <v>3.6</v>
      </c>
      <c r="T371" s="1" t="s">
        <v>33</v>
      </c>
      <c r="U371" s="1" t="s">
        <v>67</v>
      </c>
      <c r="V371" s="1" t="s">
        <v>102</v>
      </c>
      <c r="W371" s="1" t="s">
        <v>36</v>
      </c>
    </row>
    <row r="372" spans="1:23" x14ac:dyDescent="0.35">
      <c r="A372" s="1" t="s">
        <v>1022</v>
      </c>
      <c r="B372" s="1" t="s">
        <v>1023</v>
      </c>
      <c r="C372">
        <v>32</v>
      </c>
      <c r="D372" s="1" t="s">
        <v>78</v>
      </c>
      <c r="E372" s="1" t="s">
        <v>203</v>
      </c>
      <c r="F372" s="1" t="s">
        <v>227</v>
      </c>
      <c r="G372" s="1" t="s">
        <v>1024</v>
      </c>
      <c r="H372" s="2">
        <v>46265</v>
      </c>
      <c r="I372" s="1" t="s">
        <v>127</v>
      </c>
      <c r="J372" s="1" t="s">
        <v>80</v>
      </c>
      <c r="K372" s="1" t="s">
        <v>91</v>
      </c>
      <c r="L372" s="1" t="s">
        <v>44</v>
      </c>
      <c r="M372" s="1" t="s">
        <v>45</v>
      </c>
      <c r="N372">
        <v>214004.73</v>
      </c>
      <c r="O372">
        <v>31450.57</v>
      </c>
      <c r="P372">
        <v>70452.929999999993</v>
      </c>
      <c r="Q372">
        <v>7</v>
      </c>
      <c r="R372">
        <v>0</v>
      </c>
      <c r="S372">
        <v>2.9</v>
      </c>
      <c r="T372" s="1" t="s">
        <v>154</v>
      </c>
      <c r="U372" s="1" t="s">
        <v>35</v>
      </c>
      <c r="V372" s="1" t="s">
        <v>164</v>
      </c>
      <c r="W372" s="1" t="s">
        <v>36</v>
      </c>
    </row>
    <row r="373" spans="1:23" x14ac:dyDescent="0.35">
      <c r="A373" s="1" t="s">
        <v>1025</v>
      </c>
      <c r="B373" s="1" t="s">
        <v>1026</v>
      </c>
      <c r="C373">
        <v>69</v>
      </c>
      <c r="D373" s="1" t="s">
        <v>71</v>
      </c>
      <c r="E373" s="1" t="s">
        <v>263</v>
      </c>
      <c r="F373" s="1" t="s">
        <v>108</v>
      </c>
      <c r="G373" s="1" t="s">
        <v>1027</v>
      </c>
      <c r="H373" s="2">
        <v>45494</v>
      </c>
      <c r="I373" s="1" t="s">
        <v>273</v>
      </c>
      <c r="J373" s="1" t="s">
        <v>87</v>
      </c>
      <c r="K373" s="1" t="s">
        <v>174</v>
      </c>
      <c r="L373" s="1" t="s">
        <v>33</v>
      </c>
      <c r="M373" s="1" t="s">
        <v>142</v>
      </c>
      <c r="N373">
        <v>151133.66</v>
      </c>
      <c r="O373">
        <v>0</v>
      </c>
      <c r="P373">
        <v>63591.34</v>
      </c>
      <c r="Q373">
        <v>3</v>
      </c>
      <c r="R373">
        <v>47</v>
      </c>
      <c r="S373">
        <v>2.2000000000000002</v>
      </c>
      <c r="T373" s="1" t="s">
        <v>154</v>
      </c>
      <c r="U373" s="1" t="s">
        <v>35</v>
      </c>
      <c r="V373" s="1" t="s">
        <v>33</v>
      </c>
      <c r="W373" s="1" t="s">
        <v>59</v>
      </c>
    </row>
    <row r="374" spans="1:23" x14ac:dyDescent="0.35">
      <c r="A374" s="1" t="s">
        <v>1028</v>
      </c>
      <c r="B374" s="1" t="s">
        <v>829</v>
      </c>
      <c r="C374">
        <v>38</v>
      </c>
      <c r="D374" s="1" t="s">
        <v>39</v>
      </c>
      <c r="E374" s="1" t="s">
        <v>219</v>
      </c>
      <c r="F374" s="1" t="s">
        <v>87</v>
      </c>
      <c r="G374" s="1" t="s">
        <v>1029</v>
      </c>
      <c r="H374" s="2">
        <v>45445</v>
      </c>
      <c r="I374" s="1" t="s">
        <v>173</v>
      </c>
      <c r="J374" s="1" t="s">
        <v>141</v>
      </c>
      <c r="K374" s="1" t="s">
        <v>153</v>
      </c>
      <c r="L374" s="1" t="s">
        <v>66</v>
      </c>
      <c r="M374" s="1" t="s">
        <v>74</v>
      </c>
      <c r="N374">
        <v>135335.75</v>
      </c>
      <c r="O374">
        <v>0</v>
      </c>
      <c r="P374">
        <v>71911.990000000005</v>
      </c>
      <c r="Q374">
        <v>2</v>
      </c>
      <c r="R374">
        <v>190</v>
      </c>
      <c r="S374">
        <v>4.5</v>
      </c>
      <c r="T374" s="1" t="s">
        <v>33</v>
      </c>
      <c r="U374" s="1" t="s">
        <v>33</v>
      </c>
      <c r="V374" s="1" t="s">
        <v>75</v>
      </c>
      <c r="W374" s="1" t="s">
        <v>59</v>
      </c>
    </row>
    <row r="375" spans="1:23" x14ac:dyDescent="0.35">
      <c r="A375" s="1" t="s">
        <v>1030</v>
      </c>
      <c r="B375" s="1" t="s">
        <v>468</v>
      </c>
      <c r="C375">
        <v>38</v>
      </c>
      <c r="D375" s="1" t="s">
        <v>39</v>
      </c>
      <c r="E375" s="1" t="s">
        <v>134</v>
      </c>
      <c r="F375" s="1" t="s">
        <v>135</v>
      </c>
      <c r="G375" s="1" t="s">
        <v>1031</v>
      </c>
      <c r="H375" s="2">
        <v>46212</v>
      </c>
      <c r="I375" s="1" t="s">
        <v>221</v>
      </c>
      <c r="J375" s="1" t="s">
        <v>147</v>
      </c>
      <c r="K375" s="1" t="s">
        <v>31</v>
      </c>
      <c r="L375" s="1" t="s">
        <v>66</v>
      </c>
      <c r="M375" s="1" t="s">
        <v>142</v>
      </c>
      <c r="N375">
        <v>219087.02</v>
      </c>
      <c r="O375">
        <v>44969.86</v>
      </c>
      <c r="P375">
        <v>65050.21</v>
      </c>
      <c r="Q375">
        <v>1</v>
      </c>
      <c r="R375">
        <v>39</v>
      </c>
      <c r="S375">
        <v>3.8</v>
      </c>
      <c r="T375" s="1" t="s">
        <v>34</v>
      </c>
      <c r="U375" s="1" t="s">
        <v>67</v>
      </c>
      <c r="V375" s="1" t="s">
        <v>75</v>
      </c>
      <c r="W375" s="1" t="s">
        <v>179</v>
      </c>
    </row>
    <row r="376" spans="1:23" x14ac:dyDescent="0.35">
      <c r="A376" s="1" t="s">
        <v>1032</v>
      </c>
      <c r="B376" s="1" t="s">
        <v>312</v>
      </c>
      <c r="C376">
        <v>75</v>
      </c>
      <c r="D376" s="1" t="s">
        <v>78</v>
      </c>
      <c r="E376" s="1" t="s">
        <v>112</v>
      </c>
      <c r="F376" s="1" t="s">
        <v>135</v>
      </c>
      <c r="G376" s="1" t="s">
        <v>1033</v>
      </c>
      <c r="H376" s="2">
        <v>45877</v>
      </c>
      <c r="I376" s="1" t="s">
        <v>89</v>
      </c>
      <c r="J376" s="1" t="s">
        <v>242</v>
      </c>
      <c r="K376" s="1" t="s">
        <v>174</v>
      </c>
      <c r="L376" s="1" t="s">
        <v>56</v>
      </c>
      <c r="M376" s="1" t="s">
        <v>169</v>
      </c>
      <c r="N376">
        <v>318630.92</v>
      </c>
      <c r="O376">
        <v>49726.42</v>
      </c>
      <c r="P376">
        <v>47514.8</v>
      </c>
      <c r="Q376">
        <v>4</v>
      </c>
      <c r="R376">
        <v>200</v>
      </c>
      <c r="S376">
        <v>4.2</v>
      </c>
      <c r="T376" s="1" t="s">
        <v>33</v>
      </c>
      <c r="U376" s="1" t="s">
        <v>58</v>
      </c>
      <c r="V376" s="1" t="s">
        <v>164</v>
      </c>
      <c r="W376" s="1" t="s">
        <v>33</v>
      </c>
    </row>
    <row r="377" spans="1:23" x14ac:dyDescent="0.35">
      <c r="A377" s="1" t="s">
        <v>1034</v>
      </c>
      <c r="B377" s="1" t="s">
        <v>77</v>
      </c>
      <c r="C377">
        <v>73</v>
      </c>
      <c r="D377" s="1" t="s">
        <v>33</v>
      </c>
      <c r="E377" s="1" t="s">
        <v>157</v>
      </c>
      <c r="F377" s="1" t="s">
        <v>56</v>
      </c>
      <c r="G377" s="1" t="s">
        <v>1035</v>
      </c>
      <c r="H377" s="2">
        <v>46147</v>
      </c>
      <c r="I377" s="1" t="s">
        <v>114</v>
      </c>
      <c r="J377" s="1" t="s">
        <v>115</v>
      </c>
      <c r="K377" s="1" t="s">
        <v>163</v>
      </c>
      <c r="L377" s="1" t="s">
        <v>56</v>
      </c>
      <c r="M377" s="1" t="s">
        <v>33</v>
      </c>
      <c r="N377">
        <v>317706.46000000002</v>
      </c>
      <c r="O377">
        <v>18923.900000000001</v>
      </c>
      <c r="P377">
        <v>30615.21</v>
      </c>
      <c r="Q377">
        <v>1</v>
      </c>
      <c r="R377">
        <v>117</v>
      </c>
      <c r="S377">
        <v>4.3</v>
      </c>
      <c r="T377" s="1" t="s">
        <v>94</v>
      </c>
      <c r="U377" s="1" t="s">
        <v>101</v>
      </c>
      <c r="V377" s="1" t="s">
        <v>130</v>
      </c>
      <c r="W377" s="1" t="s">
        <v>131</v>
      </c>
    </row>
    <row r="378" spans="1:23" x14ac:dyDescent="0.35">
      <c r="A378" s="1" t="s">
        <v>1036</v>
      </c>
      <c r="B378" s="1" t="s">
        <v>1037</v>
      </c>
      <c r="C378">
        <v>49</v>
      </c>
      <c r="D378" s="1" t="s">
        <v>33</v>
      </c>
      <c r="E378" s="1" t="s">
        <v>157</v>
      </c>
      <c r="F378" s="1" t="s">
        <v>227</v>
      </c>
      <c r="G378" s="1" t="s">
        <v>1038</v>
      </c>
      <c r="H378" s="2">
        <v>45559</v>
      </c>
      <c r="I378" s="1" t="s">
        <v>33</v>
      </c>
      <c r="J378" s="1" t="s">
        <v>80</v>
      </c>
      <c r="K378" s="1" t="s">
        <v>81</v>
      </c>
      <c r="L378" s="1" t="s">
        <v>44</v>
      </c>
      <c r="M378" s="1" t="s">
        <v>93</v>
      </c>
      <c r="N378">
        <v>457994.03</v>
      </c>
      <c r="O378">
        <v>56788.58</v>
      </c>
      <c r="P378">
        <v>50719.07</v>
      </c>
      <c r="Q378">
        <v>3</v>
      </c>
      <c r="R378">
        <v>165</v>
      </c>
      <c r="S378">
        <v>2.4</v>
      </c>
      <c r="T378" s="1" t="s">
        <v>154</v>
      </c>
      <c r="U378" s="1" t="s">
        <v>95</v>
      </c>
      <c r="V378" s="1" t="s">
        <v>102</v>
      </c>
      <c r="W378" s="1" t="s">
        <v>103</v>
      </c>
    </row>
    <row r="379" spans="1:23" x14ac:dyDescent="0.35">
      <c r="A379" s="1" t="s">
        <v>1039</v>
      </c>
      <c r="B379" s="1" t="s">
        <v>1040</v>
      </c>
      <c r="C379">
        <v>82</v>
      </c>
      <c r="D379" s="1" t="s">
        <v>119</v>
      </c>
      <c r="E379" s="1" t="s">
        <v>107</v>
      </c>
      <c r="F379" s="1" t="s">
        <v>63</v>
      </c>
      <c r="G379" s="1" t="s">
        <v>1041</v>
      </c>
      <c r="H379" s="2">
        <v>45660</v>
      </c>
      <c r="I379" s="1" t="s">
        <v>33</v>
      </c>
      <c r="J379" s="1" t="s">
        <v>65</v>
      </c>
      <c r="K379" s="1" t="s">
        <v>55</v>
      </c>
      <c r="L379" s="1" t="s">
        <v>92</v>
      </c>
      <c r="M379" s="1" t="s">
        <v>183</v>
      </c>
      <c r="N379">
        <v>189473.57</v>
      </c>
      <c r="O379">
        <v>8809.15</v>
      </c>
      <c r="P379">
        <v>25437.33</v>
      </c>
      <c r="Q379">
        <v>4</v>
      </c>
      <c r="R379">
        <v>13</v>
      </c>
      <c r="S379">
        <v>2.7</v>
      </c>
      <c r="T379" s="1" t="s">
        <v>33</v>
      </c>
      <c r="U379" s="1" t="s">
        <v>149</v>
      </c>
      <c r="V379" s="1" t="s">
        <v>75</v>
      </c>
      <c r="W379" s="1" t="s">
        <v>83</v>
      </c>
    </row>
    <row r="380" spans="1:23" x14ac:dyDescent="0.35">
      <c r="A380" s="1" t="s">
        <v>1042</v>
      </c>
      <c r="B380" s="1" t="s">
        <v>275</v>
      </c>
      <c r="C380">
        <v>12</v>
      </c>
      <c r="D380" s="1" t="s">
        <v>106</v>
      </c>
      <c r="E380" s="1" t="s">
        <v>157</v>
      </c>
      <c r="F380" s="1" t="s">
        <v>145</v>
      </c>
      <c r="G380" s="1" t="s">
        <v>1043</v>
      </c>
      <c r="H380" s="2">
        <v>46008</v>
      </c>
      <c r="I380" s="1" t="s">
        <v>173</v>
      </c>
      <c r="J380" s="1" t="s">
        <v>33</v>
      </c>
      <c r="K380" s="1" t="s">
        <v>163</v>
      </c>
      <c r="L380" s="1" t="s">
        <v>44</v>
      </c>
      <c r="M380" s="1" t="s">
        <v>45</v>
      </c>
      <c r="N380">
        <v>222186.57</v>
      </c>
      <c r="O380">
        <v>52556.93</v>
      </c>
      <c r="P380">
        <v>17767.310000000001</v>
      </c>
      <c r="Q380">
        <v>2</v>
      </c>
      <c r="R380">
        <v>208</v>
      </c>
      <c r="S380">
        <v>4.4000000000000004</v>
      </c>
      <c r="T380" s="1" t="s">
        <v>154</v>
      </c>
      <c r="U380" s="1" t="s">
        <v>58</v>
      </c>
      <c r="V380" s="1" t="s">
        <v>47</v>
      </c>
      <c r="W380" s="1" t="s">
        <v>33</v>
      </c>
    </row>
    <row r="381" spans="1:23" x14ac:dyDescent="0.35">
      <c r="A381" s="1" t="s">
        <v>1044</v>
      </c>
      <c r="B381" s="1" t="s">
        <v>1045</v>
      </c>
      <c r="C381">
        <v>28</v>
      </c>
      <c r="D381" s="1" t="s">
        <v>25</v>
      </c>
      <c r="E381" s="1" t="s">
        <v>134</v>
      </c>
      <c r="F381" s="1" t="s">
        <v>41</v>
      </c>
      <c r="G381" s="1" t="s">
        <v>359</v>
      </c>
      <c r="H381" s="2">
        <v>45490</v>
      </c>
      <c r="I381" s="1" t="s">
        <v>221</v>
      </c>
      <c r="J381" s="1" t="s">
        <v>87</v>
      </c>
      <c r="K381" s="1" t="s">
        <v>33</v>
      </c>
      <c r="L381" s="1" t="s">
        <v>32</v>
      </c>
      <c r="M381" s="1" t="s">
        <v>169</v>
      </c>
      <c r="N381">
        <v>339633.53</v>
      </c>
      <c r="O381">
        <v>2701.65</v>
      </c>
      <c r="P381">
        <v>71707.429999999993</v>
      </c>
      <c r="Q381">
        <v>6</v>
      </c>
      <c r="R381">
        <v>107</v>
      </c>
      <c r="S381">
        <v>4.4000000000000004</v>
      </c>
      <c r="T381" s="1" t="s">
        <v>46</v>
      </c>
      <c r="U381" s="1" t="s">
        <v>67</v>
      </c>
      <c r="V381" s="1" t="s">
        <v>164</v>
      </c>
      <c r="W381" s="1" t="s">
        <v>103</v>
      </c>
    </row>
    <row r="382" spans="1:23" x14ac:dyDescent="0.35">
      <c r="A382" s="1" t="s">
        <v>1046</v>
      </c>
      <c r="B382" s="1" t="s">
        <v>328</v>
      </c>
      <c r="C382">
        <v>23</v>
      </c>
      <c r="D382" s="1" t="s">
        <v>119</v>
      </c>
      <c r="E382" s="1" t="s">
        <v>157</v>
      </c>
      <c r="F382" s="1" t="s">
        <v>108</v>
      </c>
      <c r="G382" s="1" t="s">
        <v>952</v>
      </c>
      <c r="H382" s="2">
        <v>45604</v>
      </c>
      <c r="I382" s="1" t="s">
        <v>277</v>
      </c>
      <c r="J382" s="1" t="s">
        <v>33</v>
      </c>
      <c r="K382" s="1" t="s">
        <v>208</v>
      </c>
      <c r="L382" s="1" t="s">
        <v>32</v>
      </c>
      <c r="M382" s="1" t="s">
        <v>33</v>
      </c>
      <c r="N382">
        <v>303611.95</v>
      </c>
      <c r="O382">
        <v>6291.3</v>
      </c>
      <c r="P382">
        <v>58896.19</v>
      </c>
      <c r="Q382">
        <v>1</v>
      </c>
      <c r="R382">
        <v>0</v>
      </c>
      <c r="S382">
        <v>4.8</v>
      </c>
      <c r="T382" s="1" t="s">
        <v>46</v>
      </c>
      <c r="U382" s="1" t="s">
        <v>58</v>
      </c>
      <c r="V382" s="1" t="s">
        <v>102</v>
      </c>
      <c r="W382" s="1" t="s">
        <v>59</v>
      </c>
    </row>
    <row r="383" spans="1:23" x14ac:dyDescent="0.35">
      <c r="A383" s="1" t="s">
        <v>1047</v>
      </c>
      <c r="B383" s="1" t="s">
        <v>397</v>
      </c>
      <c r="C383">
        <v>55</v>
      </c>
      <c r="D383" s="1" t="s">
        <v>39</v>
      </c>
      <c r="E383" s="1" t="s">
        <v>51</v>
      </c>
      <c r="F383" s="1" t="s">
        <v>108</v>
      </c>
      <c r="G383" s="1" t="s">
        <v>681</v>
      </c>
      <c r="H383" s="2">
        <v>46068</v>
      </c>
      <c r="I383" s="1" t="s">
        <v>127</v>
      </c>
      <c r="J383" s="1" t="s">
        <v>141</v>
      </c>
      <c r="K383" s="1" t="s">
        <v>33</v>
      </c>
      <c r="L383" s="1" t="s">
        <v>33</v>
      </c>
      <c r="M383" s="1" t="s">
        <v>123</v>
      </c>
      <c r="N383">
        <v>307588.33</v>
      </c>
      <c r="O383">
        <v>12580.7</v>
      </c>
      <c r="P383">
        <v>62460.800000000003</v>
      </c>
      <c r="Q383">
        <v>1</v>
      </c>
      <c r="R383">
        <v>114</v>
      </c>
      <c r="S383">
        <v>3</v>
      </c>
      <c r="T383" s="1" t="s">
        <v>94</v>
      </c>
      <c r="U383" s="1" t="s">
        <v>95</v>
      </c>
      <c r="V383" s="1" t="s">
        <v>33</v>
      </c>
      <c r="W383" s="1" t="s">
        <v>131</v>
      </c>
    </row>
    <row r="384" spans="1:23" x14ac:dyDescent="0.35">
      <c r="A384" s="1" t="s">
        <v>1048</v>
      </c>
      <c r="B384" s="1" t="s">
        <v>624</v>
      </c>
      <c r="C384">
        <v>0</v>
      </c>
      <c r="D384" s="1" t="s">
        <v>71</v>
      </c>
      <c r="E384" s="1" t="s">
        <v>112</v>
      </c>
      <c r="F384" s="1" t="s">
        <v>135</v>
      </c>
      <c r="G384" s="1" t="s">
        <v>1049</v>
      </c>
      <c r="H384" s="2">
        <v>45909</v>
      </c>
      <c r="I384" s="1" t="s">
        <v>173</v>
      </c>
      <c r="J384" s="1" t="s">
        <v>141</v>
      </c>
      <c r="K384" s="1" t="s">
        <v>55</v>
      </c>
      <c r="L384" s="1" t="s">
        <v>32</v>
      </c>
      <c r="M384" s="1" t="s">
        <v>33</v>
      </c>
      <c r="N384">
        <v>268951.01</v>
      </c>
      <c r="O384">
        <v>0</v>
      </c>
      <c r="P384">
        <v>47860.33</v>
      </c>
      <c r="Q384">
        <v>1</v>
      </c>
      <c r="R384">
        <v>75</v>
      </c>
      <c r="S384">
        <v>4.5999999999999996</v>
      </c>
      <c r="T384" s="1" t="s">
        <v>33</v>
      </c>
      <c r="U384" s="1" t="s">
        <v>67</v>
      </c>
      <c r="V384" s="1" t="s">
        <v>47</v>
      </c>
      <c r="W384" s="1" t="s">
        <v>83</v>
      </c>
    </row>
    <row r="385" spans="1:23" x14ac:dyDescent="0.35">
      <c r="A385" s="1" t="s">
        <v>1050</v>
      </c>
      <c r="B385" s="1" t="s">
        <v>446</v>
      </c>
      <c r="C385">
        <v>35</v>
      </c>
      <c r="D385" s="1" t="s">
        <v>71</v>
      </c>
      <c r="E385" s="1" t="s">
        <v>112</v>
      </c>
      <c r="F385" s="1" t="s">
        <v>63</v>
      </c>
      <c r="G385" s="1" t="s">
        <v>162</v>
      </c>
      <c r="H385" s="2">
        <v>45835</v>
      </c>
      <c r="I385" s="1" t="s">
        <v>100</v>
      </c>
      <c r="J385" s="1" t="s">
        <v>33</v>
      </c>
      <c r="K385" s="1" t="s">
        <v>33</v>
      </c>
      <c r="L385" s="1" t="s">
        <v>92</v>
      </c>
      <c r="M385" s="1" t="s">
        <v>169</v>
      </c>
      <c r="N385">
        <v>322461.90000000002</v>
      </c>
      <c r="O385">
        <v>38376.449999999997</v>
      </c>
      <c r="P385">
        <v>54484.68</v>
      </c>
      <c r="Q385">
        <v>2</v>
      </c>
      <c r="R385">
        <v>130</v>
      </c>
      <c r="S385">
        <v>1.7</v>
      </c>
      <c r="T385" s="1" t="s">
        <v>33</v>
      </c>
      <c r="U385" s="1" t="s">
        <v>35</v>
      </c>
      <c r="V385" s="1" t="s">
        <v>68</v>
      </c>
      <c r="W385" s="1" t="s">
        <v>33</v>
      </c>
    </row>
    <row r="386" spans="1:23" x14ac:dyDescent="0.35">
      <c r="A386" s="1" t="s">
        <v>1051</v>
      </c>
      <c r="B386" s="1" t="s">
        <v>729</v>
      </c>
      <c r="C386">
        <v>56</v>
      </c>
      <c r="D386" s="1" t="s">
        <v>106</v>
      </c>
      <c r="E386" s="1" t="s">
        <v>62</v>
      </c>
      <c r="F386" s="1" t="s">
        <v>87</v>
      </c>
      <c r="G386" s="1" t="s">
        <v>1035</v>
      </c>
      <c r="H386" s="2">
        <v>46151</v>
      </c>
      <c r="I386" s="1" t="s">
        <v>159</v>
      </c>
      <c r="J386" s="1" t="s">
        <v>54</v>
      </c>
      <c r="K386" s="1" t="s">
        <v>31</v>
      </c>
      <c r="L386" s="1" t="s">
        <v>56</v>
      </c>
      <c r="M386" s="1" t="s">
        <v>57</v>
      </c>
      <c r="N386">
        <v>77664.36</v>
      </c>
      <c r="O386">
        <v>23897.99</v>
      </c>
      <c r="P386">
        <v>43820.78</v>
      </c>
      <c r="Q386">
        <v>5</v>
      </c>
      <c r="R386">
        <v>84</v>
      </c>
      <c r="S386">
        <v>4.0999999999999996</v>
      </c>
      <c r="T386" s="1" t="s">
        <v>34</v>
      </c>
      <c r="U386" s="1" t="s">
        <v>67</v>
      </c>
      <c r="V386" s="1" t="s">
        <v>75</v>
      </c>
      <c r="W386" s="1" t="s">
        <v>33</v>
      </c>
    </row>
    <row r="387" spans="1:23" x14ac:dyDescent="0.35">
      <c r="A387" s="1" t="s">
        <v>1052</v>
      </c>
      <c r="B387" s="1" t="s">
        <v>249</v>
      </c>
      <c r="C387">
        <v>66</v>
      </c>
      <c r="D387" s="1" t="s">
        <v>106</v>
      </c>
      <c r="E387" s="1" t="s">
        <v>33</v>
      </c>
      <c r="F387" s="1" t="s">
        <v>120</v>
      </c>
      <c r="G387" s="1" t="s">
        <v>1053</v>
      </c>
      <c r="H387" s="2">
        <v>45384</v>
      </c>
      <c r="I387" s="1" t="s">
        <v>89</v>
      </c>
      <c r="J387" s="1" t="s">
        <v>242</v>
      </c>
      <c r="K387" s="1" t="s">
        <v>91</v>
      </c>
      <c r="L387" s="1" t="s">
        <v>92</v>
      </c>
      <c r="M387" s="1" t="s">
        <v>33</v>
      </c>
      <c r="N387">
        <v>36289.31</v>
      </c>
      <c r="O387">
        <v>45551.75</v>
      </c>
      <c r="P387">
        <v>84868</v>
      </c>
      <c r="Q387">
        <v>8</v>
      </c>
      <c r="R387">
        <v>124</v>
      </c>
      <c r="S387">
        <v>5</v>
      </c>
      <c r="T387" s="1" t="s">
        <v>154</v>
      </c>
      <c r="U387" s="1" t="s">
        <v>33</v>
      </c>
      <c r="V387" s="1" t="s">
        <v>68</v>
      </c>
      <c r="W387" s="1" t="s">
        <v>33</v>
      </c>
    </row>
    <row r="388" spans="1:23" x14ac:dyDescent="0.35">
      <c r="A388" s="1" t="s">
        <v>1054</v>
      </c>
      <c r="B388" s="1" t="s">
        <v>125</v>
      </c>
      <c r="C388">
        <v>65</v>
      </c>
      <c r="D388" s="1" t="s">
        <v>106</v>
      </c>
      <c r="E388" s="1" t="s">
        <v>192</v>
      </c>
      <c r="F388" s="1" t="s">
        <v>44</v>
      </c>
      <c r="G388" s="1" t="s">
        <v>1055</v>
      </c>
      <c r="H388" s="2">
        <v>46265</v>
      </c>
      <c r="I388" s="1" t="s">
        <v>33</v>
      </c>
      <c r="J388" s="1" t="s">
        <v>65</v>
      </c>
      <c r="K388" s="1" t="s">
        <v>55</v>
      </c>
      <c r="L388" s="1" t="s">
        <v>56</v>
      </c>
      <c r="M388" s="1" t="s">
        <v>142</v>
      </c>
      <c r="N388">
        <v>254903.2</v>
      </c>
      <c r="O388">
        <v>56127.21</v>
      </c>
      <c r="P388">
        <v>49346.63</v>
      </c>
      <c r="Q388">
        <v>12</v>
      </c>
      <c r="R388">
        <v>96</v>
      </c>
      <c r="S388">
        <v>3.2</v>
      </c>
      <c r="T388" s="1" t="s">
        <v>154</v>
      </c>
      <c r="U388" s="1" t="s">
        <v>35</v>
      </c>
      <c r="V388" s="1" t="s">
        <v>75</v>
      </c>
      <c r="W388" s="1" t="s">
        <v>83</v>
      </c>
    </row>
    <row r="389" spans="1:23" x14ac:dyDescent="0.35">
      <c r="A389" s="1" t="s">
        <v>1056</v>
      </c>
      <c r="B389" s="1" t="s">
        <v>438</v>
      </c>
      <c r="C389">
        <v>24</v>
      </c>
      <c r="D389" s="1" t="s">
        <v>106</v>
      </c>
      <c r="E389" s="1" t="s">
        <v>112</v>
      </c>
      <c r="F389" s="1" t="s">
        <v>227</v>
      </c>
      <c r="G389" s="1" t="s">
        <v>1057</v>
      </c>
      <c r="H389" s="2">
        <v>45367</v>
      </c>
      <c r="I389" s="1" t="s">
        <v>159</v>
      </c>
      <c r="J389" s="1" t="s">
        <v>90</v>
      </c>
      <c r="K389" s="1" t="s">
        <v>33</v>
      </c>
      <c r="L389" s="1" t="s">
        <v>56</v>
      </c>
      <c r="M389" s="1" t="s">
        <v>57</v>
      </c>
      <c r="N389">
        <v>434531.48</v>
      </c>
      <c r="O389">
        <v>42496.6</v>
      </c>
      <c r="P389">
        <v>3020.81</v>
      </c>
      <c r="Q389">
        <v>9</v>
      </c>
      <c r="R389">
        <v>122</v>
      </c>
      <c r="S389">
        <v>1</v>
      </c>
      <c r="T389" s="1" t="s">
        <v>33</v>
      </c>
      <c r="U389" s="1" t="s">
        <v>33</v>
      </c>
      <c r="V389" s="1" t="s">
        <v>33</v>
      </c>
      <c r="W389" s="1" t="s">
        <v>12</v>
      </c>
    </row>
    <row r="390" spans="1:23" x14ac:dyDescent="0.35">
      <c r="A390" s="1" t="s">
        <v>1058</v>
      </c>
      <c r="B390" s="1" t="s">
        <v>196</v>
      </c>
      <c r="C390">
        <v>62</v>
      </c>
      <c r="D390" s="1" t="s">
        <v>39</v>
      </c>
      <c r="E390" s="1" t="s">
        <v>33</v>
      </c>
      <c r="F390" s="1" t="s">
        <v>145</v>
      </c>
      <c r="G390" s="1" t="s">
        <v>957</v>
      </c>
      <c r="H390" s="2">
        <v>45783</v>
      </c>
      <c r="I390" s="1" t="s">
        <v>29</v>
      </c>
      <c r="J390" s="1" t="s">
        <v>147</v>
      </c>
      <c r="K390" s="1" t="s">
        <v>33</v>
      </c>
      <c r="L390" s="1" t="s">
        <v>56</v>
      </c>
      <c r="M390" s="1" t="s">
        <v>57</v>
      </c>
      <c r="N390">
        <v>137070.17000000001</v>
      </c>
      <c r="O390">
        <v>33088.69</v>
      </c>
      <c r="P390">
        <v>103624.72</v>
      </c>
      <c r="Q390">
        <v>4</v>
      </c>
      <c r="R390">
        <v>57</v>
      </c>
      <c r="S390">
        <v>2.2999999999999998</v>
      </c>
      <c r="T390" s="1" t="s">
        <v>46</v>
      </c>
      <c r="U390" s="1" t="s">
        <v>58</v>
      </c>
      <c r="V390" s="1" t="s">
        <v>33</v>
      </c>
      <c r="W390" s="1" t="s">
        <v>33</v>
      </c>
    </row>
    <row r="391" spans="1:23" x14ac:dyDescent="0.35">
      <c r="A391" s="1" t="s">
        <v>1059</v>
      </c>
      <c r="B391" s="1" t="s">
        <v>494</v>
      </c>
      <c r="C391">
        <v>86</v>
      </c>
      <c r="D391" s="1" t="s">
        <v>39</v>
      </c>
      <c r="E391" s="1" t="s">
        <v>72</v>
      </c>
      <c r="F391" s="1" t="s">
        <v>135</v>
      </c>
      <c r="G391" s="1" t="s">
        <v>779</v>
      </c>
      <c r="H391" s="2">
        <v>45483</v>
      </c>
      <c r="I391" s="1" t="s">
        <v>114</v>
      </c>
      <c r="J391" s="1" t="s">
        <v>90</v>
      </c>
      <c r="K391" s="1" t="s">
        <v>81</v>
      </c>
      <c r="L391" s="1" t="s">
        <v>44</v>
      </c>
      <c r="M391" s="1" t="s">
        <v>57</v>
      </c>
      <c r="N391">
        <v>220517.39</v>
      </c>
      <c r="O391">
        <v>55286.58</v>
      </c>
      <c r="P391">
        <v>85244.28</v>
      </c>
      <c r="Q391">
        <v>8</v>
      </c>
      <c r="R391">
        <v>39</v>
      </c>
      <c r="S391">
        <v>3.1</v>
      </c>
      <c r="T391" s="1" t="s">
        <v>94</v>
      </c>
      <c r="U391" s="1" t="s">
        <v>33</v>
      </c>
      <c r="V391" s="1" t="s">
        <v>33</v>
      </c>
      <c r="W391" s="1" t="s">
        <v>59</v>
      </c>
    </row>
    <row r="392" spans="1:23" x14ac:dyDescent="0.35">
      <c r="A392" s="1" t="s">
        <v>1060</v>
      </c>
      <c r="B392" s="1" t="s">
        <v>716</v>
      </c>
      <c r="C392">
        <v>80</v>
      </c>
      <c r="D392" s="1" t="s">
        <v>119</v>
      </c>
      <c r="E392" s="1" t="s">
        <v>134</v>
      </c>
      <c r="F392" s="1" t="s">
        <v>120</v>
      </c>
      <c r="G392" s="1" t="s">
        <v>1061</v>
      </c>
      <c r="H392" s="2">
        <v>45317</v>
      </c>
      <c r="I392" s="1" t="s">
        <v>89</v>
      </c>
      <c r="J392" s="1" t="s">
        <v>137</v>
      </c>
      <c r="K392" s="1" t="s">
        <v>122</v>
      </c>
      <c r="L392" s="1" t="s">
        <v>33</v>
      </c>
      <c r="M392" s="1" t="s">
        <v>129</v>
      </c>
      <c r="N392">
        <v>298803.32</v>
      </c>
      <c r="O392">
        <v>8004.64</v>
      </c>
      <c r="P392">
        <v>104611.83</v>
      </c>
      <c r="Q392">
        <v>7</v>
      </c>
      <c r="R392">
        <v>55</v>
      </c>
      <c r="S392">
        <v>3.3</v>
      </c>
      <c r="T392" s="1" t="s">
        <v>46</v>
      </c>
      <c r="U392" s="1" t="s">
        <v>33</v>
      </c>
      <c r="V392" s="1" t="s">
        <v>130</v>
      </c>
      <c r="W392" s="1" t="s">
        <v>36</v>
      </c>
    </row>
    <row r="393" spans="1:23" x14ac:dyDescent="0.35">
      <c r="A393" s="1" t="s">
        <v>1062</v>
      </c>
      <c r="B393" s="1" t="s">
        <v>863</v>
      </c>
      <c r="C393">
        <v>77</v>
      </c>
      <c r="D393" s="1" t="s">
        <v>50</v>
      </c>
      <c r="E393" s="1" t="s">
        <v>62</v>
      </c>
      <c r="F393" s="1" t="s">
        <v>41</v>
      </c>
      <c r="G393" s="1" t="s">
        <v>714</v>
      </c>
      <c r="H393" s="2">
        <v>45433</v>
      </c>
      <c r="I393" s="1" t="s">
        <v>127</v>
      </c>
      <c r="J393" s="1" t="s">
        <v>90</v>
      </c>
      <c r="K393" s="1" t="s">
        <v>116</v>
      </c>
      <c r="L393" s="1" t="s">
        <v>56</v>
      </c>
      <c r="M393" s="1" t="s">
        <v>33</v>
      </c>
      <c r="N393">
        <v>339556.64</v>
      </c>
      <c r="O393">
        <v>40371.64</v>
      </c>
      <c r="P393">
        <v>58898.66</v>
      </c>
      <c r="Q393">
        <v>4</v>
      </c>
      <c r="R393">
        <v>98</v>
      </c>
      <c r="S393">
        <v>4.4000000000000004</v>
      </c>
      <c r="T393" s="1" t="s">
        <v>46</v>
      </c>
      <c r="U393" s="1" t="s">
        <v>33</v>
      </c>
      <c r="V393" s="1" t="s">
        <v>33</v>
      </c>
      <c r="W393" s="1" t="s">
        <v>33</v>
      </c>
    </row>
    <row r="394" spans="1:23" x14ac:dyDescent="0.35">
      <c r="A394" s="1" t="s">
        <v>1063</v>
      </c>
      <c r="B394" s="1" t="s">
        <v>470</v>
      </c>
      <c r="C394">
        <v>36</v>
      </c>
      <c r="D394" s="1" t="s">
        <v>50</v>
      </c>
      <c r="E394" s="1" t="s">
        <v>72</v>
      </c>
      <c r="F394" s="1" t="s">
        <v>44</v>
      </c>
      <c r="G394" s="1" t="s">
        <v>1064</v>
      </c>
      <c r="H394" s="2">
        <v>45654</v>
      </c>
      <c r="I394" s="1" t="s">
        <v>273</v>
      </c>
      <c r="J394" s="1" t="s">
        <v>90</v>
      </c>
      <c r="K394" s="1" t="s">
        <v>148</v>
      </c>
      <c r="L394" s="1" t="s">
        <v>32</v>
      </c>
      <c r="M394" s="1" t="s">
        <v>74</v>
      </c>
      <c r="N394">
        <v>253785.07</v>
      </c>
      <c r="O394">
        <v>1224.6500000000001</v>
      </c>
      <c r="P394">
        <v>56589.7</v>
      </c>
      <c r="Q394">
        <v>1</v>
      </c>
      <c r="R394">
        <v>79</v>
      </c>
      <c r="S394">
        <v>5</v>
      </c>
      <c r="T394" s="1" t="s">
        <v>34</v>
      </c>
      <c r="U394" s="1" t="s">
        <v>95</v>
      </c>
      <c r="V394" s="1" t="s">
        <v>47</v>
      </c>
      <c r="W394" s="1" t="s">
        <v>179</v>
      </c>
    </row>
    <row r="395" spans="1:23" x14ac:dyDescent="0.35">
      <c r="A395" s="1" t="s">
        <v>1065</v>
      </c>
      <c r="B395" s="1" t="s">
        <v>1066</v>
      </c>
      <c r="C395">
        <v>32</v>
      </c>
      <c r="D395" s="1" t="s">
        <v>50</v>
      </c>
      <c r="E395" s="1" t="s">
        <v>86</v>
      </c>
      <c r="F395" s="1" t="s">
        <v>27</v>
      </c>
      <c r="G395" s="1" t="s">
        <v>1067</v>
      </c>
      <c r="H395" s="2">
        <v>45541</v>
      </c>
      <c r="I395" s="1" t="s">
        <v>221</v>
      </c>
      <c r="J395" s="1" t="s">
        <v>33</v>
      </c>
      <c r="K395" s="1" t="s">
        <v>153</v>
      </c>
      <c r="L395" s="1" t="s">
        <v>44</v>
      </c>
      <c r="M395" s="1" t="s">
        <v>74</v>
      </c>
      <c r="N395">
        <v>198882.72</v>
      </c>
      <c r="O395">
        <v>28151.31</v>
      </c>
      <c r="P395">
        <v>31450.22</v>
      </c>
      <c r="Q395">
        <v>9</v>
      </c>
      <c r="R395">
        <v>109</v>
      </c>
      <c r="S395">
        <v>2.7</v>
      </c>
      <c r="T395" s="1" t="s">
        <v>154</v>
      </c>
      <c r="U395" s="1" t="s">
        <v>95</v>
      </c>
      <c r="V395" s="1" t="s">
        <v>47</v>
      </c>
      <c r="W395" s="1" t="s">
        <v>36</v>
      </c>
    </row>
    <row r="396" spans="1:23" x14ac:dyDescent="0.35">
      <c r="A396" s="1" t="s">
        <v>1068</v>
      </c>
      <c r="B396" s="1" t="s">
        <v>1069</v>
      </c>
      <c r="C396">
        <v>56</v>
      </c>
      <c r="D396" s="1" t="s">
        <v>106</v>
      </c>
      <c r="E396" s="1" t="s">
        <v>62</v>
      </c>
      <c r="F396" s="1" t="s">
        <v>193</v>
      </c>
      <c r="G396" s="1" t="s">
        <v>858</v>
      </c>
      <c r="H396" s="2">
        <v>45315</v>
      </c>
      <c r="I396" s="1" t="s">
        <v>89</v>
      </c>
      <c r="J396" s="1" t="s">
        <v>152</v>
      </c>
      <c r="K396" s="1" t="s">
        <v>81</v>
      </c>
      <c r="L396" s="1" t="s">
        <v>44</v>
      </c>
      <c r="M396" s="1" t="s">
        <v>142</v>
      </c>
      <c r="N396">
        <v>308134.14</v>
      </c>
      <c r="O396">
        <v>9892.11</v>
      </c>
      <c r="P396">
        <v>71860.66</v>
      </c>
      <c r="Q396">
        <v>1</v>
      </c>
      <c r="R396">
        <v>47</v>
      </c>
      <c r="S396">
        <v>4</v>
      </c>
      <c r="T396" s="1" t="s">
        <v>33</v>
      </c>
      <c r="U396" s="1" t="s">
        <v>101</v>
      </c>
      <c r="V396" s="1" t="s">
        <v>47</v>
      </c>
      <c r="W396" s="1" t="s">
        <v>33</v>
      </c>
    </row>
    <row r="397" spans="1:23" x14ac:dyDescent="0.35">
      <c r="A397" s="1" t="s">
        <v>1070</v>
      </c>
      <c r="B397" s="1" t="s">
        <v>938</v>
      </c>
      <c r="C397">
        <v>42</v>
      </c>
      <c r="D397" s="1" t="s">
        <v>25</v>
      </c>
      <c r="E397" s="1" t="s">
        <v>112</v>
      </c>
      <c r="F397" s="1" t="s">
        <v>63</v>
      </c>
      <c r="G397" s="1" t="s">
        <v>430</v>
      </c>
      <c r="H397" s="2">
        <v>46164</v>
      </c>
      <c r="I397" s="1" t="s">
        <v>29</v>
      </c>
      <c r="J397" s="1" t="s">
        <v>141</v>
      </c>
      <c r="K397" s="1" t="s">
        <v>153</v>
      </c>
      <c r="L397" s="1" t="s">
        <v>92</v>
      </c>
      <c r="M397" s="1" t="s">
        <v>129</v>
      </c>
      <c r="N397">
        <v>283663.73</v>
      </c>
      <c r="O397">
        <v>17089.259999999998</v>
      </c>
      <c r="P397">
        <v>39106</v>
      </c>
      <c r="Q397">
        <v>5</v>
      </c>
      <c r="R397">
        <v>79</v>
      </c>
      <c r="S397">
        <v>2.7</v>
      </c>
      <c r="T397" s="1" t="s">
        <v>33</v>
      </c>
      <c r="U397" s="1" t="s">
        <v>101</v>
      </c>
      <c r="V397" s="1" t="s">
        <v>75</v>
      </c>
      <c r="W397" s="1" t="s">
        <v>131</v>
      </c>
    </row>
    <row r="398" spans="1:23" x14ac:dyDescent="0.35">
      <c r="A398" s="1" t="s">
        <v>1071</v>
      </c>
      <c r="B398" s="1" t="s">
        <v>533</v>
      </c>
      <c r="C398">
        <v>8</v>
      </c>
      <c r="D398" s="1" t="s">
        <v>25</v>
      </c>
      <c r="E398" s="1" t="s">
        <v>107</v>
      </c>
      <c r="F398" s="1" t="s">
        <v>145</v>
      </c>
      <c r="G398" s="1" t="s">
        <v>1072</v>
      </c>
      <c r="H398" s="2">
        <v>46108</v>
      </c>
      <c r="I398" s="1" t="s">
        <v>114</v>
      </c>
      <c r="J398" s="1" t="s">
        <v>115</v>
      </c>
      <c r="K398" s="1" t="s">
        <v>116</v>
      </c>
      <c r="L398" s="1" t="s">
        <v>92</v>
      </c>
      <c r="M398" s="1" t="s">
        <v>74</v>
      </c>
      <c r="N398">
        <v>151238.48000000001</v>
      </c>
      <c r="O398">
        <v>22878.11</v>
      </c>
      <c r="P398">
        <v>37314.61</v>
      </c>
      <c r="Q398">
        <v>2</v>
      </c>
      <c r="R398">
        <v>76</v>
      </c>
      <c r="S398">
        <v>3.6</v>
      </c>
      <c r="T398" s="1" t="s">
        <v>33</v>
      </c>
      <c r="U398" s="1" t="s">
        <v>33</v>
      </c>
      <c r="V398" s="1" t="s">
        <v>33</v>
      </c>
      <c r="W398" s="1" t="s">
        <v>12</v>
      </c>
    </row>
    <row r="399" spans="1:23" x14ac:dyDescent="0.35">
      <c r="A399" s="1" t="s">
        <v>1073</v>
      </c>
      <c r="B399" s="1" t="s">
        <v>616</v>
      </c>
      <c r="C399">
        <v>62</v>
      </c>
      <c r="D399" s="1" t="s">
        <v>78</v>
      </c>
      <c r="E399" s="1" t="s">
        <v>33</v>
      </c>
      <c r="F399" s="1" t="s">
        <v>108</v>
      </c>
      <c r="G399" s="1" t="s">
        <v>1074</v>
      </c>
      <c r="H399" s="2">
        <v>45824</v>
      </c>
      <c r="I399" s="1" t="s">
        <v>53</v>
      </c>
      <c r="J399" s="1" t="s">
        <v>242</v>
      </c>
      <c r="K399" s="1" t="s">
        <v>116</v>
      </c>
      <c r="L399" s="1" t="s">
        <v>92</v>
      </c>
      <c r="M399" s="1" t="s">
        <v>82</v>
      </c>
      <c r="N399">
        <v>129032.87</v>
      </c>
      <c r="O399">
        <v>0</v>
      </c>
      <c r="P399">
        <v>13738.67</v>
      </c>
      <c r="Q399">
        <v>4</v>
      </c>
      <c r="R399">
        <v>58</v>
      </c>
      <c r="S399">
        <v>3.2</v>
      </c>
      <c r="T399" s="1" t="s">
        <v>46</v>
      </c>
      <c r="U399" s="1" t="s">
        <v>33</v>
      </c>
      <c r="V399" s="1" t="s">
        <v>130</v>
      </c>
      <c r="W399" s="1" t="s">
        <v>33</v>
      </c>
    </row>
    <row r="400" spans="1:23" x14ac:dyDescent="0.35">
      <c r="A400" s="1" t="s">
        <v>1075</v>
      </c>
      <c r="B400" s="1" t="s">
        <v>624</v>
      </c>
      <c r="C400">
        <v>14</v>
      </c>
      <c r="D400" s="1" t="s">
        <v>39</v>
      </c>
      <c r="E400" s="1" t="s">
        <v>72</v>
      </c>
      <c r="F400" s="1" t="s">
        <v>33</v>
      </c>
      <c r="G400" s="1" t="s">
        <v>231</v>
      </c>
      <c r="H400" s="2">
        <v>45738</v>
      </c>
      <c r="I400" s="1" t="s">
        <v>221</v>
      </c>
      <c r="J400" s="1" t="s">
        <v>65</v>
      </c>
      <c r="K400" s="1" t="s">
        <v>31</v>
      </c>
      <c r="L400" s="1" t="s">
        <v>33</v>
      </c>
      <c r="M400" s="1" t="s">
        <v>129</v>
      </c>
      <c r="N400">
        <v>156143.07999999999</v>
      </c>
      <c r="O400">
        <v>34535.67</v>
      </c>
      <c r="P400">
        <v>62850.879999999997</v>
      </c>
      <c r="Q400">
        <v>1</v>
      </c>
      <c r="R400">
        <v>53</v>
      </c>
      <c r="S400">
        <v>3.2</v>
      </c>
      <c r="T400" s="1" t="s">
        <v>33</v>
      </c>
      <c r="U400" s="1" t="s">
        <v>58</v>
      </c>
      <c r="V400" s="1" t="s">
        <v>102</v>
      </c>
      <c r="W400" s="1" t="s">
        <v>12</v>
      </c>
    </row>
    <row r="401" spans="1:23" x14ac:dyDescent="0.35">
      <c r="A401" s="1" t="s">
        <v>1076</v>
      </c>
      <c r="B401" s="1" t="s">
        <v>776</v>
      </c>
      <c r="C401">
        <v>42</v>
      </c>
      <c r="D401" s="1" t="s">
        <v>50</v>
      </c>
      <c r="E401" s="1" t="s">
        <v>203</v>
      </c>
      <c r="F401" s="1" t="s">
        <v>41</v>
      </c>
      <c r="G401" s="1" t="s">
        <v>1077</v>
      </c>
      <c r="H401" s="2">
        <v>46140</v>
      </c>
      <c r="I401" s="1" t="s">
        <v>168</v>
      </c>
      <c r="J401" s="1" t="s">
        <v>115</v>
      </c>
      <c r="K401" s="1" t="s">
        <v>116</v>
      </c>
      <c r="L401" s="1" t="s">
        <v>44</v>
      </c>
      <c r="M401" s="1" t="s">
        <v>183</v>
      </c>
      <c r="N401">
        <v>101219.99</v>
      </c>
      <c r="O401">
        <v>44328.2</v>
      </c>
      <c r="P401">
        <v>0</v>
      </c>
      <c r="Q401">
        <v>1</v>
      </c>
      <c r="R401">
        <v>68</v>
      </c>
      <c r="S401">
        <v>4.0999999999999996</v>
      </c>
      <c r="T401" s="1" t="s">
        <v>94</v>
      </c>
      <c r="U401" s="1" t="s">
        <v>58</v>
      </c>
      <c r="V401" s="1" t="s">
        <v>102</v>
      </c>
      <c r="W401" s="1" t="s">
        <v>36</v>
      </c>
    </row>
    <row r="402" spans="1:23" x14ac:dyDescent="0.35">
      <c r="A402" s="1" t="s">
        <v>1078</v>
      </c>
      <c r="B402" s="1" t="s">
        <v>350</v>
      </c>
      <c r="C402">
        <v>92</v>
      </c>
      <c r="D402" s="1" t="s">
        <v>119</v>
      </c>
      <c r="E402" s="1" t="s">
        <v>51</v>
      </c>
      <c r="F402" s="1" t="s">
        <v>33</v>
      </c>
      <c r="G402" s="1" t="s">
        <v>1079</v>
      </c>
      <c r="H402" s="2">
        <v>46096</v>
      </c>
      <c r="I402" s="1" t="s">
        <v>221</v>
      </c>
      <c r="J402" s="1" t="s">
        <v>152</v>
      </c>
      <c r="K402" s="1" t="s">
        <v>81</v>
      </c>
      <c r="L402" s="1" t="s">
        <v>66</v>
      </c>
      <c r="M402" s="1" t="s">
        <v>57</v>
      </c>
      <c r="N402">
        <v>268972</v>
      </c>
      <c r="O402">
        <v>4898.6400000000003</v>
      </c>
      <c r="P402">
        <v>42136.07</v>
      </c>
      <c r="Q402">
        <v>3</v>
      </c>
      <c r="R402">
        <v>0</v>
      </c>
      <c r="S402">
        <v>3.6</v>
      </c>
      <c r="T402" s="1" t="s">
        <v>33</v>
      </c>
      <c r="U402" s="1" t="s">
        <v>67</v>
      </c>
      <c r="V402" s="1" t="s">
        <v>75</v>
      </c>
      <c r="W402" s="1" t="s">
        <v>179</v>
      </c>
    </row>
    <row r="403" spans="1:23" x14ac:dyDescent="0.35">
      <c r="A403" s="1" t="s">
        <v>1080</v>
      </c>
      <c r="B403" s="1" t="s">
        <v>1081</v>
      </c>
      <c r="C403">
        <v>63</v>
      </c>
      <c r="D403" s="1" t="s">
        <v>50</v>
      </c>
      <c r="E403" s="1" t="s">
        <v>33</v>
      </c>
      <c r="F403" s="1" t="s">
        <v>120</v>
      </c>
      <c r="G403" s="1" t="s">
        <v>834</v>
      </c>
      <c r="H403" s="2">
        <v>46141</v>
      </c>
      <c r="I403" s="1" t="s">
        <v>257</v>
      </c>
      <c r="J403" s="1" t="s">
        <v>90</v>
      </c>
      <c r="K403" s="1" t="s">
        <v>55</v>
      </c>
      <c r="L403" s="1" t="s">
        <v>33</v>
      </c>
      <c r="M403" s="1" t="s">
        <v>74</v>
      </c>
      <c r="N403">
        <v>143064.35999999999</v>
      </c>
      <c r="O403">
        <v>27080.85</v>
      </c>
      <c r="P403">
        <v>25933.26</v>
      </c>
      <c r="Q403">
        <v>1</v>
      </c>
      <c r="R403">
        <v>225</v>
      </c>
      <c r="S403">
        <v>7</v>
      </c>
      <c r="T403" s="1" t="s">
        <v>46</v>
      </c>
      <c r="U403" s="1" t="s">
        <v>33</v>
      </c>
      <c r="V403" s="1" t="s">
        <v>68</v>
      </c>
      <c r="W403" s="1" t="s">
        <v>179</v>
      </c>
    </row>
    <row r="404" spans="1:23" x14ac:dyDescent="0.35">
      <c r="A404" s="1" t="s">
        <v>1082</v>
      </c>
      <c r="B404" s="1" t="s">
        <v>616</v>
      </c>
      <c r="C404">
        <v>60</v>
      </c>
      <c r="D404" s="1" t="s">
        <v>119</v>
      </c>
      <c r="E404" s="1" t="s">
        <v>33</v>
      </c>
      <c r="F404" s="1" t="s">
        <v>145</v>
      </c>
      <c r="G404" s="1" t="s">
        <v>686</v>
      </c>
      <c r="H404" s="2">
        <v>45906</v>
      </c>
      <c r="I404" s="1" t="s">
        <v>173</v>
      </c>
      <c r="J404" s="1" t="s">
        <v>80</v>
      </c>
      <c r="K404" s="1" t="s">
        <v>55</v>
      </c>
      <c r="L404" s="1" t="s">
        <v>66</v>
      </c>
      <c r="M404" s="1" t="s">
        <v>123</v>
      </c>
      <c r="N404">
        <v>287489.34000000003</v>
      </c>
      <c r="O404">
        <v>39218.33</v>
      </c>
      <c r="P404">
        <v>56813.919999999998</v>
      </c>
      <c r="Q404">
        <v>11</v>
      </c>
      <c r="R404">
        <v>0</v>
      </c>
      <c r="S404">
        <v>3.3</v>
      </c>
      <c r="T404" s="1" t="s">
        <v>46</v>
      </c>
      <c r="U404" s="1" t="s">
        <v>33</v>
      </c>
      <c r="V404" s="1" t="s">
        <v>68</v>
      </c>
      <c r="W404" s="1" t="s">
        <v>12</v>
      </c>
    </row>
    <row r="405" spans="1:23" x14ac:dyDescent="0.35">
      <c r="A405" s="1" t="s">
        <v>1083</v>
      </c>
      <c r="B405" s="1" t="s">
        <v>1084</v>
      </c>
      <c r="C405">
        <v>41</v>
      </c>
      <c r="D405" s="1" t="s">
        <v>119</v>
      </c>
      <c r="E405" s="1" t="s">
        <v>51</v>
      </c>
      <c r="F405" s="1" t="s">
        <v>27</v>
      </c>
      <c r="G405" s="1" t="s">
        <v>1085</v>
      </c>
      <c r="H405" s="2">
        <v>45917</v>
      </c>
      <c r="I405" s="1" t="s">
        <v>257</v>
      </c>
      <c r="J405" s="1" t="s">
        <v>242</v>
      </c>
      <c r="K405" s="1" t="s">
        <v>174</v>
      </c>
      <c r="L405" s="1" t="s">
        <v>56</v>
      </c>
      <c r="M405" s="1" t="s">
        <v>93</v>
      </c>
      <c r="N405">
        <v>23273.42</v>
      </c>
      <c r="O405">
        <v>28689.89</v>
      </c>
      <c r="P405">
        <v>96123.17</v>
      </c>
      <c r="Q405">
        <v>5</v>
      </c>
      <c r="R405">
        <v>188</v>
      </c>
      <c r="S405">
        <v>3.6</v>
      </c>
      <c r="T405" s="1" t="s">
        <v>46</v>
      </c>
      <c r="U405" s="1" t="s">
        <v>67</v>
      </c>
      <c r="V405" s="1" t="s">
        <v>75</v>
      </c>
      <c r="W405" s="1" t="s">
        <v>33</v>
      </c>
    </row>
    <row r="406" spans="1:23" x14ac:dyDescent="0.35">
      <c r="A406" s="1" t="s">
        <v>1086</v>
      </c>
      <c r="B406" s="1" t="s">
        <v>494</v>
      </c>
      <c r="C406">
        <v>34</v>
      </c>
      <c r="D406" s="1" t="s">
        <v>25</v>
      </c>
      <c r="E406" s="1" t="s">
        <v>40</v>
      </c>
      <c r="F406" s="1" t="s">
        <v>63</v>
      </c>
      <c r="G406" s="1" t="s">
        <v>228</v>
      </c>
      <c r="H406" s="2">
        <v>45606</v>
      </c>
      <c r="I406" s="1" t="s">
        <v>159</v>
      </c>
      <c r="J406" s="1" t="s">
        <v>33</v>
      </c>
      <c r="K406" s="1" t="s">
        <v>163</v>
      </c>
      <c r="L406" s="1" t="s">
        <v>56</v>
      </c>
      <c r="M406" s="1" t="s">
        <v>33</v>
      </c>
      <c r="N406">
        <v>0</v>
      </c>
      <c r="O406">
        <v>6888.35</v>
      </c>
      <c r="P406">
        <v>91886.66</v>
      </c>
      <c r="Q406">
        <v>6</v>
      </c>
      <c r="R406">
        <v>74</v>
      </c>
      <c r="S406">
        <v>3.4</v>
      </c>
      <c r="T406" s="1" t="s">
        <v>34</v>
      </c>
      <c r="U406" s="1" t="s">
        <v>33</v>
      </c>
      <c r="V406" s="1" t="s">
        <v>130</v>
      </c>
      <c r="W406" s="1" t="s">
        <v>12</v>
      </c>
    </row>
    <row r="407" spans="1:23" x14ac:dyDescent="0.35">
      <c r="A407" s="1" t="s">
        <v>1087</v>
      </c>
      <c r="B407" s="1" t="s">
        <v>723</v>
      </c>
      <c r="C407">
        <v>84</v>
      </c>
      <c r="D407" s="1" t="s">
        <v>25</v>
      </c>
      <c r="E407" s="1" t="s">
        <v>192</v>
      </c>
      <c r="F407" s="1" t="s">
        <v>27</v>
      </c>
      <c r="G407" s="1" t="s">
        <v>1088</v>
      </c>
      <c r="H407" s="2">
        <v>46234</v>
      </c>
      <c r="I407" s="1" t="s">
        <v>29</v>
      </c>
      <c r="J407" s="1" t="s">
        <v>54</v>
      </c>
      <c r="K407" s="1" t="s">
        <v>55</v>
      </c>
      <c r="L407" s="1" t="s">
        <v>66</v>
      </c>
      <c r="M407" s="1" t="s">
        <v>129</v>
      </c>
      <c r="N407">
        <v>447634.25</v>
      </c>
      <c r="O407">
        <v>85469.51</v>
      </c>
      <c r="P407">
        <v>40228.639999999999</v>
      </c>
      <c r="Q407">
        <v>2</v>
      </c>
      <c r="R407">
        <v>117</v>
      </c>
      <c r="S407">
        <v>1.7</v>
      </c>
      <c r="T407" s="1" t="s">
        <v>34</v>
      </c>
      <c r="U407" s="1" t="s">
        <v>67</v>
      </c>
      <c r="V407" s="1" t="s">
        <v>33</v>
      </c>
      <c r="W407" s="1" t="s">
        <v>36</v>
      </c>
    </row>
    <row r="408" spans="1:23" x14ac:dyDescent="0.35">
      <c r="A408" s="1" t="s">
        <v>1089</v>
      </c>
      <c r="B408" s="1" t="s">
        <v>1090</v>
      </c>
      <c r="C408">
        <v>17</v>
      </c>
      <c r="D408" s="1" t="s">
        <v>106</v>
      </c>
      <c r="E408" s="1" t="s">
        <v>86</v>
      </c>
      <c r="F408" s="1" t="s">
        <v>120</v>
      </c>
      <c r="G408" s="1" t="s">
        <v>1091</v>
      </c>
      <c r="H408" s="2">
        <v>45612</v>
      </c>
      <c r="I408" s="1" t="s">
        <v>100</v>
      </c>
      <c r="J408" s="1" t="s">
        <v>30</v>
      </c>
      <c r="K408" s="1" t="s">
        <v>174</v>
      </c>
      <c r="L408" s="1" t="s">
        <v>33</v>
      </c>
      <c r="M408" s="1" t="s">
        <v>33</v>
      </c>
      <c r="N408">
        <v>250348.58</v>
      </c>
      <c r="O408">
        <v>2567.44</v>
      </c>
      <c r="P408">
        <v>27334</v>
      </c>
      <c r="Q408">
        <v>8</v>
      </c>
      <c r="R408">
        <v>32</v>
      </c>
      <c r="S408">
        <v>2.9</v>
      </c>
      <c r="T408" s="1" t="s">
        <v>154</v>
      </c>
      <c r="U408" s="1" t="s">
        <v>149</v>
      </c>
      <c r="V408" s="1" t="s">
        <v>33</v>
      </c>
      <c r="W408" s="1" t="s">
        <v>103</v>
      </c>
    </row>
    <row r="409" spans="1:23" x14ac:dyDescent="0.35">
      <c r="A409" s="1" t="s">
        <v>1092</v>
      </c>
      <c r="B409" s="1" t="s">
        <v>191</v>
      </c>
      <c r="C409">
        <v>30</v>
      </c>
      <c r="D409" s="1" t="s">
        <v>50</v>
      </c>
      <c r="E409" s="1" t="s">
        <v>112</v>
      </c>
      <c r="F409" s="1" t="s">
        <v>120</v>
      </c>
      <c r="G409" s="1" t="s">
        <v>541</v>
      </c>
      <c r="H409" s="2">
        <v>46112</v>
      </c>
      <c r="I409" s="1" t="s">
        <v>168</v>
      </c>
      <c r="J409" s="1" t="s">
        <v>152</v>
      </c>
      <c r="K409" s="1" t="s">
        <v>163</v>
      </c>
      <c r="L409" s="1" t="s">
        <v>56</v>
      </c>
      <c r="M409" s="1" t="s">
        <v>129</v>
      </c>
      <c r="N409">
        <v>336666.75</v>
      </c>
      <c r="O409">
        <v>2378.4299999999998</v>
      </c>
      <c r="P409">
        <v>51616.24</v>
      </c>
      <c r="Q409">
        <v>2</v>
      </c>
      <c r="R409">
        <v>186</v>
      </c>
      <c r="S409">
        <v>3</v>
      </c>
      <c r="T409" s="1" t="s">
        <v>33</v>
      </c>
      <c r="U409" s="1" t="s">
        <v>101</v>
      </c>
      <c r="V409" s="1" t="s">
        <v>130</v>
      </c>
      <c r="W409" s="1" t="s">
        <v>36</v>
      </c>
    </row>
    <row r="410" spans="1:23" x14ac:dyDescent="0.35">
      <c r="A410" s="1" t="s">
        <v>1093</v>
      </c>
      <c r="B410" s="1" t="s">
        <v>432</v>
      </c>
      <c r="C410">
        <v>37</v>
      </c>
      <c r="D410" s="1" t="s">
        <v>78</v>
      </c>
      <c r="E410" s="1" t="s">
        <v>51</v>
      </c>
      <c r="F410" s="1" t="s">
        <v>87</v>
      </c>
      <c r="G410" s="1" t="s">
        <v>748</v>
      </c>
      <c r="H410" s="2">
        <v>46165</v>
      </c>
      <c r="I410" s="1" t="s">
        <v>168</v>
      </c>
      <c r="J410" s="1" t="s">
        <v>90</v>
      </c>
      <c r="K410" s="1" t="s">
        <v>153</v>
      </c>
      <c r="L410" s="1" t="s">
        <v>32</v>
      </c>
      <c r="M410" s="1" t="s">
        <v>57</v>
      </c>
      <c r="N410">
        <v>385161.53</v>
      </c>
      <c r="O410">
        <v>34852.69</v>
      </c>
      <c r="P410">
        <v>29063.57</v>
      </c>
      <c r="Q410">
        <v>1</v>
      </c>
      <c r="R410">
        <v>131</v>
      </c>
      <c r="S410">
        <v>2.2999999999999998</v>
      </c>
      <c r="T410" s="1" t="s">
        <v>33</v>
      </c>
      <c r="U410" s="1" t="s">
        <v>149</v>
      </c>
      <c r="V410" s="1" t="s">
        <v>75</v>
      </c>
      <c r="W410" s="1" t="s">
        <v>36</v>
      </c>
    </row>
    <row r="411" spans="1:23" x14ac:dyDescent="0.35">
      <c r="A411" s="1" t="s">
        <v>1094</v>
      </c>
      <c r="B411" s="1" t="s">
        <v>294</v>
      </c>
      <c r="C411">
        <v>51</v>
      </c>
      <c r="D411" s="1" t="s">
        <v>71</v>
      </c>
      <c r="E411" s="1" t="s">
        <v>112</v>
      </c>
      <c r="F411" s="1" t="s">
        <v>33</v>
      </c>
      <c r="G411" s="1" t="s">
        <v>1095</v>
      </c>
      <c r="H411" s="2">
        <v>45526</v>
      </c>
      <c r="I411" s="1" t="s">
        <v>29</v>
      </c>
      <c r="J411" s="1" t="s">
        <v>242</v>
      </c>
      <c r="K411" s="1" t="s">
        <v>208</v>
      </c>
      <c r="L411" s="1" t="s">
        <v>56</v>
      </c>
      <c r="M411" s="1" t="s">
        <v>129</v>
      </c>
      <c r="N411">
        <v>176906.81</v>
      </c>
      <c r="O411">
        <v>9035.36</v>
      </c>
      <c r="P411">
        <v>18399.57</v>
      </c>
      <c r="Q411">
        <v>5</v>
      </c>
      <c r="R411">
        <v>135</v>
      </c>
      <c r="S411">
        <v>5</v>
      </c>
      <c r="T411" s="1" t="s">
        <v>94</v>
      </c>
      <c r="U411" s="1" t="s">
        <v>33</v>
      </c>
      <c r="V411" s="1" t="s">
        <v>68</v>
      </c>
      <c r="W411" s="1" t="s">
        <v>59</v>
      </c>
    </row>
    <row r="412" spans="1:23" x14ac:dyDescent="0.35">
      <c r="A412" s="1" t="s">
        <v>1096</v>
      </c>
      <c r="B412" s="1" t="s">
        <v>125</v>
      </c>
      <c r="C412">
        <v>53</v>
      </c>
      <c r="D412" s="1" t="s">
        <v>33</v>
      </c>
      <c r="E412" s="1" t="s">
        <v>40</v>
      </c>
      <c r="F412" s="1" t="s">
        <v>227</v>
      </c>
      <c r="G412" s="1" t="s">
        <v>880</v>
      </c>
      <c r="H412" s="2">
        <v>45535</v>
      </c>
      <c r="I412" s="1" t="s">
        <v>53</v>
      </c>
      <c r="J412" s="1" t="s">
        <v>87</v>
      </c>
      <c r="K412" s="1" t="s">
        <v>148</v>
      </c>
      <c r="L412" s="1" t="s">
        <v>56</v>
      </c>
      <c r="M412" s="1" t="s">
        <v>45</v>
      </c>
      <c r="N412">
        <v>0</v>
      </c>
      <c r="O412">
        <v>15384.56</v>
      </c>
      <c r="P412">
        <v>44068.23</v>
      </c>
      <c r="Q412">
        <v>2</v>
      </c>
      <c r="R412">
        <v>26</v>
      </c>
      <c r="S412">
        <v>2.5</v>
      </c>
      <c r="T412" s="1" t="s">
        <v>33</v>
      </c>
      <c r="U412" s="1" t="s">
        <v>67</v>
      </c>
      <c r="V412" s="1" t="s">
        <v>33</v>
      </c>
      <c r="W412" s="1" t="s">
        <v>59</v>
      </c>
    </row>
    <row r="413" spans="1:23" x14ac:dyDescent="0.35">
      <c r="A413" s="1" t="s">
        <v>1097</v>
      </c>
      <c r="B413" s="1" t="s">
        <v>1098</v>
      </c>
      <c r="C413">
        <v>49</v>
      </c>
      <c r="D413" s="1" t="s">
        <v>106</v>
      </c>
      <c r="E413" s="1" t="s">
        <v>40</v>
      </c>
      <c r="F413" s="1" t="s">
        <v>41</v>
      </c>
      <c r="G413" s="1" t="s">
        <v>339</v>
      </c>
      <c r="H413" s="2">
        <v>45346</v>
      </c>
      <c r="I413" s="1" t="s">
        <v>173</v>
      </c>
      <c r="J413" s="1" t="s">
        <v>90</v>
      </c>
      <c r="K413" s="1" t="s">
        <v>116</v>
      </c>
      <c r="L413" s="1" t="s">
        <v>33</v>
      </c>
      <c r="M413" s="1" t="s">
        <v>82</v>
      </c>
      <c r="N413">
        <v>193773.94</v>
      </c>
      <c r="O413">
        <v>0</v>
      </c>
      <c r="P413">
        <v>0</v>
      </c>
      <c r="Q413">
        <v>1</v>
      </c>
      <c r="R413">
        <v>49</v>
      </c>
      <c r="S413">
        <v>4.3</v>
      </c>
      <c r="T413" s="1" t="s">
        <v>33</v>
      </c>
      <c r="U413" s="1" t="s">
        <v>95</v>
      </c>
      <c r="V413" s="1" t="s">
        <v>130</v>
      </c>
      <c r="W413" s="1" t="s">
        <v>12</v>
      </c>
    </row>
    <row r="414" spans="1:23" x14ac:dyDescent="0.35">
      <c r="A414" s="1" t="s">
        <v>1099</v>
      </c>
      <c r="B414" s="1" t="s">
        <v>1100</v>
      </c>
      <c r="C414">
        <v>32</v>
      </c>
      <c r="D414" s="1" t="s">
        <v>119</v>
      </c>
      <c r="E414" s="1" t="s">
        <v>192</v>
      </c>
      <c r="F414" s="1" t="s">
        <v>63</v>
      </c>
      <c r="G414" s="1" t="s">
        <v>1101</v>
      </c>
      <c r="H414" s="2">
        <v>45865</v>
      </c>
      <c r="I414" s="1" t="s">
        <v>100</v>
      </c>
      <c r="J414" s="1" t="s">
        <v>54</v>
      </c>
      <c r="K414" s="1" t="s">
        <v>91</v>
      </c>
      <c r="L414" s="1" t="s">
        <v>66</v>
      </c>
      <c r="M414" s="1" t="s">
        <v>142</v>
      </c>
      <c r="N414">
        <v>146325.29999999999</v>
      </c>
      <c r="O414">
        <v>64708.44</v>
      </c>
      <c r="P414">
        <v>33449.35</v>
      </c>
      <c r="Q414">
        <v>1</v>
      </c>
      <c r="R414">
        <v>123</v>
      </c>
      <c r="S414">
        <v>3.9</v>
      </c>
      <c r="T414" s="1" t="s">
        <v>154</v>
      </c>
      <c r="U414" s="1" t="s">
        <v>35</v>
      </c>
      <c r="V414" s="1" t="s">
        <v>47</v>
      </c>
      <c r="W414" s="1" t="s">
        <v>33</v>
      </c>
    </row>
    <row r="415" spans="1:23" x14ac:dyDescent="0.35">
      <c r="A415" s="1" t="s">
        <v>1102</v>
      </c>
      <c r="B415" s="1" t="s">
        <v>1103</v>
      </c>
      <c r="C415">
        <v>59</v>
      </c>
      <c r="D415" s="1" t="s">
        <v>50</v>
      </c>
      <c r="E415" s="1" t="s">
        <v>219</v>
      </c>
      <c r="F415" s="1" t="s">
        <v>87</v>
      </c>
      <c r="G415" s="1" t="s">
        <v>1035</v>
      </c>
      <c r="H415" s="2">
        <v>46147</v>
      </c>
      <c r="I415" s="1" t="s">
        <v>114</v>
      </c>
      <c r="J415" s="1" t="s">
        <v>33</v>
      </c>
      <c r="K415" s="1" t="s">
        <v>153</v>
      </c>
      <c r="L415" s="1" t="s">
        <v>92</v>
      </c>
      <c r="M415" s="1" t="s">
        <v>93</v>
      </c>
      <c r="N415">
        <v>250155.51</v>
      </c>
      <c r="O415">
        <v>42706.720000000001</v>
      </c>
      <c r="P415">
        <v>162787.13</v>
      </c>
      <c r="Q415">
        <v>1</v>
      </c>
      <c r="R415">
        <v>0</v>
      </c>
      <c r="S415">
        <v>5</v>
      </c>
      <c r="T415" s="1" t="s">
        <v>94</v>
      </c>
      <c r="U415" s="1" t="s">
        <v>67</v>
      </c>
      <c r="V415" s="1" t="s">
        <v>33</v>
      </c>
      <c r="W415" s="1" t="s">
        <v>83</v>
      </c>
    </row>
    <row r="416" spans="1:23" x14ac:dyDescent="0.35">
      <c r="A416" s="1" t="s">
        <v>1104</v>
      </c>
      <c r="B416" s="1" t="s">
        <v>871</v>
      </c>
      <c r="C416">
        <v>49</v>
      </c>
      <c r="D416" s="1" t="s">
        <v>119</v>
      </c>
      <c r="E416" s="1" t="s">
        <v>112</v>
      </c>
      <c r="F416" s="1" t="s">
        <v>135</v>
      </c>
      <c r="G416" s="1" t="s">
        <v>1105</v>
      </c>
      <c r="H416" s="2">
        <v>45744</v>
      </c>
      <c r="I416" s="1" t="s">
        <v>53</v>
      </c>
      <c r="J416" s="1" t="s">
        <v>30</v>
      </c>
      <c r="K416" s="1" t="s">
        <v>163</v>
      </c>
      <c r="L416" s="1" t="s">
        <v>44</v>
      </c>
      <c r="M416" s="1" t="s">
        <v>142</v>
      </c>
      <c r="N416">
        <v>213628.29</v>
      </c>
      <c r="O416">
        <v>19394.09</v>
      </c>
      <c r="P416">
        <v>27905.01</v>
      </c>
      <c r="Q416">
        <v>2</v>
      </c>
      <c r="R416">
        <v>119</v>
      </c>
      <c r="S416">
        <v>1.7</v>
      </c>
      <c r="T416" s="1" t="s">
        <v>34</v>
      </c>
      <c r="U416" s="1" t="s">
        <v>149</v>
      </c>
      <c r="V416" s="1" t="s">
        <v>33</v>
      </c>
      <c r="W416" s="1" t="s">
        <v>179</v>
      </c>
    </row>
    <row r="417" spans="1:23" x14ac:dyDescent="0.35">
      <c r="A417" s="1" t="s">
        <v>1106</v>
      </c>
      <c r="B417" s="1" t="s">
        <v>1107</v>
      </c>
      <c r="C417">
        <v>33</v>
      </c>
      <c r="D417" s="1" t="s">
        <v>78</v>
      </c>
      <c r="E417" s="1" t="s">
        <v>157</v>
      </c>
      <c r="F417" s="1" t="s">
        <v>227</v>
      </c>
      <c r="G417" s="1" t="s">
        <v>1108</v>
      </c>
      <c r="H417" s="2">
        <v>45412</v>
      </c>
      <c r="I417" s="1" t="s">
        <v>221</v>
      </c>
      <c r="J417" s="1" t="s">
        <v>30</v>
      </c>
      <c r="K417" s="1" t="s">
        <v>33</v>
      </c>
      <c r="L417" s="1" t="s">
        <v>66</v>
      </c>
      <c r="M417" s="1" t="s">
        <v>45</v>
      </c>
      <c r="N417">
        <v>61790.29</v>
      </c>
      <c r="O417">
        <v>18749.68</v>
      </c>
      <c r="P417">
        <v>82714.48</v>
      </c>
      <c r="Q417">
        <v>5</v>
      </c>
      <c r="R417">
        <v>54</v>
      </c>
      <c r="S417">
        <v>4.2</v>
      </c>
      <c r="T417" s="1" t="s">
        <v>33</v>
      </c>
      <c r="U417" s="1" t="s">
        <v>149</v>
      </c>
      <c r="V417" s="1" t="s">
        <v>164</v>
      </c>
      <c r="W417" s="1" t="s">
        <v>59</v>
      </c>
    </row>
    <row r="418" spans="1:23" x14ac:dyDescent="0.35">
      <c r="A418" s="1" t="s">
        <v>1109</v>
      </c>
      <c r="B418" s="1" t="s">
        <v>353</v>
      </c>
      <c r="C418">
        <v>59</v>
      </c>
      <c r="D418" s="1" t="s">
        <v>25</v>
      </c>
      <c r="E418" s="1" t="s">
        <v>72</v>
      </c>
      <c r="F418" s="1" t="s">
        <v>44</v>
      </c>
      <c r="G418" s="1" t="s">
        <v>427</v>
      </c>
      <c r="H418" s="2">
        <v>45803</v>
      </c>
      <c r="I418" s="1" t="s">
        <v>114</v>
      </c>
      <c r="J418" s="1" t="s">
        <v>65</v>
      </c>
      <c r="K418" s="1" t="s">
        <v>116</v>
      </c>
      <c r="L418" s="1" t="s">
        <v>44</v>
      </c>
      <c r="M418" s="1" t="s">
        <v>129</v>
      </c>
      <c r="N418">
        <v>315971.08</v>
      </c>
      <c r="O418">
        <v>76215.22</v>
      </c>
      <c r="P418">
        <v>39733.08</v>
      </c>
      <c r="Q418">
        <v>1</v>
      </c>
      <c r="R418">
        <v>145</v>
      </c>
      <c r="S418">
        <v>3.8</v>
      </c>
      <c r="T418" s="1" t="s">
        <v>34</v>
      </c>
      <c r="U418" s="1" t="s">
        <v>35</v>
      </c>
      <c r="V418" s="1" t="s">
        <v>47</v>
      </c>
      <c r="W418" s="1" t="s">
        <v>83</v>
      </c>
    </row>
    <row r="419" spans="1:23" x14ac:dyDescent="0.35">
      <c r="A419" s="1" t="s">
        <v>1110</v>
      </c>
      <c r="B419" s="1" t="s">
        <v>1111</v>
      </c>
      <c r="C419">
        <v>27</v>
      </c>
      <c r="D419" s="1" t="s">
        <v>119</v>
      </c>
      <c r="E419" s="1" t="s">
        <v>72</v>
      </c>
      <c r="F419" s="1" t="s">
        <v>44</v>
      </c>
      <c r="G419" s="1" t="s">
        <v>1112</v>
      </c>
      <c r="H419" s="2">
        <v>45907</v>
      </c>
      <c r="I419" s="1" t="s">
        <v>53</v>
      </c>
      <c r="J419" s="1" t="s">
        <v>152</v>
      </c>
      <c r="K419" s="1" t="s">
        <v>208</v>
      </c>
      <c r="L419" s="1" t="s">
        <v>33</v>
      </c>
      <c r="M419" s="1" t="s">
        <v>82</v>
      </c>
      <c r="N419">
        <v>324300.74</v>
      </c>
      <c r="O419">
        <v>25132.57</v>
      </c>
      <c r="P419">
        <v>43074.35</v>
      </c>
      <c r="Q419">
        <v>7</v>
      </c>
      <c r="R419">
        <v>101</v>
      </c>
      <c r="S419">
        <v>4</v>
      </c>
      <c r="T419" s="1" t="s">
        <v>94</v>
      </c>
      <c r="U419" s="1" t="s">
        <v>101</v>
      </c>
      <c r="V419" s="1" t="s">
        <v>130</v>
      </c>
      <c r="W419" s="1" t="s">
        <v>12</v>
      </c>
    </row>
    <row r="420" spans="1:23" x14ac:dyDescent="0.35">
      <c r="A420" s="1" t="s">
        <v>1113</v>
      </c>
      <c r="B420" s="1" t="s">
        <v>309</v>
      </c>
      <c r="C420">
        <v>47</v>
      </c>
      <c r="D420" s="1" t="s">
        <v>71</v>
      </c>
      <c r="E420" s="1" t="s">
        <v>62</v>
      </c>
      <c r="F420" s="1" t="s">
        <v>120</v>
      </c>
      <c r="G420" s="1" t="s">
        <v>969</v>
      </c>
      <c r="H420" s="2">
        <v>45476</v>
      </c>
      <c r="I420" s="1" t="s">
        <v>273</v>
      </c>
      <c r="J420" s="1" t="s">
        <v>33</v>
      </c>
      <c r="K420" s="1" t="s">
        <v>31</v>
      </c>
      <c r="L420" s="1" t="s">
        <v>32</v>
      </c>
      <c r="M420" s="1" t="s">
        <v>129</v>
      </c>
      <c r="N420">
        <v>440936.53</v>
      </c>
      <c r="O420">
        <v>54636.24</v>
      </c>
      <c r="P420">
        <v>71074.64</v>
      </c>
      <c r="Q420">
        <v>2</v>
      </c>
      <c r="R420">
        <v>60</v>
      </c>
      <c r="S420">
        <v>2.5</v>
      </c>
      <c r="T420" s="1" t="s">
        <v>34</v>
      </c>
      <c r="U420" s="1" t="s">
        <v>33</v>
      </c>
      <c r="V420" s="1" t="s">
        <v>164</v>
      </c>
      <c r="W420" s="1" t="s">
        <v>83</v>
      </c>
    </row>
    <row r="421" spans="1:23" x14ac:dyDescent="0.35">
      <c r="A421" s="1" t="s">
        <v>1114</v>
      </c>
      <c r="B421" s="1" t="s">
        <v>438</v>
      </c>
      <c r="C421">
        <v>62</v>
      </c>
      <c r="D421" s="1" t="s">
        <v>78</v>
      </c>
      <c r="E421" s="1" t="s">
        <v>219</v>
      </c>
      <c r="F421" s="1" t="s">
        <v>56</v>
      </c>
      <c r="G421" s="1" t="s">
        <v>525</v>
      </c>
      <c r="H421" s="2">
        <v>45915</v>
      </c>
      <c r="I421" s="1" t="s">
        <v>127</v>
      </c>
      <c r="J421" s="1" t="s">
        <v>33</v>
      </c>
      <c r="K421" s="1" t="s">
        <v>122</v>
      </c>
      <c r="L421" s="1" t="s">
        <v>92</v>
      </c>
      <c r="M421" s="1" t="s">
        <v>183</v>
      </c>
      <c r="N421">
        <v>426173.89</v>
      </c>
      <c r="O421">
        <v>14900.48</v>
      </c>
      <c r="P421">
        <v>38113.54</v>
      </c>
      <c r="Q421">
        <v>6</v>
      </c>
      <c r="R421">
        <v>0</v>
      </c>
      <c r="S421">
        <v>3.2</v>
      </c>
      <c r="T421" s="1" t="s">
        <v>94</v>
      </c>
      <c r="U421" s="1" t="s">
        <v>33</v>
      </c>
      <c r="V421" s="1" t="s">
        <v>33</v>
      </c>
      <c r="W421" s="1" t="s">
        <v>33</v>
      </c>
    </row>
    <row r="422" spans="1:23" x14ac:dyDescent="0.35">
      <c r="A422" s="1" t="s">
        <v>1115</v>
      </c>
      <c r="B422" s="1" t="s">
        <v>741</v>
      </c>
      <c r="C422">
        <v>32</v>
      </c>
      <c r="D422" s="1" t="s">
        <v>39</v>
      </c>
      <c r="E422" s="1" t="s">
        <v>86</v>
      </c>
      <c r="F422" s="1" t="s">
        <v>44</v>
      </c>
      <c r="G422" s="1" t="s">
        <v>1116</v>
      </c>
      <c r="H422" s="2">
        <v>45742</v>
      </c>
      <c r="I422" s="1" t="s">
        <v>33</v>
      </c>
      <c r="J422" s="1" t="s">
        <v>152</v>
      </c>
      <c r="K422" s="1" t="s">
        <v>91</v>
      </c>
      <c r="L422" s="1" t="s">
        <v>33</v>
      </c>
      <c r="M422" s="1" t="s">
        <v>183</v>
      </c>
      <c r="N422">
        <v>309667.17</v>
      </c>
      <c r="O422">
        <v>25237.42</v>
      </c>
      <c r="P422">
        <v>54721.71</v>
      </c>
      <c r="Q422">
        <v>6</v>
      </c>
      <c r="R422">
        <v>8</v>
      </c>
      <c r="S422">
        <v>3.8</v>
      </c>
      <c r="T422" s="1" t="s">
        <v>33</v>
      </c>
      <c r="U422" s="1" t="s">
        <v>149</v>
      </c>
      <c r="V422" s="1" t="s">
        <v>33</v>
      </c>
      <c r="W422" s="1" t="s">
        <v>33</v>
      </c>
    </row>
    <row r="423" spans="1:23" x14ac:dyDescent="0.35">
      <c r="A423" s="1" t="s">
        <v>1117</v>
      </c>
      <c r="B423" s="1" t="s">
        <v>432</v>
      </c>
      <c r="C423">
        <v>38</v>
      </c>
      <c r="D423" s="1" t="s">
        <v>78</v>
      </c>
      <c r="E423" s="1" t="s">
        <v>107</v>
      </c>
      <c r="F423" s="1" t="s">
        <v>33</v>
      </c>
      <c r="G423" s="1" t="s">
        <v>1118</v>
      </c>
      <c r="H423" s="2">
        <v>45445</v>
      </c>
      <c r="I423" s="1" t="s">
        <v>257</v>
      </c>
      <c r="J423" s="1" t="s">
        <v>54</v>
      </c>
      <c r="K423" s="1" t="s">
        <v>128</v>
      </c>
      <c r="L423" s="1" t="s">
        <v>66</v>
      </c>
      <c r="M423" s="1" t="s">
        <v>82</v>
      </c>
      <c r="N423">
        <v>0</v>
      </c>
      <c r="O423">
        <v>60149.86</v>
      </c>
      <c r="P423">
        <v>68322.22</v>
      </c>
      <c r="Q423">
        <v>1</v>
      </c>
      <c r="R423">
        <v>130</v>
      </c>
      <c r="S423">
        <v>5</v>
      </c>
      <c r="T423" s="1" t="s">
        <v>34</v>
      </c>
      <c r="U423" s="1" t="s">
        <v>35</v>
      </c>
      <c r="V423" s="1" t="s">
        <v>130</v>
      </c>
      <c r="W423" s="1" t="s">
        <v>33</v>
      </c>
    </row>
    <row r="424" spans="1:23" x14ac:dyDescent="0.35">
      <c r="A424" s="1" t="s">
        <v>1119</v>
      </c>
      <c r="B424" s="1" t="s">
        <v>328</v>
      </c>
      <c r="C424">
        <v>81</v>
      </c>
      <c r="D424" s="1" t="s">
        <v>50</v>
      </c>
      <c r="E424" s="1" t="s">
        <v>86</v>
      </c>
      <c r="F424" s="1" t="s">
        <v>98</v>
      </c>
      <c r="G424" s="1" t="s">
        <v>1120</v>
      </c>
      <c r="H424" s="2">
        <v>45656</v>
      </c>
      <c r="I424" s="1" t="s">
        <v>33</v>
      </c>
      <c r="J424" s="1" t="s">
        <v>141</v>
      </c>
      <c r="K424" s="1" t="s">
        <v>55</v>
      </c>
      <c r="L424" s="1" t="s">
        <v>33</v>
      </c>
      <c r="M424" s="1" t="s">
        <v>33</v>
      </c>
      <c r="N424">
        <v>350506.82</v>
      </c>
      <c r="O424">
        <v>24086.12</v>
      </c>
      <c r="P424">
        <v>79068.600000000006</v>
      </c>
      <c r="Q424">
        <v>1</v>
      </c>
      <c r="R424">
        <v>12</v>
      </c>
      <c r="S424">
        <v>2.6</v>
      </c>
      <c r="T424" s="1" t="s">
        <v>34</v>
      </c>
      <c r="U424" s="1" t="s">
        <v>149</v>
      </c>
      <c r="V424" s="1" t="s">
        <v>102</v>
      </c>
      <c r="W424" s="1" t="s">
        <v>179</v>
      </c>
    </row>
    <row r="425" spans="1:23" x14ac:dyDescent="0.35">
      <c r="A425" s="1" t="s">
        <v>1121</v>
      </c>
      <c r="B425" s="1" t="s">
        <v>608</v>
      </c>
      <c r="C425">
        <v>31</v>
      </c>
      <c r="D425" s="1" t="s">
        <v>33</v>
      </c>
      <c r="E425" s="1" t="s">
        <v>263</v>
      </c>
      <c r="F425" s="1" t="s">
        <v>227</v>
      </c>
      <c r="G425" s="1" t="s">
        <v>1122</v>
      </c>
      <c r="H425" s="2">
        <v>45980</v>
      </c>
      <c r="I425" s="1" t="s">
        <v>100</v>
      </c>
      <c r="J425" s="1" t="s">
        <v>30</v>
      </c>
      <c r="K425" s="1" t="s">
        <v>163</v>
      </c>
      <c r="L425" s="1" t="s">
        <v>44</v>
      </c>
      <c r="M425" s="1" t="s">
        <v>33</v>
      </c>
      <c r="N425">
        <v>72081.929999999993</v>
      </c>
      <c r="O425">
        <v>60577.08</v>
      </c>
      <c r="P425">
        <v>37234.370000000003</v>
      </c>
      <c r="Q425">
        <v>2</v>
      </c>
      <c r="R425">
        <v>121</v>
      </c>
      <c r="S425">
        <v>3</v>
      </c>
      <c r="T425" s="1" t="s">
        <v>33</v>
      </c>
      <c r="U425" s="1" t="s">
        <v>58</v>
      </c>
      <c r="V425" s="1" t="s">
        <v>75</v>
      </c>
      <c r="W425" s="1" t="s">
        <v>179</v>
      </c>
    </row>
    <row r="426" spans="1:23" x14ac:dyDescent="0.35">
      <c r="A426" s="1" t="s">
        <v>1123</v>
      </c>
      <c r="B426" s="1" t="s">
        <v>595</v>
      </c>
      <c r="C426">
        <v>48</v>
      </c>
      <c r="D426" s="1" t="s">
        <v>33</v>
      </c>
      <c r="E426" s="1" t="s">
        <v>107</v>
      </c>
      <c r="F426" s="1" t="s">
        <v>193</v>
      </c>
      <c r="G426" s="1" t="s">
        <v>742</v>
      </c>
      <c r="H426" s="2">
        <v>45707</v>
      </c>
      <c r="I426" s="1" t="s">
        <v>173</v>
      </c>
      <c r="J426" s="1" t="s">
        <v>80</v>
      </c>
      <c r="K426" s="1" t="s">
        <v>116</v>
      </c>
      <c r="L426" s="1" t="s">
        <v>33</v>
      </c>
      <c r="M426" s="1" t="s">
        <v>33</v>
      </c>
      <c r="N426">
        <v>0</v>
      </c>
      <c r="O426">
        <v>28284.15</v>
      </c>
      <c r="P426">
        <v>3950.55</v>
      </c>
      <c r="Q426">
        <v>1</v>
      </c>
      <c r="R426">
        <v>244</v>
      </c>
      <c r="S426">
        <v>4.9000000000000004</v>
      </c>
      <c r="T426" s="1" t="s">
        <v>46</v>
      </c>
      <c r="U426" s="1" t="s">
        <v>58</v>
      </c>
      <c r="V426" s="1" t="s">
        <v>75</v>
      </c>
      <c r="W426" s="1" t="s">
        <v>83</v>
      </c>
    </row>
    <row r="427" spans="1:23" x14ac:dyDescent="0.35">
      <c r="A427" s="1" t="s">
        <v>1124</v>
      </c>
      <c r="B427" s="1" t="s">
        <v>574</v>
      </c>
      <c r="C427">
        <v>70</v>
      </c>
      <c r="D427" s="1" t="s">
        <v>33</v>
      </c>
      <c r="E427" s="1" t="s">
        <v>177</v>
      </c>
      <c r="F427" s="1" t="s">
        <v>56</v>
      </c>
      <c r="G427" s="1" t="s">
        <v>1125</v>
      </c>
      <c r="H427" s="2">
        <v>45509</v>
      </c>
      <c r="I427" s="1" t="s">
        <v>257</v>
      </c>
      <c r="J427" s="1" t="s">
        <v>115</v>
      </c>
      <c r="K427" s="1" t="s">
        <v>33</v>
      </c>
      <c r="L427" s="1" t="s">
        <v>33</v>
      </c>
      <c r="M427" s="1" t="s">
        <v>123</v>
      </c>
      <c r="N427">
        <v>101515.76</v>
      </c>
      <c r="O427">
        <v>43586.98</v>
      </c>
      <c r="P427">
        <v>50994.31</v>
      </c>
      <c r="Q427">
        <v>3</v>
      </c>
      <c r="R427">
        <v>114</v>
      </c>
      <c r="S427">
        <v>5</v>
      </c>
      <c r="T427" s="1" t="s">
        <v>46</v>
      </c>
      <c r="U427" s="1" t="s">
        <v>35</v>
      </c>
      <c r="V427" s="1" t="s">
        <v>164</v>
      </c>
      <c r="W427" s="1" t="s">
        <v>33</v>
      </c>
    </row>
    <row r="428" spans="1:23" x14ac:dyDescent="0.35">
      <c r="A428" s="1" t="s">
        <v>1126</v>
      </c>
      <c r="B428" s="1" t="s">
        <v>1127</v>
      </c>
      <c r="C428">
        <v>49</v>
      </c>
      <c r="D428" s="1" t="s">
        <v>33</v>
      </c>
      <c r="E428" s="1" t="s">
        <v>26</v>
      </c>
      <c r="F428" s="1" t="s">
        <v>33</v>
      </c>
      <c r="G428" s="1" t="s">
        <v>878</v>
      </c>
      <c r="H428" s="2">
        <v>45793</v>
      </c>
      <c r="I428" s="1" t="s">
        <v>53</v>
      </c>
      <c r="J428" s="1" t="s">
        <v>90</v>
      </c>
      <c r="K428" s="1" t="s">
        <v>31</v>
      </c>
      <c r="L428" s="1" t="s">
        <v>32</v>
      </c>
      <c r="M428" s="1" t="s">
        <v>93</v>
      </c>
      <c r="N428">
        <v>0</v>
      </c>
      <c r="O428">
        <v>5998.84</v>
      </c>
      <c r="P428">
        <v>41318.730000000003</v>
      </c>
      <c r="Q428">
        <v>5</v>
      </c>
      <c r="R428">
        <v>102</v>
      </c>
      <c r="S428">
        <v>2.2000000000000002</v>
      </c>
      <c r="T428" s="1" t="s">
        <v>34</v>
      </c>
      <c r="U428" s="1" t="s">
        <v>33</v>
      </c>
      <c r="V428" s="1" t="s">
        <v>130</v>
      </c>
      <c r="W428" s="1" t="s">
        <v>103</v>
      </c>
    </row>
    <row r="429" spans="1:23" x14ac:dyDescent="0.35">
      <c r="A429" s="1" t="s">
        <v>1128</v>
      </c>
      <c r="B429" s="1" t="s">
        <v>468</v>
      </c>
      <c r="C429">
        <v>76</v>
      </c>
      <c r="D429" s="1" t="s">
        <v>50</v>
      </c>
      <c r="E429" s="1" t="s">
        <v>51</v>
      </c>
      <c r="F429" s="1" t="s">
        <v>41</v>
      </c>
      <c r="G429" s="1" t="s">
        <v>1129</v>
      </c>
      <c r="H429" s="2">
        <v>45901</v>
      </c>
      <c r="I429" s="1" t="s">
        <v>89</v>
      </c>
      <c r="J429" s="1" t="s">
        <v>137</v>
      </c>
      <c r="K429" s="1" t="s">
        <v>174</v>
      </c>
      <c r="L429" s="1" t="s">
        <v>92</v>
      </c>
      <c r="M429" s="1" t="s">
        <v>33</v>
      </c>
      <c r="N429">
        <v>304296.56</v>
      </c>
      <c r="O429">
        <v>31800.92</v>
      </c>
      <c r="P429">
        <v>38633.730000000003</v>
      </c>
      <c r="Q429">
        <v>17</v>
      </c>
      <c r="R429">
        <v>23</v>
      </c>
      <c r="S429">
        <v>3.8</v>
      </c>
      <c r="T429" s="1" t="s">
        <v>33</v>
      </c>
      <c r="U429" s="1" t="s">
        <v>33</v>
      </c>
      <c r="V429" s="1" t="s">
        <v>68</v>
      </c>
      <c r="W429" s="1" t="s">
        <v>36</v>
      </c>
    </row>
    <row r="430" spans="1:23" x14ac:dyDescent="0.35">
      <c r="A430" s="1" t="s">
        <v>1130</v>
      </c>
      <c r="B430" s="1" t="s">
        <v>312</v>
      </c>
      <c r="C430">
        <v>15</v>
      </c>
      <c r="D430" s="1" t="s">
        <v>33</v>
      </c>
      <c r="E430" s="1" t="s">
        <v>157</v>
      </c>
      <c r="F430" s="1" t="s">
        <v>41</v>
      </c>
      <c r="G430" s="1" t="s">
        <v>657</v>
      </c>
      <c r="H430" s="2">
        <v>46205</v>
      </c>
      <c r="I430" s="1" t="s">
        <v>173</v>
      </c>
      <c r="J430" s="1" t="s">
        <v>137</v>
      </c>
      <c r="K430" s="1" t="s">
        <v>208</v>
      </c>
      <c r="L430" s="1" t="s">
        <v>56</v>
      </c>
      <c r="M430" s="1" t="s">
        <v>169</v>
      </c>
      <c r="N430">
        <v>266784.7</v>
      </c>
      <c r="O430">
        <v>26118.52</v>
      </c>
      <c r="P430">
        <v>0</v>
      </c>
      <c r="Q430">
        <v>3</v>
      </c>
      <c r="R430">
        <v>30</v>
      </c>
      <c r="S430">
        <v>3.2</v>
      </c>
      <c r="T430" s="1" t="s">
        <v>94</v>
      </c>
      <c r="U430" s="1" t="s">
        <v>58</v>
      </c>
      <c r="V430" s="1" t="s">
        <v>68</v>
      </c>
      <c r="W430" s="1" t="s">
        <v>33</v>
      </c>
    </row>
    <row r="431" spans="1:23" x14ac:dyDescent="0.35">
      <c r="A431" s="1" t="s">
        <v>1131</v>
      </c>
      <c r="B431" s="1" t="s">
        <v>1132</v>
      </c>
      <c r="C431">
        <v>55</v>
      </c>
      <c r="D431" s="1" t="s">
        <v>33</v>
      </c>
      <c r="E431" s="1" t="s">
        <v>177</v>
      </c>
      <c r="F431" s="1" t="s">
        <v>63</v>
      </c>
      <c r="G431" s="1" t="s">
        <v>1133</v>
      </c>
      <c r="H431" s="2">
        <v>46176</v>
      </c>
      <c r="I431" s="1" t="s">
        <v>89</v>
      </c>
      <c r="J431" s="1" t="s">
        <v>115</v>
      </c>
      <c r="K431" s="1" t="s">
        <v>33</v>
      </c>
      <c r="L431" s="1" t="s">
        <v>33</v>
      </c>
      <c r="M431" s="1" t="s">
        <v>33</v>
      </c>
      <c r="N431">
        <v>33032.58</v>
      </c>
      <c r="O431">
        <v>42150.91</v>
      </c>
      <c r="P431">
        <v>0</v>
      </c>
      <c r="Q431">
        <v>11</v>
      </c>
      <c r="R431">
        <v>176</v>
      </c>
      <c r="S431">
        <v>3.1</v>
      </c>
      <c r="T431" s="1" t="s">
        <v>33</v>
      </c>
      <c r="U431" s="1" t="s">
        <v>67</v>
      </c>
      <c r="V431" s="1" t="s">
        <v>33</v>
      </c>
      <c r="W431" s="1" t="s">
        <v>83</v>
      </c>
    </row>
    <row r="432" spans="1:23" x14ac:dyDescent="0.35">
      <c r="A432" s="1" t="s">
        <v>1134</v>
      </c>
      <c r="B432" s="1" t="s">
        <v>368</v>
      </c>
      <c r="C432">
        <v>72</v>
      </c>
      <c r="D432" s="1" t="s">
        <v>33</v>
      </c>
      <c r="E432" s="1" t="s">
        <v>157</v>
      </c>
      <c r="F432" s="1" t="s">
        <v>98</v>
      </c>
      <c r="G432" s="1" t="s">
        <v>1135</v>
      </c>
      <c r="H432" s="2">
        <v>45454</v>
      </c>
      <c r="I432" s="1" t="s">
        <v>168</v>
      </c>
      <c r="J432" s="1" t="s">
        <v>137</v>
      </c>
      <c r="K432" s="1" t="s">
        <v>153</v>
      </c>
      <c r="L432" s="1" t="s">
        <v>32</v>
      </c>
      <c r="M432" s="1" t="s">
        <v>183</v>
      </c>
      <c r="N432">
        <v>39797.1</v>
      </c>
      <c r="O432">
        <v>0</v>
      </c>
      <c r="P432">
        <v>27492.02</v>
      </c>
      <c r="Q432">
        <v>2</v>
      </c>
      <c r="R432">
        <v>172</v>
      </c>
      <c r="T432" s="1" t="s">
        <v>94</v>
      </c>
      <c r="U432" s="1" t="s">
        <v>95</v>
      </c>
      <c r="V432" s="1" t="s">
        <v>130</v>
      </c>
      <c r="W432" s="1" t="s">
        <v>103</v>
      </c>
    </row>
    <row r="433" spans="1:23" x14ac:dyDescent="0.35">
      <c r="A433" s="1" t="s">
        <v>1136</v>
      </c>
      <c r="B433" s="1" t="s">
        <v>1137</v>
      </c>
      <c r="C433">
        <v>33</v>
      </c>
      <c r="D433" s="1" t="s">
        <v>106</v>
      </c>
      <c r="E433" s="1" t="s">
        <v>134</v>
      </c>
      <c r="F433" s="1" t="s">
        <v>120</v>
      </c>
      <c r="G433" s="1" t="s">
        <v>670</v>
      </c>
      <c r="H433" s="2">
        <v>45358</v>
      </c>
      <c r="I433" s="1" t="s">
        <v>257</v>
      </c>
      <c r="J433" s="1" t="s">
        <v>87</v>
      </c>
      <c r="K433" s="1" t="s">
        <v>174</v>
      </c>
      <c r="L433" s="1" t="s">
        <v>32</v>
      </c>
      <c r="M433" s="1" t="s">
        <v>142</v>
      </c>
      <c r="N433">
        <v>297243.71000000002</v>
      </c>
      <c r="O433">
        <v>60006.54</v>
      </c>
      <c r="P433">
        <v>31105.16</v>
      </c>
      <c r="Q433">
        <v>1</v>
      </c>
      <c r="R433">
        <v>64</v>
      </c>
      <c r="S433">
        <v>5</v>
      </c>
      <c r="T433" s="1" t="s">
        <v>33</v>
      </c>
      <c r="U433" s="1" t="s">
        <v>67</v>
      </c>
      <c r="V433" s="1" t="s">
        <v>47</v>
      </c>
      <c r="W433" s="1" t="s">
        <v>36</v>
      </c>
    </row>
    <row r="434" spans="1:23" x14ac:dyDescent="0.35">
      <c r="A434" s="1" t="s">
        <v>1138</v>
      </c>
      <c r="B434" s="1" t="s">
        <v>723</v>
      </c>
      <c r="C434">
        <v>34</v>
      </c>
      <c r="D434" s="1" t="s">
        <v>119</v>
      </c>
      <c r="E434" s="1" t="s">
        <v>203</v>
      </c>
      <c r="F434" s="1" t="s">
        <v>98</v>
      </c>
      <c r="G434" s="1" t="s">
        <v>1139</v>
      </c>
      <c r="H434" s="2">
        <v>46016</v>
      </c>
      <c r="I434" s="1" t="s">
        <v>53</v>
      </c>
      <c r="J434" s="1" t="s">
        <v>33</v>
      </c>
      <c r="K434" s="1" t="s">
        <v>33</v>
      </c>
      <c r="L434" s="1" t="s">
        <v>44</v>
      </c>
      <c r="M434" s="1" t="s">
        <v>57</v>
      </c>
      <c r="N434">
        <v>246659.34</v>
      </c>
      <c r="O434">
        <v>41230.47</v>
      </c>
      <c r="P434">
        <v>29705.8</v>
      </c>
      <c r="Q434">
        <v>1</v>
      </c>
      <c r="R434">
        <v>97</v>
      </c>
      <c r="S434">
        <v>0.5</v>
      </c>
      <c r="T434" s="1" t="s">
        <v>34</v>
      </c>
      <c r="U434" s="1" t="s">
        <v>35</v>
      </c>
      <c r="V434" s="1" t="s">
        <v>130</v>
      </c>
      <c r="W434" s="1" t="s">
        <v>33</v>
      </c>
    </row>
    <row r="435" spans="1:23" x14ac:dyDescent="0.35">
      <c r="A435" s="1" t="s">
        <v>1140</v>
      </c>
      <c r="B435" s="1" t="s">
        <v>499</v>
      </c>
      <c r="C435">
        <v>52</v>
      </c>
      <c r="D435" s="1" t="s">
        <v>33</v>
      </c>
      <c r="E435" s="1" t="s">
        <v>33</v>
      </c>
      <c r="F435" s="1" t="s">
        <v>41</v>
      </c>
      <c r="G435" s="1" t="s">
        <v>1141</v>
      </c>
      <c r="H435" s="2">
        <v>46018</v>
      </c>
      <c r="I435" s="1" t="s">
        <v>127</v>
      </c>
      <c r="J435" s="1" t="s">
        <v>147</v>
      </c>
      <c r="K435" s="1" t="s">
        <v>116</v>
      </c>
      <c r="L435" s="1" t="s">
        <v>66</v>
      </c>
      <c r="M435" s="1" t="s">
        <v>74</v>
      </c>
      <c r="N435">
        <v>82478.84</v>
      </c>
      <c r="O435">
        <v>31474.61</v>
      </c>
      <c r="P435">
        <v>58406.18</v>
      </c>
      <c r="Q435">
        <v>1</v>
      </c>
      <c r="R435">
        <v>69</v>
      </c>
      <c r="S435">
        <v>3.9</v>
      </c>
      <c r="T435" s="1" t="s">
        <v>154</v>
      </c>
      <c r="U435" s="1" t="s">
        <v>149</v>
      </c>
      <c r="V435" s="1" t="s">
        <v>75</v>
      </c>
      <c r="W435" s="1" t="s">
        <v>59</v>
      </c>
    </row>
    <row r="436" spans="1:23" x14ac:dyDescent="0.35">
      <c r="A436" s="1" t="s">
        <v>1142</v>
      </c>
      <c r="B436" s="1" t="s">
        <v>315</v>
      </c>
      <c r="C436">
        <v>38</v>
      </c>
      <c r="D436" s="1" t="s">
        <v>78</v>
      </c>
      <c r="E436" s="1" t="s">
        <v>86</v>
      </c>
      <c r="F436" s="1" t="s">
        <v>63</v>
      </c>
      <c r="G436" s="1" t="s">
        <v>1143</v>
      </c>
      <c r="H436" s="2">
        <v>45810</v>
      </c>
      <c r="I436" s="1" t="s">
        <v>173</v>
      </c>
      <c r="J436" s="1" t="s">
        <v>80</v>
      </c>
      <c r="K436" s="1" t="s">
        <v>33</v>
      </c>
      <c r="L436" s="1" t="s">
        <v>56</v>
      </c>
      <c r="M436" s="1" t="s">
        <v>74</v>
      </c>
      <c r="N436">
        <v>305430.26</v>
      </c>
      <c r="O436">
        <v>33924.32</v>
      </c>
      <c r="P436">
        <v>27404.06</v>
      </c>
      <c r="Q436">
        <v>1</v>
      </c>
      <c r="R436">
        <v>111</v>
      </c>
      <c r="S436">
        <v>4.5999999999999996</v>
      </c>
      <c r="T436" s="1" t="s">
        <v>154</v>
      </c>
      <c r="U436" s="1" t="s">
        <v>101</v>
      </c>
      <c r="V436" s="1" t="s">
        <v>102</v>
      </c>
      <c r="W436" s="1" t="s">
        <v>33</v>
      </c>
    </row>
    <row r="437" spans="1:23" x14ac:dyDescent="0.35">
      <c r="A437" s="1" t="s">
        <v>1144</v>
      </c>
      <c r="B437" s="1" t="s">
        <v>759</v>
      </c>
      <c r="C437">
        <v>68</v>
      </c>
      <c r="D437" s="1" t="s">
        <v>106</v>
      </c>
      <c r="E437" s="1" t="s">
        <v>26</v>
      </c>
      <c r="F437" s="1" t="s">
        <v>41</v>
      </c>
      <c r="G437" s="1" t="s">
        <v>748</v>
      </c>
      <c r="H437" s="2">
        <v>46165</v>
      </c>
      <c r="I437" s="1" t="s">
        <v>277</v>
      </c>
      <c r="J437" s="1" t="s">
        <v>43</v>
      </c>
      <c r="K437" s="1" t="s">
        <v>148</v>
      </c>
      <c r="L437" s="1" t="s">
        <v>33</v>
      </c>
      <c r="M437" s="1" t="s">
        <v>123</v>
      </c>
      <c r="N437">
        <v>172924.34</v>
      </c>
      <c r="O437">
        <v>40637.25</v>
      </c>
      <c r="P437">
        <v>80917.41</v>
      </c>
      <c r="Q437">
        <v>1</v>
      </c>
      <c r="R437">
        <v>0</v>
      </c>
      <c r="S437">
        <v>2.8</v>
      </c>
      <c r="T437" s="1" t="s">
        <v>154</v>
      </c>
      <c r="U437" s="1" t="s">
        <v>35</v>
      </c>
      <c r="V437" s="1" t="s">
        <v>47</v>
      </c>
      <c r="W437" s="1" t="s">
        <v>103</v>
      </c>
    </row>
    <row r="438" spans="1:23" x14ac:dyDescent="0.35">
      <c r="A438" s="1" t="s">
        <v>1145</v>
      </c>
      <c r="B438" s="1" t="s">
        <v>1137</v>
      </c>
      <c r="C438">
        <v>25</v>
      </c>
      <c r="D438" s="1" t="s">
        <v>119</v>
      </c>
      <c r="E438" s="1" t="s">
        <v>33</v>
      </c>
      <c r="F438" s="1" t="s">
        <v>63</v>
      </c>
      <c r="G438" s="1" t="s">
        <v>1146</v>
      </c>
      <c r="H438" s="2">
        <v>46218</v>
      </c>
      <c r="I438" s="1" t="s">
        <v>168</v>
      </c>
      <c r="J438" s="1" t="s">
        <v>115</v>
      </c>
      <c r="K438" s="1" t="s">
        <v>116</v>
      </c>
      <c r="L438" s="1" t="s">
        <v>33</v>
      </c>
      <c r="M438" s="1" t="s">
        <v>123</v>
      </c>
      <c r="N438">
        <v>462891.12</v>
      </c>
      <c r="O438">
        <v>8580.7000000000007</v>
      </c>
      <c r="P438">
        <v>28333.599999999999</v>
      </c>
      <c r="Q438">
        <v>2</v>
      </c>
      <c r="R438">
        <v>110</v>
      </c>
      <c r="S438">
        <v>2.1</v>
      </c>
      <c r="T438" s="1" t="s">
        <v>34</v>
      </c>
      <c r="U438" s="1" t="s">
        <v>58</v>
      </c>
      <c r="V438" s="1" t="s">
        <v>47</v>
      </c>
      <c r="W438" s="1" t="s">
        <v>103</v>
      </c>
    </row>
    <row r="439" spans="1:23" x14ac:dyDescent="0.35">
      <c r="A439" s="1" t="s">
        <v>1147</v>
      </c>
      <c r="B439" s="1" t="s">
        <v>753</v>
      </c>
      <c r="C439">
        <v>49</v>
      </c>
      <c r="D439" s="1" t="s">
        <v>33</v>
      </c>
      <c r="E439" s="1" t="s">
        <v>219</v>
      </c>
      <c r="F439" s="1" t="s">
        <v>98</v>
      </c>
      <c r="G439" s="1" t="s">
        <v>1148</v>
      </c>
      <c r="H439" s="2">
        <v>45504</v>
      </c>
      <c r="I439" s="1" t="s">
        <v>89</v>
      </c>
      <c r="J439" s="1" t="s">
        <v>43</v>
      </c>
      <c r="K439" s="1" t="s">
        <v>31</v>
      </c>
      <c r="L439" s="1" t="s">
        <v>66</v>
      </c>
      <c r="M439" s="1" t="s">
        <v>57</v>
      </c>
      <c r="N439">
        <v>173399.54</v>
      </c>
      <c r="O439">
        <v>27665.33</v>
      </c>
      <c r="P439">
        <v>29120.04</v>
      </c>
      <c r="Q439">
        <v>2</v>
      </c>
      <c r="R439">
        <v>0</v>
      </c>
      <c r="S439">
        <v>4.0999999999999996</v>
      </c>
      <c r="T439" s="1" t="s">
        <v>33</v>
      </c>
      <c r="U439" s="1" t="s">
        <v>67</v>
      </c>
      <c r="V439" s="1" t="s">
        <v>33</v>
      </c>
      <c r="W439" s="1" t="s">
        <v>83</v>
      </c>
    </row>
    <row r="440" spans="1:23" x14ac:dyDescent="0.35">
      <c r="A440" s="1" t="s">
        <v>1149</v>
      </c>
      <c r="B440" s="1" t="s">
        <v>776</v>
      </c>
      <c r="C440">
        <v>43</v>
      </c>
      <c r="D440" s="1" t="s">
        <v>78</v>
      </c>
      <c r="E440" s="1" t="s">
        <v>26</v>
      </c>
      <c r="F440" s="1" t="s">
        <v>44</v>
      </c>
      <c r="G440" s="1" t="s">
        <v>387</v>
      </c>
      <c r="H440" s="2">
        <v>45952</v>
      </c>
      <c r="I440" s="1" t="s">
        <v>29</v>
      </c>
      <c r="J440" s="1" t="s">
        <v>30</v>
      </c>
      <c r="K440" s="1" t="s">
        <v>33</v>
      </c>
      <c r="L440" s="1" t="s">
        <v>33</v>
      </c>
      <c r="M440" s="1" t="s">
        <v>93</v>
      </c>
      <c r="N440">
        <v>251536.98</v>
      </c>
      <c r="O440">
        <v>47318.07</v>
      </c>
      <c r="P440">
        <v>6920.09</v>
      </c>
      <c r="Q440">
        <v>10</v>
      </c>
      <c r="R440">
        <v>222</v>
      </c>
      <c r="S440">
        <v>4</v>
      </c>
      <c r="T440" s="1" t="s">
        <v>94</v>
      </c>
      <c r="U440" s="1" t="s">
        <v>33</v>
      </c>
      <c r="V440" s="1" t="s">
        <v>75</v>
      </c>
      <c r="W440" s="1" t="s">
        <v>36</v>
      </c>
    </row>
    <row r="441" spans="1:23" x14ac:dyDescent="0.35">
      <c r="A441" s="1" t="s">
        <v>1150</v>
      </c>
      <c r="B441" s="1" t="s">
        <v>511</v>
      </c>
      <c r="C441">
        <v>26</v>
      </c>
      <c r="D441" s="1" t="s">
        <v>50</v>
      </c>
      <c r="E441" s="1" t="s">
        <v>26</v>
      </c>
      <c r="F441" s="1" t="s">
        <v>41</v>
      </c>
      <c r="G441" s="1" t="s">
        <v>136</v>
      </c>
      <c r="H441" s="2">
        <v>45760</v>
      </c>
      <c r="I441" s="1" t="s">
        <v>235</v>
      </c>
      <c r="J441" s="1" t="s">
        <v>30</v>
      </c>
      <c r="K441" s="1" t="s">
        <v>33</v>
      </c>
      <c r="L441" s="1" t="s">
        <v>33</v>
      </c>
      <c r="M441" s="1" t="s">
        <v>82</v>
      </c>
      <c r="N441">
        <v>474528.67</v>
      </c>
      <c r="O441">
        <v>49378.89</v>
      </c>
      <c r="P441">
        <v>61591.199999999997</v>
      </c>
      <c r="Q441">
        <v>9</v>
      </c>
      <c r="R441">
        <v>112</v>
      </c>
      <c r="S441">
        <v>3.4</v>
      </c>
      <c r="T441" s="1" t="s">
        <v>94</v>
      </c>
      <c r="U441" s="1" t="s">
        <v>101</v>
      </c>
      <c r="V441" s="1" t="s">
        <v>47</v>
      </c>
      <c r="W441" s="1" t="s">
        <v>12</v>
      </c>
    </row>
    <row r="442" spans="1:23" x14ac:dyDescent="0.35">
      <c r="A442" s="1" t="s">
        <v>1151</v>
      </c>
      <c r="B442" s="1" t="s">
        <v>1152</v>
      </c>
      <c r="C442">
        <v>46</v>
      </c>
      <c r="D442" s="1" t="s">
        <v>71</v>
      </c>
      <c r="E442" s="1" t="s">
        <v>219</v>
      </c>
      <c r="F442" s="1" t="s">
        <v>41</v>
      </c>
      <c r="G442" s="1" t="s">
        <v>1074</v>
      </c>
      <c r="H442" s="2">
        <v>45827</v>
      </c>
      <c r="I442" s="1" t="s">
        <v>127</v>
      </c>
      <c r="J442" s="1" t="s">
        <v>147</v>
      </c>
      <c r="K442" s="1" t="s">
        <v>208</v>
      </c>
      <c r="L442" s="1" t="s">
        <v>56</v>
      </c>
      <c r="M442" s="1" t="s">
        <v>129</v>
      </c>
      <c r="N442">
        <v>0</v>
      </c>
      <c r="O442">
        <v>2070.34</v>
      </c>
      <c r="P442">
        <v>39424.629999999997</v>
      </c>
      <c r="Q442">
        <v>7</v>
      </c>
      <c r="R442">
        <v>118</v>
      </c>
      <c r="S442">
        <v>3.6</v>
      </c>
      <c r="T442" s="1" t="s">
        <v>46</v>
      </c>
      <c r="U442" s="1" t="s">
        <v>35</v>
      </c>
      <c r="V442" s="1" t="s">
        <v>130</v>
      </c>
      <c r="W442" s="1" t="s">
        <v>179</v>
      </c>
    </row>
    <row r="443" spans="1:23" x14ac:dyDescent="0.35">
      <c r="A443" s="1" t="s">
        <v>1153</v>
      </c>
      <c r="B443" s="1" t="s">
        <v>218</v>
      </c>
      <c r="C443">
        <v>0</v>
      </c>
      <c r="D443" s="1" t="s">
        <v>39</v>
      </c>
      <c r="E443" s="1" t="s">
        <v>263</v>
      </c>
      <c r="F443" s="1" t="s">
        <v>193</v>
      </c>
      <c r="G443" s="1" t="s">
        <v>851</v>
      </c>
      <c r="H443" s="2">
        <v>45830</v>
      </c>
      <c r="I443" s="1" t="s">
        <v>33</v>
      </c>
      <c r="J443" s="1" t="s">
        <v>65</v>
      </c>
      <c r="K443" s="1" t="s">
        <v>128</v>
      </c>
      <c r="L443" s="1" t="s">
        <v>56</v>
      </c>
      <c r="M443" s="1" t="s">
        <v>33</v>
      </c>
      <c r="N443">
        <v>240102.31</v>
      </c>
      <c r="O443">
        <v>0</v>
      </c>
      <c r="P443">
        <v>67791.37</v>
      </c>
      <c r="Q443">
        <v>7</v>
      </c>
      <c r="R443">
        <v>87</v>
      </c>
      <c r="S443">
        <v>4.2</v>
      </c>
      <c r="T443" s="1" t="s">
        <v>33</v>
      </c>
      <c r="U443" s="1" t="s">
        <v>33</v>
      </c>
      <c r="V443" s="1" t="s">
        <v>102</v>
      </c>
      <c r="W443" s="1" t="s">
        <v>83</v>
      </c>
    </row>
    <row r="444" spans="1:23" x14ac:dyDescent="0.35">
      <c r="A444" s="1" t="s">
        <v>1154</v>
      </c>
      <c r="B444" s="1" t="s">
        <v>1155</v>
      </c>
      <c r="C444">
        <v>71</v>
      </c>
      <c r="D444" s="1" t="s">
        <v>71</v>
      </c>
      <c r="E444" s="1" t="s">
        <v>203</v>
      </c>
      <c r="F444" s="1" t="s">
        <v>41</v>
      </c>
      <c r="G444" s="1" t="s">
        <v>773</v>
      </c>
      <c r="H444" s="2">
        <v>45413</v>
      </c>
      <c r="I444" s="1" t="s">
        <v>53</v>
      </c>
      <c r="J444" s="1" t="s">
        <v>80</v>
      </c>
      <c r="K444" s="1" t="s">
        <v>163</v>
      </c>
      <c r="L444" s="1" t="s">
        <v>92</v>
      </c>
      <c r="M444" s="1" t="s">
        <v>74</v>
      </c>
      <c r="N444">
        <v>365841.45</v>
      </c>
      <c r="O444">
        <v>44588.61</v>
      </c>
      <c r="P444">
        <v>41114.480000000003</v>
      </c>
      <c r="Q444">
        <v>1</v>
      </c>
      <c r="R444">
        <v>138</v>
      </c>
      <c r="S444">
        <v>2.8</v>
      </c>
      <c r="T444" s="1" t="s">
        <v>94</v>
      </c>
      <c r="U444" s="1" t="s">
        <v>33</v>
      </c>
      <c r="V444" s="1" t="s">
        <v>75</v>
      </c>
      <c r="W444" s="1" t="s">
        <v>131</v>
      </c>
    </row>
    <row r="445" spans="1:23" x14ac:dyDescent="0.35">
      <c r="A445" s="1" t="s">
        <v>1156</v>
      </c>
      <c r="B445" s="1" t="s">
        <v>871</v>
      </c>
      <c r="C445">
        <v>79</v>
      </c>
      <c r="D445" s="1" t="s">
        <v>50</v>
      </c>
      <c r="E445" s="1" t="s">
        <v>33</v>
      </c>
      <c r="F445" s="1" t="s">
        <v>44</v>
      </c>
      <c r="G445" s="1" t="s">
        <v>1157</v>
      </c>
      <c r="H445" s="2">
        <v>45607</v>
      </c>
      <c r="I445" s="1" t="s">
        <v>277</v>
      </c>
      <c r="J445" s="1" t="s">
        <v>147</v>
      </c>
      <c r="K445" s="1" t="s">
        <v>33</v>
      </c>
      <c r="L445" s="1" t="s">
        <v>92</v>
      </c>
      <c r="M445" s="1" t="s">
        <v>129</v>
      </c>
      <c r="N445">
        <v>369885.48</v>
      </c>
      <c r="O445">
        <v>11759.94</v>
      </c>
      <c r="P445">
        <v>55842.52</v>
      </c>
      <c r="Q445">
        <v>5</v>
      </c>
      <c r="R445">
        <v>0</v>
      </c>
      <c r="S445">
        <v>4.4000000000000004</v>
      </c>
      <c r="T445" s="1" t="s">
        <v>46</v>
      </c>
      <c r="U445" s="1" t="s">
        <v>58</v>
      </c>
      <c r="V445" s="1" t="s">
        <v>164</v>
      </c>
      <c r="W445" s="1" t="s">
        <v>59</v>
      </c>
    </row>
    <row r="446" spans="1:23" x14ac:dyDescent="0.35">
      <c r="A446" s="1" t="s">
        <v>1158</v>
      </c>
      <c r="B446" s="1" t="s">
        <v>761</v>
      </c>
      <c r="C446">
        <v>1</v>
      </c>
      <c r="D446" s="1" t="s">
        <v>50</v>
      </c>
      <c r="E446" s="1" t="s">
        <v>203</v>
      </c>
      <c r="F446" s="1" t="s">
        <v>227</v>
      </c>
      <c r="G446" s="1" t="s">
        <v>1159</v>
      </c>
      <c r="H446" s="2">
        <v>45882</v>
      </c>
      <c r="I446" s="1" t="s">
        <v>89</v>
      </c>
      <c r="J446" s="1" t="s">
        <v>137</v>
      </c>
      <c r="K446" s="1" t="s">
        <v>33</v>
      </c>
      <c r="L446" s="1" t="s">
        <v>33</v>
      </c>
      <c r="M446" s="1" t="s">
        <v>82</v>
      </c>
      <c r="N446">
        <v>57350.26</v>
      </c>
      <c r="O446">
        <v>22921.53</v>
      </c>
      <c r="P446">
        <v>35974.21</v>
      </c>
      <c r="Q446">
        <v>4</v>
      </c>
      <c r="R446">
        <v>4</v>
      </c>
      <c r="S446">
        <v>4.2</v>
      </c>
      <c r="T446" s="1" t="s">
        <v>33</v>
      </c>
      <c r="U446" s="1" t="s">
        <v>149</v>
      </c>
      <c r="V446" s="1" t="s">
        <v>33</v>
      </c>
      <c r="W446" s="1" t="s">
        <v>33</v>
      </c>
    </row>
    <row r="447" spans="1:23" x14ac:dyDescent="0.35">
      <c r="A447" s="1" t="s">
        <v>1160</v>
      </c>
      <c r="B447" s="1" t="s">
        <v>569</v>
      </c>
      <c r="C447">
        <v>38</v>
      </c>
      <c r="D447" s="1" t="s">
        <v>39</v>
      </c>
      <c r="E447" s="1" t="s">
        <v>40</v>
      </c>
      <c r="F447" s="1" t="s">
        <v>87</v>
      </c>
      <c r="G447" s="1" t="s">
        <v>1161</v>
      </c>
      <c r="H447" s="2">
        <v>45714</v>
      </c>
      <c r="I447" s="1" t="s">
        <v>235</v>
      </c>
      <c r="J447" s="1" t="s">
        <v>54</v>
      </c>
      <c r="K447" s="1" t="s">
        <v>148</v>
      </c>
      <c r="L447" s="1" t="s">
        <v>33</v>
      </c>
      <c r="M447" s="1" t="s">
        <v>142</v>
      </c>
      <c r="N447">
        <v>114189.19</v>
      </c>
      <c r="O447">
        <v>56217.68</v>
      </c>
      <c r="P447">
        <v>94662.21</v>
      </c>
      <c r="Q447">
        <v>3</v>
      </c>
      <c r="R447">
        <v>58</v>
      </c>
      <c r="S447">
        <v>2.9</v>
      </c>
      <c r="T447" s="1" t="s">
        <v>33</v>
      </c>
      <c r="U447" s="1" t="s">
        <v>58</v>
      </c>
      <c r="V447" s="1" t="s">
        <v>75</v>
      </c>
      <c r="W447" s="1" t="s">
        <v>83</v>
      </c>
    </row>
    <row r="448" spans="1:23" x14ac:dyDescent="0.35">
      <c r="A448" s="1" t="s">
        <v>1162</v>
      </c>
      <c r="B448" s="1" t="s">
        <v>459</v>
      </c>
      <c r="C448">
        <v>35</v>
      </c>
      <c r="D448" s="1" t="s">
        <v>25</v>
      </c>
      <c r="E448" s="1" t="s">
        <v>112</v>
      </c>
      <c r="F448" s="1" t="s">
        <v>193</v>
      </c>
      <c r="G448" s="1" t="s">
        <v>1163</v>
      </c>
      <c r="H448" s="2">
        <v>45955</v>
      </c>
      <c r="I448" s="1" t="s">
        <v>53</v>
      </c>
      <c r="J448" s="1" t="s">
        <v>90</v>
      </c>
      <c r="K448" s="1" t="s">
        <v>174</v>
      </c>
      <c r="L448" s="1" t="s">
        <v>32</v>
      </c>
      <c r="M448" s="1" t="s">
        <v>142</v>
      </c>
      <c r="N448">
        <v>200484.39</v>
      </c>
      <c r="O448">
        <v>48491.33</v>
      </c>
      <c r="P448">
        <v>0</v>
      </c>
      <c r="Q448">
        <v>4</v>
      </c>
      <c r="R448">
        <v>193</v>
      </c>
      <c r="S448">
        <v>3.8</v>
      </c>
      <c r="T448" s="1" t="s">
        <v>46</v>
      </c>
      <c r="U448" s="1" t="s">
        <v>95</v>
      </c>
      <c r="V448" s="1" t="s">
        <v>75</v>
      </c>
      <c r="W448" s="1" t="s">
        <v>33</v>
      </c>
    </row>
    <row r="449" spans="1:23" x14ac:dyDescent="0.35">
      <c r="A449" s="1" t="s">
        <v>1164</v>
      </c>
      <c r="B449" s="1" t="s">
        <v>1165</v>
      </c>
      <c r="C449">
        <v>41</v>
      </c>
      <c r="D449" s="1" t="s">
        <v>25</v>
      </c>
      <c r="E449" s="1" t="s">
        <v>72</v>
      </c>
      <c r="F449" s="1" t="s">
        <v>87</v>
      </c>
      <c r="G449" s="1" t="s">
        <v>1166</v>
      </c>
      <c r="H449" s="2">
        <v>45748</v>
      </c>
      <c r="I449" s="1" t="s">
        <v>53</v>
      </c>
      <c r="J449" s="1" t="s">
        <v>137</v>
      </c>
      <c r="K449" s="1" t="s">
        <v>33</v>
      </c>
      <c r="L449" s="1" t="s">
        <v>44</v>
      </c>
      <c r="M449" s="1" t="s">
        <v>74</v>
      </c>
      <c r="N449">
        <v>214740.11</v>
      </c>
      <c r="O449">
        <v>0</v>
      </c>
      <c r="P449">
        <v>89848.15</v>
      </c>
      <c r="Q449">
        <v>2</v>
      </c>
      <c r="R449">
        <v>98</v>
      </c>
      <c r="S449">
        <v>4.3</v>
      </c>
      <c r="T449" s="1" t="s">
        <v>33</v>
      </c>
      <c r="U449" s="1" t="s">
        <v>149</v>
      </c>
      <c r="V449" s="1" t="s">
        <v>33</v>
      </c>
      <c r="W449" s="1" t="s">
        <v>36</v>
      </c>
    </row>
    <row r="450" spans="1:23" x14ac:dyDescent="0.35">
      <c r="A450" s="1" t="s">
        <v>1167</v>
      </c>
      <c r="B450" s="1" t="s">
        <v>634</v>
      </c>
      <c r="C450">
        <v>20</v>
      </c>
      <c r="D450" s="1" t="s">
        <v>78</v>
      </c>
      <c r="E450" s="1" t="s">
        <v>263</v>
      </c>
      <c r="F450" s="1" t="s">
        <v>98</v>
      </c>
      <c r="G450" s="1" t="s">
        <v>1168</v>
      </c>
      <c r="H450" s="2">
        <v>45445</v>
      </c>
      <c r="I450" s="1" t="s">
        <v>221</v>
      </c>
      <c r="J450" s="1" t="s">
        <v>147</v>
      </c>
      <c r="K450" s="1" t="s">
        <v>153</v>
      </c>
      <c r="L450" s="1" t="s">
        <v>56</v>
      </c>
      <c r="M450" s="1" t="s">
        <v>33</v>
      </c>
      <c r="N450">
        <v>286286.07</v>
      </c>
      <c r="O450">
        <v>23308.97</v>
      </c>
      <c r="P450">
        <v>70403.12</v>
      </c>
      <c r="Q450">
        <v>6</v>
      </c>
      <c r="R450">
        <v>0</v>
      </c>
      <c r="S450">
        <v>3.6</v>
      </c>
      <c r="T450" s="1" t="s">
        <v>34</v>
      </c>
      <c r="U450" s="1" t="s">
        <v>95</v>
      </c>
      <c r="V450" s="1" t="s">
        <v>47</v>
      </c>
      <c r="W450" s="1" t="s">
        <v>83</v>
      </c>
    </row>
    <row r="451" spans="1:23" x14ac:dyDescent="0.35">
      <c r="A451" s="1" t="s">
        <v>1169</v>
      </c>
      <c r="B451" s="1" t="s">
        <v>1170</v>
      </c>
      <c r="C451">
        <v>52</v>
      </c>
      <c r="D451" s="1" t="s">
        <v>25</v>
      </c>
      <c r="E451" s="1" t="s">
        <v>51</v>
      </c>
      <c r="F451" s="1" t="s">
        <v>108</v>
      </c>
      <c r="G451" s="1" t="s">
        <v>473</v>
      </c>
      <c r="H451" s="2">
        <v>45678</v>
      </c>
      <c r="I451" s="1" t="s">
        <v>257</v>
      </c>
      <c r="J451" s="1" t="s">
        <v>43</v>
      </c>
      <c r="K451" s="1" t="s">
        <v>81</v>
      </c>
      <c r="L451" s="1" t="s">
        <v>92</v>
      </c>
      <c r="M451" s="1" t="s">
        <v>183</v>
      </c>
      <c r="N451">
        <v>285806.19</v>
      </c>
      <c r="O451">
        <v>12309.35</v>
      </c>
      <c r="P451">
        <v>23634.78</v>
      </c>
      <c r="Q451">
        <v>2</v>
      </c>
      <c r="R451">
        <v>86</v>
      </c>
      <c r="S451">
        <v>2.5</v>
      </c>
      <c r="T451" s="1" t="s">
        <v>34</v>
      </c>
      <c r="U451" s="1" t="s">
        <v>33</v>
      </c>
      <c r="V451" s="1" t="s">
        <v>75</v>
      </c>
      <c r="W451" s="1" t="s">
        <v>12</v>
      </c>
    </row>
    <row r="452" spans="1:23" x14ac:dyDescent="0.35">
      <c r="A452" s="1" t="s">
        <v>1171</v>
      </c>
      <c r="B452" s="1" t="s">
        <v>974</v>
      </c>
      <c r="C452">
        <v>34</v>
      </c>
      <c r="D452" s="1" t="s">
        <v>119</v>
      </c>
      <c r="E452" s="1" t="s">
        <v>263</v>
      </c>
      <c r="F452" s="1" t="s">
        <v>145</v>
      </c>
      <c r="G452" s="1" t="s">
        <v>1172</v>
      </c>
      <c r="H452" s="2">
        <v>46232</v>
      </c>
      <c r="I452" s="1" t="s">
        <v>127</v>
      </c>
      <c r="J452" s="1" t="s">
        <v>30</v>
      </c>
      <c r="K452" s="1" t="s">
        <v>33</v>
      </c>
      <c r="L452" s="1" t="s">
        <v>92</v>
      </c>
      <c r="M452" s="1" t="s">
        <v>33</v>
      </c>
      <c r="N452">
        <v>0</v>
      </c>
      <c r="O452">
        <v>20629.45</v>
      </c>
      <c r="P452">
        <v>13843.69</v>
      </c>
      <c r="Q452">
        <v>5</v>
      </c>
      <c r="R452">
        <v>0</v>
      </c>
      <c r="S452">
        <v>2.1</v>
      </c>
      <c r="T452" s="1" t="s">
        <v>154</v>
      </c>
      <c r="U452" s="1" t="s">
        <v>149</v>
      </c>
      <c r="V452" s="1" t="s">
        <v>164</v>
      </c>
      <c r="W452" s="1" t="s">
        <v>179</v>
      </c>
    </row>
    <row r="453" spans="1:23" x14ac:dyDescent="0.35">
      <c r="A453" s="1" t="s">
        <v>1173</v>
      </c>
      <c r="B453" s="1" t="s">
        <v>1174</v>
      </c>
      <c r="C453">
        <v>72</v>
      </c>
      <c r="D453" s="1" t="s">
        <v>71</v>
      </c>
      <c r="E453" s="1" t="s">
        <v>134</v>
      </c>
      <c r="F453" s="1" t="s">
        <v>145</v>
      </c>
      <c r="G453" s="1" t="s">
        <v>678</v>
      </c>
      <c r="H453" s="2">
        <v>45467</v>
      </c>
      <c r="I453" s="1" t="s">
        <v>53</v>
      </c>
      <c r="J453" s="1" t="s">
        <v>141</v>
      </c>
      <c r="K453" s="1" t="s">
        <v>148</v>
      </c>
      <c r="L453" s="1" t="s">
        <v>33</v>
      </c>
      <c r="M453" s="1" t="s">
        <v>142</v>
      </c>
      <c r="N453">
        <v>263845.83</v>
      </c>
      <c r="O453">
        <v>14837.42</v>
      </c>
      <c r="P453">
        <v>58677.13</v>
      </c>
      <c r="Q453">
        <v>3</v>
      </c>
      <c r="R453">
        <v>60</v>
      </c>
      <c r="S453">
        <v>2.8</v>
      </c>
      <c r="T453" s="1" t="s">
        <v>34</v>
      </c>
      <c r="U453" s="1" t="s">
        <v>58</v>
      </c>
      <c r="V453" s="1" t="s">
        <v>102</v>
      </c>
      <c r="W453" s="1" t="s">
        <v>36</v>
      </c>
    </row>
    <row r="454" spans="1:23" x14ac:dyDescent="0.35">
      <c r="A454" s="1" t="s">
        <v>1175</v>
      </c>
      <c r="B454" s="1" t="s">
        <v>656</v>
      </c>
      <c r="C454">
        <v>4</v>
      </c>
      <c r="D454" s="1" t="s">
        <v>71</v>
      </c>
      <c r="E454" s="1" t="s">
        <v>33</v>
      </c>
      <c r="F454" s="1" t="s">
        <v>63</v>
      </c>
      <c r="G454" s="1" t="s">
        <v>987</v>
      </c>
      <c r="H454" s="2">
        <v>45940</v>
      </c>
      <c r="I454" s="1" t="s">
        <v>53</v>
      </c>
      <c r="J454" s="1" t="s">
        <v>147</v>
      </c>
      <c r="K454" s="1" t="s">
        <v>208</v>
      </c>
      <c r="L454" s="1" t="s">
        <v>92</v>
      </c>
      <c r="M454" s="1" t="s">
        <v>82</v>
      </c>
      <c r="N454">
        <v>165410.68</v>
      </c>
      <c r="O454">
        <v>33951.339999999997</v>
      </c>
      <c r="P454">
        <v>42101.29</v>
      </c>
      <c r="Q454">
        <v>1</v>
      </c>
      <c r="R454">
        <v>63</v>
      </c>
      <c r="S454">
        <v>2.5</v>
      </c>
      <c r="T454" s="1" t="s">
        <v>33</v>
      </c>
      <c r="U454" s="1" t="s">
        <v>58</v>
      </c>
      <c r="V454" s="1" t="s">
        <v>75</v>
      </c>
      <c r="W454" s="1" t="s">
        <v>179</v>
      </c>
    </row>
    <row r="455" spans="1:23" x14ac:dyDescent="0.35">
      <c r="A455" s="1" t="s">
        <v>1176</v>
      </c>
      <c r="B455" s="1" t="s">
        <v>1177</v>
      </c>
      <c r="C455">
        <v>14</v>
      </c>
      <c r="D455" s="1" t="s">
        <v>106</v>
      </c>
      <c r="E455" s="1" t="s">
        <v>72</v>
      </c>
      <c r="F455" s="1" t="s">
        <v>56</v>
      </c>
      <c r="G455" s="1" t="s">
        <v>1178</v>
      </c>
      <c r="H455" s="2">
        <v>45921</v>
      </c>
      <c r="I455" s="1" t="s">
        <v>29</v>
      </c>
      <c r="J455" s="1" t="s">
        <v>43</v>
      </c>
      <c r="K455" s="1" t="s">
        <v>208</v>
      </c>
      <c r="L455" s="1" t="s">
        <v>56</v>
      </c>
      <c r="M455" s="1" t="s">
        <v>93</v>
      </c>
      <c r="N455">
        <v>328643.90999999997</v>
      </c>
      <c r="O455">
        <v>4944.57</v>
      </c>
      <c r="P455">
        <v>22426.94</v>
      </c>
      <c r="Q455">
        <v>4</v>
      </c>
      <c r="R455">
        <v>0</v>
      </c>
      <c r="T455" s="1" t="s">
        <v>154</v>
      </c>
      <c r="U455" s="1" t="s">
        <v>67</v>
      </c>
      <c r="V455" s="1" t="s">
        <v>47</v>
      </c>
      <c r="W455" s="1" t="s">
        <v>59</v>
      </c>
    </row>
    <row r="456" spans="1:23" x14ac:dyDescent="0.35">
      <c r="A456" s="1" t="s">
        <v>1179</v>
      </c>
      <c r="B456" s="1" t="s">
        <v>1180</v>
      </c>
      <c r="C456">
        <v>54</v>
      </c>
      <c r="D456" s="1" t="s">
        <v>119</v>
      </c>
      <c r="E456" s="1" t="s">
        <v>26</v>
      </c>
      <c r="F456" s="1" t="s">
        <v>56</v>
      </c>
      <c r="G456" s="1" t="s">
        <v>957</v>
      </c>
      <c r="H456" s="2">
        <v>45785</v>
      </c>
      <c r="I456" s="1" t="s">
        <v>100</v>
      </c>
      <c r="J456" s="1" t="s">
        <v>115</v>
      </c>
      <c r="K456" s="1" t="s">
        <v>174</v>
      </c>
      <c r="L456" s="1" t="s">
        <v>33</v>
      </c>
      <c r="M456" s="1" t="s">
        <v>33</v>
      </c>
      <c r="N456">
        <v>356979.1</v>
      </c>
      <c r="O456">
        <v>43053.56</v>
      </c>
      <c r="P456">
        <v>11889.91</v>
      </c>
      <c r="Q456">
        <v>6</v>
      </c>
      <c r="R456">
        <v>70</v>
      </c>
      <c r="S456">
        <v>2.7</v>
      </c>
      <c r="T456" s="1" t="s">
        <v>33</v>
      </c>
      <c r="U456" s="1" t="s">
        <v>33</v>
      </c>
      <c r="V456" s="1" t="s">
        <v>75</v>
      </c>
      <c r="W456" s="1" t="s">
        <v>131</v>
      </c>
    </row>
    <row r="457" spans="1:23" x14ac:dyDescent="0.35">
      <c r="A457" s="1" t="s">
        <v>1181</v>
      </c>
      <c r="B457" s="1" t="s">
        <v>1182</v>
      </c>
      <c r="C457">
        <v>16</v>
      </c>
      <c r="D457" s="1" t="s">
        <v>39</v>
      </c>
      <c r="E457" s="1" t="s">
        <v>219</v>
      </c>
      <c r="F457" s="1" t="s">
        <v>87</v>
      </c>
      <c r="G457" s="1" t="s">
        <v>1183</v>
      </c>
      <c r="H457" s="2">
        <v>46132</v>
      </c>
      <c r="I457" s="1" t="s">
        <v>100</v>
      </c>
      <c r="J457" s="1" t="s">
        <v>33</v>
      </c>
      <c r="K457" s="1" t="s">
        <v>33</v>
      </c>
      <c r="L457" s="1" t="s">
        <v>33</v>
      </c>
      <c r="M457" s="1" t="s">
        <v>33</v>
      </c>
      <c r="N457">
        <v>345117.68</v>
      </c>
      <c r="O457">
        <v>52323.85</v>
      </c>
      <c r="P457">
        <v>99888.61</v>
      </c>
      <c r="Q457">
        <v>8</v>
      </c>
      <c r="R457">
        <v>64</v>
      </c>
      <c r="S457">
        <v>4.5999999999999996</v>
      </c>
      <c r="T457" s="1" t="s">
        <v>46</v>
      </c>
      <c r="U457" s="1" t="s">
        <v>35</v>
      </c>
      <c r="V457" s="1" t="s">
        <v>33</v>
      </c>
      <c r="W457" s="1" t="s">
        <v>103</v>
      </c>
    </row>
    <row r="458" spans="1:23" x14ac:dyDescent="0.35">
      <c r="A458" s="1" t="s">
        <v>1184</v>
      </c>
      <c r="B458" s="1" t="s">
        <v>624</v>
      </c>
      <c r="C458">
        <v>29</v>
      </c>
      <c r="D458" s="1" t="s">
        <v>71</v>
      </c>
      <c r="E458" s="1" t="s">
        <v>86</v>
      </c>
      <c r="F458" s="1" t="s">
        <v>33</v>
      </c>
      <c r="G458" s="1" t="s">
        <v>1185</v>
      </c>
      <c r="H458" s="2">
        <v>45673</v>
      </c>
      <c r="I458" s="1" t="s">
        <v>114</v>
      </c>
      <c r="J458" s="1" t="s">
        <v>43</v>
      </c>
      <c r="K458" s="1" t="s">
        <v>208</v>
      </c>
      <c r="L458" s="1" t="s">
        <v>32</v>
      </c>
      <c r="M458" s="1" t="s">
        <v>183</v>
      </c>
      <c r="N458">
        <v>5094.37</v>
      </c>
      <c r="O458">
        <v>0</v>
      </c>
      <c r="P458">
        <v>66381.36</v>
      </c>
      <c r="Q458">
        <v>15</v>
      </c>
      <c r="R458">
        <v>0</v>
      </c>
      <c r="S458">
        <v>3.2</v>
      </c>
      <c r="T458" s="1" t="s">
        <v>154</v>
      </c>
      <c r="U458" s="1" t="s">
        <v>67</v>
      </c>
      <c r="V458" s="1" t="s">
        <v>130</v>
      </c>
      <c r="W458" s="1" t="s">
        <v>12</v>
      </c>
    </row>
    <row r="459" spans="1:23" x14ac:dyDescent="0.35">
      <c r="A459" s="1" t="s">
        <v>1186</v>
      </c>
      <c r="B459" s="1" t="s">
        <v>945</v>
      </c>
      <c r="C459">
        <v>47</v>
      </c>
      <c r="D459" s="1" t="s">
        <v>33</v>
      </c>
      <c r="E459" s="1" t="s">
        <v>192</v>
      </c>
      <c r="F459" s="1" t="s">
        <v>145</v>
      </c>
      <c r="G459" s="1" t="s">
        <v>1187</v>
      </c>
      <c r="H459" s="2">
        <v>45580</v>
      </c>
      <c r="I459" s="1" t="s">
        <v>159</v>
      </c>
      <c r="J459" s="1" t="s">
        <v>65</v>
      </c>
      <c r="K459" s="1" t="s">
        <v>208</v>
      </c>
      <c r="L459" s="1" t="s">
        <v>92</v>
      </c>
      <c r="M459" s="1" t="s">
        <v>33</v>
      </c>
      <c r="N459">
        <v>279562.28000000003</v>
      </c>
      <c r="O459">
        <v>35557.25</v>
      </c>
      <c r="P459">
        <v>83365.97</v>
      </c>
      <c r="Q459">
        <v>4</v>
      </c>
      <c r="R459">
        <v>23</v>
      </c>
      <c r="S459">
        <v>2.8</v>
      </c>
      <c r="T459" s="1" t="s">
        <v>33</v>
      </c>
      <c r="U459" s="1" t="s">
        <v>149</v>
      </c>
      <c r="V459" s="1" t="s">
        <v>75</v>
      </c>
      <c r="W459" s="1" t="s">
        <v>83</v>
      </c>
    </row>
    <row r="460" spans="1:23" x14ac:dyDescent="0.35">
      <c r="A460" s="1" t="s">
        <v>1188</v>
      </c>
      <c r="B460" s="1" t="s">
        <v>697</v>
      </c>
      <c r="C460">
        <v>61</v>
      </c>
      <c r="D460" s="1" t="s">
        <v>50</v>
      </c>
      <c r="E460" s="1" t="s">
        <v>112</v>
      </c>
      <c r="F460" s="1" t="s">
        <v>33</v>
      </c>
      <c r="G460" s="1" t="s">
        <v>1079</v>
      </c>
      <c r="H460" s="2">
        <v>46094</v>
      </c>
      <c r="I460" s="1" t="s">
        <v>273</v>
      </c>
      <c r="J460" s="1" t="s">
        <v>80</v>
      </c>
      <c r="K460" s="1" t="s">
        <v>116</v>
      </c>
      <c r="L460" s="1" t="s">
        <v>92</v>
      </c>
      <c r="M460" s="1" t="s">
        <v>82</v>
      </c>
      <c r="N460">
        <v>346055.8</v>
      </c>
      <c r="O460">
        <v>41280.629999999997</v>
      </c>
      <c r="P460">
        <v>80504.81</v>
      </c>
      <c r="Q460">
        <v>1</v>
      </c>
      <c r="R460">
        <v>6</v>
      </c>
      <c r="S460">
        <v>5</v>
      </c>
      <c r="T460" s="1" t="s">
        <v>33</v>
      </c>
      <c r="U460" s="1" t="s">
        <v>33</v>
      </c>
      <c r="V460" s="1" t="s">
        <v>130</v>
      </c>
      <c r="W460" s="1" t="s">
        <v>179</v>
      </c>
    </row>
    <row r="461" spans="1:23" x14ac:dyDescent="0.35">
      <c r="A461" s="1" t="s">
        <v>1189</v>
      </c>
      <c r="B461" s="1" t="s">
        <v>1190</v>
      </c>
      <c r="C461">
        <v>59</v>
      </c>
      <c r="D461" s="1" t="s">
        <v>33</v>
      </c>
      <c r="E461" s="1" t="s">
        <v>33</v>
      </c>
      <c r="F461" s="1" t="s">
        <v>227</v>
      </c>
      <c r="G461" s="1" t="s">
        <v>88</v>
      </c>
      <c r="H461" s="2">
        <v>45997</v>
      </c>
      <c r="I461" s="1" t="s">
        <v>33</v>
      </c>
      <c r="J461" s="1" t="s">
        <v>43</v>
      </c>
      <c r="K461" s="1" t="s">
        <v>148</v>
      </c>
      <c r="L461" s="1" t="s">
        <v>33</v>
      </c>
      <c r="M461" s="1" t="s">
        <v>183</v>
      </c>
      <c r="N461">
        <v>469451.85</v>
      </c>
      <c r="O461">
        <v>0</v>
      </c>
      <c r="P461">
        <v>29266.560000000001</v>
      </c>
      <c r="Q461">
        <v>9</v>
      </c>
      <c r="R461">
        <v>39</v>
      </c>
      <c r="S461">
        <v>4.5999999999999996</v>
      </c>
      <c r="T461" s="1" t="s">
        <v>154</v>
      </c>
      <c r="U461" s="1" t="s">
        <v>58</v>
      </c>
      <c r="V461" s="1" t="s">
        <v>33</v>
      </c>
      <c r="W461" s="1" t="s">
        <v>33</v>
      </c>
    </row>
    <row r="462" spans="1:23" x14ac:dyDescent="0.35">
      <c r="A462" s="1" t="s">
        <v>1191</v>
      </c>
      <c r="B462" s="1" t="s">
        <v>569</v>
      </c>
      <c r="C462">
        <v>59</v>
      </c>
      <c r="D462" s="1" t="s">
        <v>71</v>
      </c>
      <c r="E462" s="1" t="s">
        <v>134</v>
      </c>
      <c r="F462" s="1" t="s">
        <v>120</v>
      </c>
      <c r="G462" s="1" t="s">
        <v>1192</v>
      </c>
      <c r="H462" s="2">
        <v>46048</v>
      </c>
      <c r="I462" s="1" t="s">
        <v>257</v>
      </c>
      <c r="J462" s="1" t="s">
        <v>30</v>
      </c>
      <c r="K462" s="1" t="s">
        <v>163</v>
      </c>
      <c r="L462" s="1" t="s">
        <v>66</v>
      </c>
      <c r="M462" s="1" t="s">
        <v>93</v>
      </c>
      <c r="N462">
        <v>411875.06</v>
      </c>
      <c r="O462">
        <v>47380.07</v>
      </c>
      <c r="P462">
        <v>53512.53</v>
      </c>
      <c r="Q462">
        <v>1</v>
      </c>
      <c r="R462">
        <v>20</v>
      </c>
      <c r="S462">
        <v>2.6</v>
      </c>
      <c r="T462" s="1" t="s">
        <v>154</v>
      </c>
      <c r="U462" s="1" t="s">
        <v>35</v>
      </c>
      <c r="V462" s="1" t="s">
        <v>130</v>
      </c>
      <c r="W462" s="1" t="s">
        <v>33</v>
      </c>
    </row>
    <row r="463" spans="1:23" x14ac:dyDescent="0.35">
      <c r="A463" s="1" t="s">
        <v>1193</v>
      </c>
      <c r="B463" s="1" t="s">
        <v>815</v>
      </c>
      <c r="C463">
        <v>60</v>
      </c>
      <c r="D463" s="1" t="s">
        <v>71</v>
      </c>
      <c r="E463" s="1" t="s">
        <v>72</v>
      </c>
      <c r="F463" s="1" t="s">
        <v>33</v>
      </c>
      <c r="G463" s="1" t="s">
        <v>283</v>
      </c>
      <c r="H463" s="2">
        <v>45783</v>
      </c>
      <c r="I463" s="1" t="s">
        <v>53</v>
      </c>
      <c r="J463" s="1" t="s">
        <v>33</v>
      </c>
      <c r="K463" s="1" t="s">
        <v>122</v>
      </c>
      <c r="L463" s="1" t="s">
        <v>92</v>
      </c>
      <c r="M463" s="1" t="s">
        <v>183</v>
      </c>
      <c r="N463">
        <v>214537.27</v>
      </c>
      <c r="O463">
        <v>19552.259999999998</v>
      </c>
      <c r="P463">
        <v>0</v>
      </c>
      <c r="Q463">
        <v>7</v>
      </c>
      <c r="R463">
        <v>14</v>
      </c>
      <c r="S463">
        <v>5</v>
      </c>
      <c r="T463" s="1" t="s">
        <v>33</v>
      </c>
      <c r="U463" s="1" t="s">
        <v>33</v>
      </c>
      <c r="V463" s="1" t="s">
        <v>75</v>
      </c>
      <c r="W463" s="1" t="s">
        <v>33</v>
      </c>
    </row>
    <row r="464" spans="1:23" x14ac:dyDescent="0.35">
      <c r="A464" s="1" t="s">
        <v>1194</v>
      </c>
      <c r="B464" s="1" t="s">
        <v>634</v>
      </c>
      <c r="C464">
        <v>47</v>
      </c>
      <c r="D464" s="1" t="s">
        <v>25</v>
      </c>
      <c r="E464" s="1" t="s">
        <v>177</v>
      </c>
      <c r="F464" s="1" t="s">
        <v>44</v>
      </c>
      <c r="G464" s="1" t="s">
        <v>1195</v>
      </c>
      <c r="H464" s="2">
        <v>46003</v>
      </c>
      <c r="I464" s="1" t="s">
        <v>53</v>
      </c>
      <c r="J464" s="1" t="s">
        <v>141</v>
      </c>
      <c r="K464" s="1" t="s">
        <v>153</v>
      </c>
      <c r="L464" s="1" t="s">
        <v>92</v>
      </c>
      <c r="M464" s="1" t="s">
        <v>33</v>
      </c>
      <c r="N464">
        <v>361042.16</v>
      </c>
      <c r="O464">
        <v>0</v>
      </c>
      <c r="P464">
        <v>50541.31</v>
      </c>
      <c r="Q464">
        <v>1</v>
      </c>
      <c r="R464">
        <v>165</v>
      </c>
      <c r="S464">
        <v>3.7</v>
      </c>
      <c r="T464" s="1" t="s">
        <v>33</v>
      </c>
      <c r="U464" s="1" t="s">
        <v>35</v>
      </c>
      <c r="V464" s="1" t="s">
        <v>75</v>
      </c>
      <c r="W464" s="1" t="s">
        <v>36</v>
      </c>
    </row>
    <row r="465" spans="1:23" x14ac:dyDescent="0.35">
      <c r="A465" s="1" t="s">
        <v>1196</v>
      </c>
      <c r="B465" s="1" t="s">
        <v>1026</v>
      </c>
      <c r="C465">
        <v>6</v>
      </c>
      <c r="D465" s="1" t="s">
        <v>119</v>
      </c>
      <c r="E465" s="1" t="s">
        <v>203</v>
      </c>
      <c r="F465" s="1" t="s">
        <v>87</v>
      </c>
      <c r="G465" s="1" t="s">
        <v>140</v>
      </c>
      <c r="H465" s="2">
        <v>46200</v>
      </c>
      <c r="I465" s="1" t="s">
        <v>53</v>
      </c>
      <c r="J465" s="1" t="s">
        <v>43</v>
      </c>
      <c r="K465" s="1" t="s">
        <v>128</v>
      </c>
      <c r="L465" s="1" t="s">
        <v>92</v>
      </c>
      <c r="M465" s="1" t="s">
        <v>82</v>
      </c>
      <c r="N465">
        <v>368221.99</v>
      </c>
      <c r="O465">
        <v>25679.96</v>
      </c>
      <c r="P465">
        <v>68157.600000000006</v>
      </c>
      <c r="Q465">
        <v>23</v>
      </c>
      <c r="R465">
        <v>128</v>
      </c>
      <c r="S465">
        <v>2.7</v>
      </c>
      <c r="T465" s="1" t="s">
        <v>33</v>
      </c>
      <c r="U465" s="1" t="s">
        <v>67</v>
      </c>
      <c r="V465" s="1" t="s">
        <v>130</v>
      </c>
      <c r="W465" s="1" t="s">
        <v>33</v>
      </c>
    </row>
    <row r="466" spans="1:23" x14ac:dyDescent="0.35">
      <c r="A466" s="1" t="s">
        <v>1197</v>
      </c>
      <c r="B466" s="1" t="s">
        <v>941</v>
      </c>
      <c r="C466">
        <v>2</v>
      </c>
      <c r="D466" s="1" t="s">
        <v>71</v>
      </c>
      <c r="E466" s="1" t="s">
        <v>177</v>
      </c>
      <c r="F466" s="1" t="s">
        <v>56</v>
      </c>
      <c r="G466" s="1" t="s">
        <v>1198</v>
      </c>
      <c r="H466" s="2">
        <v>46103</v>
      </c>
      <c r="I466" s="1" t="s">
        <v>33</v>
      </c>
      <c r="J466" s="1" t="s">
        <v>242</v>
      </c>
      <c r="K466" s="1" t="s">
        <v>122</v>
      </c>
      <c r="L466" s="1" t="s">
        <v>56</v>
      </c>
      <c r="M466" s="1" t="s">
        <v>142</v>
      </c>
      <c r="N466">
        <v>304454.65000000002</v>
      </c>
      <c r="O466">
        <v>37453.96</v>
      </c>
      <c r="P466">
        <v>64159.81</v>
      </c>
      <c r="Q466">
        <v>3</v>
      </c>
      <c r="R466">
        <v>174</v>
      </c>
      <c r="S466">
        <v>4.2</v>
      </c>
      <c r="T466" s="1" t="s">
        <v>46</v>
      </c>
      <c r="U466" s="1" t="s">
        <v>33</v>
      </c>
      <c r="V466" s="1" t="s">
        <v>102</v>
      </c>
      <c r="W466" s="1" t="s">
        <v>59</v>
      </c>
    </row>
    <row r="467" spans="1:23" x14ac:dyDescent="0.35">
      <c r="A467" s="1" t="s">
        <v>1199</v>
      </c>
      <c r="B467" s="1" t="s">
        <v>1200</v>
      </c>
      <c r="C467">
        <v>23</v>
      </c>
      <c r="D467" s="1" t="s">
        <v>50</v>
      </c>
      <c r="E467" s="1" t="s">
        <v>177</v>
      </c>
      <c r="F467" s="1" t="s">
        <v>135</v>
      </c>
      <c r="G467" s="1" t="s">
        <v>1201</v>
      </c>
      <c r="H467" s="2">
        <v>45661</v>
      </c>
      <c r="I467" s="1" t="s">
        <v>33</v>
      </c>
      <c r="J467" s="1" t="s">
        <v>242</v>
      </c>
      <c r="K467" s="1" t="s">
        <v>81</v>
      </c>
      <c r="L467" s="1" t="s">
        <v>66</v>
      </c>
      <c r="M467" s="1" t="s">
        <v>93</v>
      </c>
      <c r="N467">
        <v>120289.09</v>
      </c>
      <c r="O467">
        <v>59668.37</v>
      </c>
      <c r="P467">
        <v>88090.06</v>
      </c>
      <c r="Q467">
        <v>3</v>
      </c>
      <c r="R467">
        <v>77</v>
      </c>
      <c r="S467">
        <v>3.8</v>
      </c>
      <c r="T467" s="1" t="s">
        <v>46</v>
      </c>
      <c r="U467" s="1" t="s">
        <v>95</v>
      </c>
      <c r="V467" s="1" t="s">
        <v>102</v>
      </c>
      <c r="W467" s="1" t="s">
        <v>36</v>
      </c>
    </row>
    <row r="468" spans="1:23" x14ac:dyDescent="0.35">
      <c r="A468" s="1" t="s">
        <v>1202</v>
      </c>
      <c r="B468" s="1" t="s">
        <v>1069</v>
      </c>
      <c r="C468">
        <v>68</v>
      </c>
      <c r="D468" s="1" t="s">
        <v>71</v>
      </c>
      <c r="E468" s="1" t="s">
        <v>86</v>
      </c>
      <c r="F468" s="1" t="s">
        <v>227</v>
      </c>
      <c r="G468" s="1" t="s">
        <v>1203</v>
      </c>
      <c r="H468" s="2">
        <v>45498</v>
      </c>
      <c r="I468" s="1" t="s">
        <v>159</v>
      </c>
      <c r="J468" s="1" t="s">
        <v>65</v>
      </c>
      <c r="K468" s="1" t="s">
        <v>91</v>
      </c>
      <c r="L468" s="1" t="s">
        <v>33</v>
      </c>
      <c r="M468" s="1" t="s">
        <v>33</v>
      </c>
      <c r="N468">
        <v>313158.36</v>
      </c>
      <c r="O468">
        <v>78530.44</v>
      </c>
      <c r="P468">
        <v>18650.310000000001</v>
      </c>
      <c r="Q468">
        <v>1</v>
      </c>
      <c r="R468">
        <v>66</v>
      </c>
      <c r="S468">
        <v>4</v>
      </c>
      <c r="T468" s="1" t="s">
        <v>154</v>
      </c>
      <c r="U468" s="1" t="s">
        <v>67</v>
      </c>
      <c r="V468" s="1" t="s">
        <v>47</v>
      </c>
      <c r="W468" s="1" t="s">
        <v>12</v>
      </c>
    </row>
    <row r="469" spans="1:23" x14ac:dyDescent="0.35">
      <c r="A469" s="1" t="s">
        <v>1204</v>
      </c>
      <c r="B469" s="1" t="s">
        <v>1205</v>
      </c>
      <c r="C469">
        <v>38</v>
      </c>
      <c r="D469" s="1" t="s">
        <v>119</v>
      </c>
      <c r="E469" s="1" t="s">
        <v>40</v>
      </c>
      <c r="F469" s="1" t="s">
        <v>27</v>
      </c>
      <c r="G469" s="1" t="s">
        <v>798</v>
      </c>
      <c r="H469" s="2">
        <v>46238</v>
      </c>
      <c r="I469" s="1" t="s">
        <v>257</v>
      </c>
      <c r="J469" s="1" t="s">
        <v>137</v>
      </c>
      <c r="K469" s="1" t="s">
        <v>81</v>
      </c>
      <c r="L469" s="1" t="s">
        <v>32</v>
      </c>
      <c r="M469" s="1" t="s">
        <v>183</v>
      </c>
      <c r="N469">
        <v>97785.45</v>
      </c>
      <c r="O469">
        <v>52035.19</v>
      </c>
      <c r="P469">
        <v>66634.06</v>
      </c>
      <c r="Q469">
        <v>4</v>
      </c>
      <c r="R469">
        <v>26</v>
      </c>
      <c r="T469" s="1" t="s">
        <v>154</v>
      </c>
      <c r="U469" s="1" t="s">
        <v>67</v>
      </c>
      <c r="V469" s="1" t="s">
        <v>33</v>
      </c>
      <c r="W469" s="1" t="s">
        <v>59</v>
      </c>
    </row>
    <row r="470" spans="1:23" x14ac:dyDescent="0.35">
      <c r="A470" s="1" t="s">
        <v>1206</v>
      </c>
      <c r="B470" s="1" t="s">
        <v>240</v>
      </c>
      <c r="C470">
        <v>45</v>
      </c>
      <c r="D470" s="1" t="s">
        <v>78</v>
      </c>
      <c r="E470" s="1" t="s">
        <v>107</v>
      </c>
      <c r="F470" s="1" t="s">
        <v>41</v>
      </c>
      <c r="G470" s="1" t="s">
        <v>1207</v>
      </c>
      <c r="H470" s="2">
        <v>45416</v>
      </c>
      <c r="I470" s="1" t="s">
        <v>159</v>
      </c>
      <c r="J470" s="1" t="s">
        <v>65</v>
      </c>
      <c r="K470" s="1" t="s">
        <v>81</v>
      </c>
      <c r="L470" s="1" t="s">
        <v>33</v>
      </c>
      <c r="M470" s="1" t="s">
        <v>74</v>
      </c>
      <c r="N470">
        <v>231143.7</v>
      </c>
      <c r="O470">
        <v>43851.44</v>
      </c>
      <c r="P470">
        <v>19148.91</v>
      </c>
      <c r="Q470">
        <v>7</v>
      </c>
      <c r="R470">
        <v>97</v>
      </c>
      <c r="S470">
        <v>0.9</v>
      </c>
      <c r="T470" s="1" t="s">
        <v>94</v>
      </c>
      <c r="U470" s="1" t="s">
        <v>95</v>
      </c>
      <c r="V470" s="1" t="s">
        <v>68</v>
      </c>
      <c r="W470" s="1" t="s">
        <v>59</v>
      </c>
    </row>
    <row r="471" spans="1:23" x14ac:dyDescent="0.35">
      <c r="A471" s="1" t="s">
        <v>1208</v>
      </c>
      <c r="B471" s="1" t="s">
        <v>309</v>
      </c>
      <c r="C471">
        <v>8</v>
      </c>
      <c r="D471" s="1" t="s">
        <v>71</v>
      </c>
      <c r="E471" s="1" t="s">
        <v>26</v>
      </c>
      <c r="F471" s="1" t="s">
        <v>135</v>
      </c>
      <c r="G471" s="1" t="s">
        <v>969</v>
      </c>
      <c r="H471" s="2">
        <v>45479</v>
      </c>
      <c r="I471" s="1" t="s">
        <v>29</v>
      </c>
      <c r="J471" s="1" t="s">
        <v>33</v>
      </c>
      <c r="K471" s="1" t="s">
        <v>55</v>
      </c>
      <c r="L471" s="1" t="s">
        <v>44</v>
      </c>
      <c r="M471" s="1" t="s">
        <v>33</v>
      </c>
      <c r="N471">
        <v>430478.78</v>
      </c>
      <c r="O471">
        <v>21747</v>
      </c>
      <c r="P471">
        <v>38649.99</v>
      </c>
      <c r="Q471">
        <v>5</v>
      </c>
      <c r="R471">
        <v>47</v>
      </c>
      <c r="S471">
        <v>3.3</v>
      </c>
      <c r="T471" s="1" t="s">
        <v>46</v>
      </c>
      <c r="U471" s="1" t="s">
        <v>33</v>
      </c>
      <c r="V471" s="1" t="s">
        <v>75</v>
      </c>
      <c r="W471" s="1" t="s">
        <v>103</v>
      </c>
    </row>
    <row r="472" spans="1:23" x14ac:dyDescent="0.35">
      <c r="A472" s="1" t="s">
        <v>1209</v>
      </c>
      <c r="B472" s="1" t="s">
        <v>262</v>
      </c>
      <c r="C472">
        <v>0</v>
      </c>
      <c r="D472" s="1" t="s">
        <v>39</v>
      </c>
      <c r="E472" s="1" t="s">
        <v>86</v>
      </c>
      <c r="F472" s="1" t="s">
        <v>120</v>
      </c>
      <c r="G472" s="1" t="s">
        <v>541</v>
      </c>
      <c r="H472" s="2">
        <v>46118</v>
      </c>
      <c r="I472" s="1" t="s">
        <v>277</v>
      </c>
      <c r="J472" s="1" t="s">
        <v>33</v>
      </c>
      <c r="K472" s="1" t="s">
        <v>163</v>
      </c>
      <c r="L472" s="1" t="s">
        <v>33</v>
      </c>
      <c r="M472" s="1" t="s">
        <v>183</v>
      </c>
      <c r="N472">
        <v>398775.15</v>
      </c>
      <c r="O472">
        <v>38450.589999999997</v>
      </c>
      <c r="P472">
        <v>8789.35</v>
      </c>
      <c r="Q472">
        <v>8</v>
      </c>
      <c r="R472">
        <v>14</v>
      </c>
      <c r="S472">
        <v>5</v>
      </c>
      <c r="T472" s="1" t="s">
        <v>33</v>
      </c>
      <c r="U472" s="1" t="s">
        <v>33</v>
      </c>
      <c r="V472" s="1" t="s">
        <v>47</v>
      </c>
      <c r="W472" s="1" t="s">
        <v>103</v>
      </c>
    </row>
    <row r="473" spans="1:23" x14ac:dyDescent="0.35">
      <c r="A473" s="1" t="s">
        <v>1210</v>
      </c>
      <c r="B473" s="1" t="s">
        <v>904</v>
      </c>
      <c r="C473">
        <v>17</v>
      </c>
      <c r="D473" s="1" t="s">
        <v>50</v>
      </c>
      <c r="E473" s="1" t="s">
        <v>177</v>
      </c>
      <c r="F473" s="1" t="s">
        <v>227</v>
      </c>
      <c r="G473" s="1" t="s">
        <v>1211</v>
      </c>
      <c r="H473" s="2">
        <v>45841</v>
      </c>
      <c r="I473" s="1" t="s">
        <v>257</v>
      </c>
      <c r="J473" s="1" t="s">
        <v>141</v>
      </c>
      <c r="K473" s="1" t="s">
        <v>116</v>
      </c>
      <c r="L473" s="1" t="s">
        <v>33</v>
      </c>
      <c r="M473" s="1" t="s">
        <v>93</v>
      </c>
      <c r="N473">
        <v>379224.04</v>
      </c>
      <c r="O473">
        <v>38463.82</v>
      </c>
      <c r="P473">
        <v>16862.23</v>
      </c>
      <c r="Q473">
        <v>1</v>
      </c>
      <c r="R473">
        <v>111</v>
      </c>
      <c r="S473">
        <v>2.4</v>
      </c>
      <c r="T473" s="1" t="s">
        <v>33</v>
      </c>
      <c r="U473" s="1" t="s">
        <v>149</v>
      </c>
      <c r="V473" s="1" t="s">
        <v>33</v>
      </c>
      <c r="W473" s="1" t="s">
        <v>59</v>
      </c>
    </row>
    <row r="474" spans="1:23" x14ac:dyDescent="0.35">
      <c r="A474" s="1" t="s">
        <v>1212</v>
      </c>
      <c r="B474" s="1" t="s">
        <v>860</v>
      </c>
      <c r="C474">
        <v>66</v>
      </c>
      <c r="D474" s="1" t="s">
        <v>106</v>
      </c>
      <c r="E474" s="1" t="s">
        <v>33</v>
      </c>
      <c r="F474" s="1" t="s">
        <v>145</v>
      </c>
      <c r="G474" s="1" t="s">
        <v>1213</v>
      </c>
      <c r="H474" s="2">
        <v>46067</v>
      </c>
      <c r="I474" s="1" t="s">
        <v>53</v>
      </c>
      <c r="J474" s="1" t="s">
        <v>147</v>
      </c>
      <c r="K474" s="1" t="s">
        <v>122</v>
      </c>
      <c r="L474" s="1" t="s">
        <v>33</v>
      </c>
      <c r="M474" s="1" t="s">
        <v>74</v>
      </c>
      <c r="N474">
        <v>294480.87</v>
      </c>
      <c r="O474">
        <v>39041.53</v>
      </c>
      <c r="P474">
        <v>97835.64</v>
      </c>
      <c r="Q474">
        <v>6</v>
      </c>
      <c r="R474">
        <v>94</v>
      </c>
      <c r="S474">
        <v>2.2000000000000002</v>
      </c>
      <c r="T474" s="1" t="s">
        <v>94</v>
      </c>
      <c r="U474" s="1" t="s">
        <v>33</v>
      </c>
      <c r="V474" s="1" t="s">
        <v>33</v>
      </c>
      <c r="W474" s="1" t="s">
        <v>33</v>
      </c>
    </row>
    <row r="475" spans="1:23" x14ac:dyDescent="0.35">
      <c r="A475" s="1" t="s">
        <v>1214</v>
      </c>
      <c r="B475" s="1" t="s">
        <v>945</v>
      </c>
      <c r="C475">
        <v>88</v>
      </c>
      <c r="D475" s="1" t="s">
        <v>71</v>
      </c>
      <c r="E475" s="1" t="s">
        <v>203</v>
      </c>
      <c r="F475" s="1" t="s">
        <v>33</v>
      </c>
      <c r="G475" s="1" t="s">
        <v>1215</v>
      </c>
      <c r="H475" s="2">
        <v>46212</v>
      </c>
      <c r="I475" s="1" t="s">
        <v>257</v>
      </c>
      <c r="J475" s="1" t="s">
        <v>115</v>
      </c>
      <c r="K475" s="1" t="s">
        <v>31</v>
      </c>
      <c r="L475" s="1" t="s">
        <v>66</v>
      </c>
      <c r="M475" s="1" t="s">
        <v>129</v>
      </c>
      <c r="N475">
        <v>77933.67</v>
      </c>
      <c r="O475">
        <v>20963.43</v>
      </c>
      <c r="P475">
        <v>57493.38</v>
      </c>
      <c r="Q475">
        <v>4</v>
      </c>
      <c r="R475">
        <v>90</v>
      </c>
      <c r="S475">
        <v>2.4</v>
      </c>
      <c r="T475" s="1" t="s">
        <v>33</v>
      </c>
      <c r="U475" s="1" t="s">
        <v>149</v>
      </c>
      <c r="V475" s="1" t="s">
        <v>47</v>
      </c>
      <c r="W475" s="1" t="s">
        <v>12</v>
      </c>
    </row>
    <row r="476" spans="1:23" x14ac:dyDescent="0.35">
      <c r="A476" s="1" t="s">
        <v>1216</v>
      </c>
      <c r="B476" s="1" t="s">
        <v>683</v>
      </c>
      <c r="C476">
        <v>92</v>
      </c>
      <c r="D476" s="1" t="s">
        <v>33</v>
      </c>
      <c r="E476" s="1" t="s">
        <v>33</v>
      </c>
      <c r="F476" s="1" t="s">
        <v>193</v>
      </c>
      <c r="G476" s="1" t="s">
        <v>1217</v>
      </c>
      <c r="H476" s="2">
        <v>45340</v>
      </c>
      <c r="I476" s="1" t="s">
        <v>235</v>
      </c>
      <c r="J476" s="1" t="s">
        <v>115</v>
      </c>
      <c r="K476" s="1" t="s">
        <v>91</v>
      </c>
      <c r="L476" s="1" t="s">
        <v>56</v>
      </c>
      <c r="M476" s="1" t="s">
        <v>129</v>
      </c>
      <c r="N476">
        <v>247458.4</v>
      </c>
      <c r="O476">
        <v>7398.29</v>
      </c>
      <c r="P476">
        <v>0</v>
      </c>
      <c r="Q476">
        <v>6</v>
      </c>
      <c r="R476">
        <v>114</v>
      </c>
      <c r="S476">
        <v>5</v>
      </c>
      <c r="T476" s="1" t="s">
        <v>94</v>
      </c>
      <c r="U476" s="1" t="s">
        <v>67</v>
      </c>
      <c r="V476" s="1" t="s">
        <v>33</v>
      </c>
      <c r="W476" s="1" t="s">
        <v>103</v>
      </c>
    </row>
    <row r="477" spans="1:23" x14ac:dyDescent="0.35">
      <c r="A477" s="1" t="s">
        <v>1218</v>
      </c>
      <c r="B477" s="1" t="s">
        <v>1219</v>
      </c>
      <c r="C477">
        <v>42</v>
      </c>
      <c r="D477" s="1" t="s">
        <v>50</v>
      </c>
      <c r="E477" s="1" t="s">
        <v>33</v>
      </c>
      <c r="F477" s="1" t="s">
        <v>145</v>
      </c>
      <c r="G477" s="1" t="s">
        <v>1053</v>
      </c>
      <c r="H477" s="2">
        <v>45380</v>
      </c>
      <c r="I477" s="1" t="s">
        <v>221</v>
      </c>
      <c r="J477" s="1" t="s">
        <v>43</v>
      </c>
      <c r="K477" s="1" t="s">
        <v>153</v>
      </c>
      <c r="L477" s="1" t="s">
        <v>32</v>
      </c>
      <c r="M477" s="1" t="s">
        <v>57</v>
      </c>
      <c r="N477">
        <v>137501.97</v>
      </c>
      <c r="O477">
        <v>2695.91</v>
      </c>
      <c r="P477">
        <v>70042.539999999994</v>
      </c>
      <c r="Q477">
        <v>4</v>
      </c>
      <c r="R477">
        <v>163</v>
      </c>
      <c r="S477">
        <v>1.7</v>
      </c>
      <c r="T477" s="1" t="s">
        <v>33</v>
      </c>
      <c r="U477" s="1" t="s">
        <v>35</v>
      </c>
      <c r="V477" s="1" t="s">
        <v>47</v>
      </c>
      <c r="W477" s="1" t="s">
        <v>36</v>
      </c>
    </row>
    <row r="478" spans="1:23" x14ac:dyDescent="0.35">
      <c r="A478" s="1" t="s">
        <v>1220</v>
      </c>
      <c r="B478" s="1" t="s">
        <v>644</v>
      </c>
      <c r="C478">
        <v>55</v>
      </c>
      <c r="D478" s="1" t="s">
        <v>50</v>
      </c>
      <c r="E478" s="1" t="s">
        <v>112</v>
      </c>
      <c r="F478" s="1" t="s">
        <v>27</v>
      </c>
      <c r="G478" s="1" t="s">
        <v>1221</v>
      </c>
      <c r="H478" s="2">
        <v>46000</v>
      </c>
      <c r="I478" s="1" t="s">
        <v>277</v>
      </c>
      <c r="J478" s="1" t="s">
        <v>33</v>
      </c>
      <c r="K478" s="1" t="s">
        <v>33</v>
      </c>
      <c r="L478" s="1" t="s">
        <v>33</v>
      </c>
      <c r="M478" s="1" t="s">
        <v>33</v>
      </c>
      <c r="N478">
        <v>415943.25</v>
      </c>
      <c r="O478">
        <v>0</v>
      </c>
      <c r="P478">
        <v>4025.28</v>
      </c>
      <c r="Q478">
        <v>9</v>
      </c>
      <c r="R478">
        <v>83</v>
      </c>
      <c r="S478">
        <v>4.4000000000000004</v>
      </c>
      <c r="T478" s="1" t="s">
        <v>94</v>
      </c>
      <c r="U478" s="1" t="s">
        <v>58</v>
      </c>
      <c r="V478" s="1" t="s">
        <v>130</v>
      </c>
      <c r="W478" s="1" t="s">
        <v>12</v>
      </c>
    </row>
    <row r="479" spans="1:23" x14ac:dyDescent="0.35">
      <c r="A479" s="1" t="s">
        <v>1222</v>
      </c>
      <c r="B479" s="1" t="s">
        <v>959</v>
      </c>
      <c r="C479">
        <v>58</v>
      </c>
      <c r="D479" s="1" t="s">
        <v>33</v>
      </c>
      <c r="E479" s="1" t="s">
        <v>33</v>
      </c>
      <c r="F479" s="1" t="s">
        <v>98</v>
      </c>
      <c r="G479" s="1" t="s">
        <v>585</v>
      </c>
      <c r="H479" s="2">
        <v>45315</v>
      </c>
      <c r="I479" s="1" t="s">
        <v>277</v>
      </c>
      <c r="J479" s="1" t="s">
        <v>33</v>
      </c>
      <c r="K479" s="1" t="s">
        <v>128</v>
      </c>
      <c r="L479" s="1" t="s">
        <v>32</v>
      </c>
      <c r="M479" s="1" t="s">
        <v>183</v>
      </c>
      <c r="N479">
        <v>186024.62</v>
      </c>
      <c r="O479">
        <v>4340.7700000000004</v>
      </c>
      <c r="P479">
        <v>81900.02</v>
      </c>
      <c r="Q479">
        <v>11</v>
      </c>
      <c r="R479">
        <v>22</v>
      </c>
      <c r="S479">
        <v>5</v>
      </c>
      <c r="T479" s="1" t="s">
        <v>33</v>
      </c>
      <c r="U479" s="1" t="s">
        <v>101</v>
      </c>
      <c r="V479" s="1" t="s">
        <v>33</v>
      </c>
      <c r="W479" s="1" t="s">
        <v>59</v>
      </c>
    </row>
    <row r="480" spans="1:23" x14ac:dyDescent="0.35">
      <c r="A480" s="1" t="s">
        <v>1223</v>
      </c>
      <c r="B480" s="1" t="s">
        <v>1224</v>
      </c>
      <c r="C480">
        <v>77</v>
      </c>
      <c r="D480" s="1" t="s">
        <v>106</v>
      </c>
      <c r="E480" s="1" t="s">
        <v>112</v>
      </c>
      <c r="F480" s="1" t="s">
        <v>87</v>
      </c>
      <c r="G480" s="1" t="s">
        <v>1225</v>
      </c>
      <c r="H480" s="2">
        <v>45381</v>
      </c>
      <c r="I480" s="1" t="s">
        <v>168</v>
      </c>
      <c r="J480" s="1" t="s">
        <v>30</v>
      </c>
      <c r="K480" s="1" t="s">
        <v>91</v>
      </c>
      <c r="L480" s="1" t="s">
        <v>56</v>
      </c>
      <c r="M480" s="1" t="s">
        <v>123</v>
      </c>
      <c r="N480">
        <v>315050.38</v>
      </c>
      <c r="O480">
        <v>26575.11</v>
      </c>
      <c r="P480">
        <v>29418.11</v>
      </c>
      <c r="Q480">
        <v>2</v>
      </c>
      <c r="R480">
        <v>69</v>
      </c>
      <c r="S480">
        <v>4.3</v>
      </c>
      <c r="T480" s="1" t="s">
        <v>94</v>
      </c>
      <c r="U480" s="1" t="s">
        <v>67</v>
      </c>
      <c r="V480" s="1" t="s">
        <v>102</v>
      </c>
      <c r="W480" s="1" t="s">
        <v>83</v>
      </c>
    </row>
    <row r="481" spans="1:23" x14ac:dyDescent="0.35">
      <c r="A481" s="1" t="s">
        <v>1226</v>
      </c>
      <c r="B481" s="1" t="s">
        <v>1227</v>
      </c>
      <c r="C481">
        <v>29</v>
      </c>
      <c r="D481" s="1" t="s">
        <v>39</v>
      </c>
      <c r="E481" s="1" t="s">
        <v>107</v>
      </c>
      <c r="F481" s="1" t="s">
        <v>227</v>
      </c>
      <c r="G481" s="1" t="s">
        <v>1228</v>
      </c>
      <c r="H481" s="2">
        <v>45997</v>
      </c>
      <c r="I481" s="1" t="s">
        <v>273</v>
      </c>
      <c r="J481" s="1" t="s">
        <v>90</v>
      </c>
      <c r="K481" s="1" t="s">
        <v>33</v>
      </c>
      <c r="L481" s="1" t="s">
        <v>44</v>
      </c>
      <c r="M481" s="1" t="s">
        <v>45</v>
      </c>
      <c r="N481">
        <v>196811.6</v>
      </c>
      <c r="O481">
        <v>31964.43</v>
      </c>
      <c r="P481">
        <v>0</v>
      </c>
      <c r="Q481">
        <v>3</v>
      </c>
      <c r="R481">
        <v>129</v>
      </c>
      <c r="S481">
        <v>2.4</v>
      </c>
      <c r="T481" s="1" t="s">
        <v>46</v>
      </c>
      <c r="U481" s="1" t="s">
        <v>67</v>
      </c>
      <c r="V481" s="1" t="s">
        <v>33</v>
      </c>
      <c r="W481" s="1" t="s">
        <v>179</v>
      </c>
    </row>
    <row r="482" spans="1:23" x14ac:dyDescent="0.35">
      <c r="A482" s="1" t="s">
        <v>1229</v>
      </c>
      <c r="B482" s="1" t="s">
        <v>133</v>
      </c>
      <c r="C482">
        <v>5</v>
      </c>
      <c r="D482" s="1" t="s">
        <v>50</v>
      </c>
      <c r="E482" s="1" t="s">
        <v>86</v>
      </c>
      <c r="F482" s="1" t="s">
        <v>135</v>
      </c>
      <c r="G482" s="1" t="s">
        <v>606</v>
      </c>
      <c r="H482" s="2">
        <v>45755</v>
      </c>
      <c r="I482" s="1" t="s">
        <v>127</v>
      </c>
      <c r="J482" s="1" t="s">
        <v>65</v>
      </c>
      <c r="K482" s="1" t="s">
        <v>174</v>
      </c>
      <c r="L482" s="1" t="s">
        <v>32</v>
      </c>
      <c r="M482" s="1" t="s">
        <v>169</v>
      </c>
      <c r="N482">
        <v>0</v>
      </c>
      <c r="O482">
        <v>0</v>
      </c>
      <c r="P482">
        <v>23729.37</v>
      </c>
      <c r="Q482">
        <v>1</v>
      </c>
      <c r="R482">
        <v>241</v>
      </c>
      <c r="S482">
        <v>3</v>
      </c>
      <c r="T482" s="1" t="s">
        <v>46</v>
      </c>
      <c r="U482" s="1" t="s">
        <v>33</v>
      </c>
      <c r="V482" s="1" t="s">
        <v>130</v>
      </c>
      <c r="W482" s="1" t="s">
        <v>83</v>
      </c>
    </row>
    <row r="483" spans="1:23" x14ac:dyDescent="0.35">
      <c r="A483" s="1" t="s">
        <v>1230</v>
      </c>
      <c r="B483" s="1" t="s">
        <v>252</v>
      </c>
      <c r="C483">
        <v>51</v>
      </c>
      <c r="D483" s="1" t="s">
        <v>33</v>
      </c>
      <c r="E483" s="1" t="s">
        <v>51</v>
      </c>
      <c r="F483" s="1" t="s">
        <v>227</v>
      </c>
      <c r="G483" s="1" t="s">
        <v>1231</v>
      </c>
      <c r="H483" s="2">
        <v>45366</v>
      </c>
      <c r="I483" s="1" t="s">
        <v>33</v>
      </c>
      <c r="J483" s="1" t="s">
        <v>141</v>
      </c>
      <c r="K483" s="1" t="s">
        <v>163</v>
      </c>
      <c r="L483" s="1" t="s">
        <v>66</v>
      </c>
      <c r="M483" s="1" t="s">
        <v>129</v>
      </c>
      <c r="N483">
        <v>238349.13</v>
      </c>
      <c r="O483">
        <v>28063.91</v>
      </c>
      <c r="P483">
        <v>9141.19</v>
      </c>
      <c r="Q483">
        <v>3</v>
      </c>
      <c r="R483">
        <v>203</v>
      </c>
      <c r="S483">
        <v>5</v>
      </c>
      <c r="T483" s="1" t="s">
        <v>33</v>
      </c>
      <c r="U483" s="1" t="s">
        <v>149</v>
      </c>
      <c r="V483" s="1" t="s">
        <v>75</v>
      </c>
      <c r="W483" s="1" t="s">
        <v>83</v>
      </c>
    </row>
    <row r="484" spans="1:23" x14ac:dyDescent="0.35">
      <c r="A484" s="1" t="s">
        <v>1232</v>
      </c>
      <c r="B484" s="1" t="s">
        <v>1233</v>
      </c>
      <c r="C484">
        <v>20</v>
      </c>
      <c r="D484" s="1" t="s">
        <v>71</v>
      </c>
      <c r="E484" s="1" t="s">
        <v>107</v>
      </c>
      <c r="F484" s="1" t="s">
        <v>87</v>
      </c>
      <c r="G484" s="1" t="s">
        <v>1234</v>
      </c>
      <c r="H484" s="2">
        <v>46184</v>
      </c>
      <c r="I484" s="1" t="s">
        <v>33</v>
      </c>
      <c r="J484" s="1" t="s">
        <v>147</v>
      </c>
      <c r="K484" s="1" t="s">
        <v>81</v>
      </c>
      <c r="L484" s="1" t="s">
        <v>92</v>
      </c>
      <c r="M484" s="1" t="s">
        <v>93</v>
      </c>
      <c r="N484">
        <v>180826.55</v>
      </c>
      <c r="O484">
        <v>5886.56</v>
      </c>
      <c r="P484">
        <v>60178.97</v>
      </c>
      <c r="Q484">
        <v>1</v>
      </c>
      <c r="R484">
        <v>40</v>
      </c>
      <c r="S484">
        <v>5</v>
      </c>
      <c r="T484" s="1" t="s">
        <v>46</v>
      </c>
      <c r="U484" s="1" t="s">
        <v>101</v>
      </c>
      <c r="V484" s="1" t="s">
        <v>33</v>
      </c>
      <c r="W484" s="1" t="s">
        <v>12</v>
      </c>
    </row>
    <row r="485" spans="1:23" x14ac:dyDescent="0.35">
      <c r="A485" s="1" t="s">
        <v>1235</v>
      </c>
      <c r="B485" s="1" t="s">
        <v>759</v>
      </c>
      <c r="C485">
        <v>47</v>
      </c>
      <c r="D485" s="1" t="s">
        <v>33</v>
      </c>
      <c r="E485" s="1" t="s">
        <v>203</v>
      </c>
      <c r="F485" s="1" t="s">
        <v>41</v>
      </c>
      <c r="G485" s="1" t="s">
        <v>1236</v>
      </c>
      <c r="H485" s="2">
        <v>45635</v>
      </c>
      <c r="I485" s="1" t="s">
        <v>53</v>
      </c>
      <c r="J485" s="1" t="s">
        <v>80</v>
      </c>
      <c r="K485" s="1" t="s">
        <v>55</v>
      </c>
      <c r="L485" s="1" t="s">
        <v>66</v>
      </c>
      <c r="M485" s="1" t="s">
        <v>33</v>
      </c>
      <c r="N485">
        <v>363778.08</v>
      </c>
      <c r="O485">
        <v>57647.51</v>
      </c>
      <c r="P485">
        <v>28081.58</v>
      </c>
      <c r="Q485">
        <v>7</v>
      </c>
      <c r="R485">
        <v>33</v>
      </c>
      <c r="S485">
        <v>3.8</v>
      </c>
      <c r="T485" s="1" t="s">
        <v>33</v>
      </c>
      <c r="U485" s="1" t="s">
        <v>67</v>
      </c>
      <c r="V485" s="1" t="s">
        <v>164</v>
      </c>
      <c r="W485" s="1" t="s">
        <v>179</v>
      </c>
    </row>
    <row r="486" spans="1:23" x14ac:dyDescent="0.35">
      <c r="A486" s="1" t="s">
        <v>1237</v>
      </c>
      <c r="B486" s="1" t="s">
        <v>499</v>
      </c>
      <c r="C486">
        <v>46</v>
      </c>
      <c r="D486" s="1" t="s">
        <v>78</v>
      </c>
      <c r="E486" s="1" t="s">
        <v>157</v>
      </c>
      <c r="F486" s="1" t="s">
        <v>87</v>
      </c>
      <c r="G486" s="1" t="s">
        <v>1238</v>
      </c>
      <c r="H486" s="2">
        <v>46229</v>
      </c>
      <c r="I486" s="1" t="s">
        <v>53</v>
      </c>
      <c r="J486" s="1" t="s">
        <v>30</v>
      </c>
      <c r="K486" s="1" t="s">
        <v>33</v>
      </c>
      <c r="L486" s="1" t="s">
        <v>32</v>
      </c>
      <c r="M486" s="1" t="s">
        <v>93</v>
      </c>
      <c r="N486">
        <v>0</v>
      </c>
      <c r="O486">
        <v>9929.39</v>
      </c>
      <c r="P486">
        <v>42780.81</v>
      </c>
      <c r="Q486">
        <v>5</v>
      </c>
      <c r="R486">
        <v>89</v>
      </c>
      <c r="S486">
        <v>5</v>
      </c>
      <c r="T486" s="1" t="s">
        <v>154</v>
      </c>
      <c r="U486" s="1" t="s">
        <v>58</v>
      </c>
      <c r="V486" s="1" t="s">
        <v>75</v>
      </c>
      <c r="W486" s="1" t="s">
        <v>59</v>
      </c>
    </row>
    <row r="487" spans="1:23" x14ac:dyDescent="0.35">
      <c r="A487" s="1" t="s">
        <v>1239</v>
      </c>
      <c r="B487" s="1" t="s">
        <v>300</v>
      </c>
      <c r="C487">
        <v>54</v>
      </c>
      <c r="D487" s="1" t="s">
        <v>106</v>
      </c>
      <c r="E487" s="1" t="s">
        <v>134</v>
      </c>
      <c r="F487" s="1" t="s">
        <v>41</v>
      </c>
      <c r="G487" s="1" t="s">
        <v>824</v>
      </c>
      <c r="H487" s="2">
        <v>46077</v>
      </c>
      <c r="I487" s="1" t="s">
        <v>100</v>
      </c>
      <c r="J487" s="1" t="s">
        <v>242</v>
      </c>
      <c r="K487" s="1" t="s">
        <v>31</v>
      </c>
      <c r="L487" s="1" t="s">
        <v>92</v>
      </c>
      <c r="M487" s="1" t="s">
        <v>169</v>
      </c>
      <c r="N487">
        <v>428475.84</v>
      </c>
      <c r="O487">
        <v>86786.240000000005</v>
      </c>
      <c r="P487">
        <v>32868.080000000002</v>
      </c>
      <c r="Q487">
        <v>1</v>
      </c>
      <c r="R487">
        <v>131</v>
      </c>
      <c r="S487">
        <v>4.4000000000000004</v>
      </c>
      <c r="T487" s="1" t="s">
        <v>154</v>
      </c>
      <c r="U487" s="1" t="s">
        <v>95</v>
      </c>
      <c r="V487" s="1" t="s">
        <v>75</v>
      </c>
      <c r="W487" s="1" t="s">
        <v>33</v>
      </c>
    </row>
    <row r="488" spans="1:23" x14ac:dyDescent="0.35">
      <c r="A488" s="1" t="s">
        <v>1240</v>
      </c>
      <c r="B488" s="1" t="s">
        <v>181</v>
      </c>
      <c r="C488">
        <v>40</v>
      </c>
      <c r="D488" s="1" t="s">
        <v>78</v>
      </c>
      <c r="E488" s="1" t="s">
        <v>72</v>
      </c>
      <c r="F488" s="1" t="s">
        <v>56</v>
      </c>
      <c r="G488" s="1" t="s">
        <v>1241</v>
      </c>
      <c r="H488" s="2">
        <v>46021</v>
      </c>
      <c r="I488" s="1" t="s">
        <v>53</v>
      </c>
      <c r="J488" s="1" t="s">
        <v>137</v>
      </c>
      <c r="K488" s="1" t="s">
        <v>91</v>
      </c>
      <c r="L488" s="1" t="s">
        <v>44</v>
      </c>
      <c r="M488" s="1" t="s">
        <v>57</v>
      </c>
      <c r="N488">
        <v>281036.55</v>
      </c>
      <c r="O488">
        <v>0</v>
      </c>
      <c r="P488">
        <v>65462.080000000002</v>
      </c>
      <c r="Q488">
        <v>3</v>
      </c>
      <c r="R488">
        <v>104</v>
      </c>
      <c r="S488">
        <v>3.4</v>
      </c>
      <c r="T488" s="1" t="s">
        <v>154</v>
      </c>
      <c r="U488" s="1" t="s">
        <v>101</v>
      </c>
      <c r="V488" s="1" t="s">
        <v>33</v>
      </c>
      <c r="W488" s="1" t="s">
        <v>83</v>
      </c>
    </row>
    <row r="489" spans="1:23" x14ac:dyDescent="0.35">
      <c r="A489" s="1" t="s">
        <v>1242</v>
      </c>
      <c r="B489" s="1" t="s">
        <v>429</v>
      </c>
      <c r="C489">
        <v>28</v>
      </c>
      <c r="D489" s="1" t="s">
        <v>39</v>
      </c>
      <c r="E489" s="1" t="s">
        <v>192</v>
      </c>
      <c r="F489" s="1" t="s">
        <v>120</v>
      </c>
      <c r="G489" s="1" t="s">
        <v>1243</v>
      </c>
      <c r="H489" s="2">
        <v>45432</v>
      </c>
      <c r="I489" s="1" t="s">
        <v>273</v>
      </c>
      <c r="J489" s="1" t="s">
        <v>65</v>
      </c>
      <c r="K489" s="1" t="s">
        <v>153</v>
      </c>
      <c r="L489" s="1" t="s">
        <v>32</v>
      </c>
      <c r="M489" s="1" t="s">
        <v>142</v>
      </c>
      <c r="N489">
        <v>163569.35999999999</v>
      </c>
      <c r="O489">
        <v>79788.83</v>
      </c>
      <c r="P489">
        <v>20038.16</v>
      </c>
      <c r="Q489">
        <v>13</v>
      </c>
      <c r="R489">
        <v>53</v>
      </c>
      <c r="S489">
        <v>3.5</v>
      </c>
      <c r="T489" s="1" t="s">
        <v>33</v>
      </c>
      <c r="U489" s="1" t="s">
        <v>149</v>
      </c>
      <c r="V489" s="1" t="s">
        <v>68</v>
      </c>
      <c r="W489" s="1" t="s">
        <v>36</v>
      </c>
    </row>
    <row r="490" spans="1:23" x14ac:dyDescent="0.35">
      <c r="A490" s="1" t="s">
        <v>1244</v>
      </c>
      <c r="B490" s="1" t="s">
        <v>857</v>
      </c>
      <c r="C490">
        <v>47</v>
      </c>
      <c r="D490" s="1" t="s">
        <v>25</v>
      </c>
      <c r="E490" s="1" t="s">
        <v>62</v>
      </c>
      <c r="F490" s="1" t="s">
        <v>27</v>
      </c>
      <c r="G490" s="1" t="s">
        <v>1245</v>
      </c>
      <c r="H490" s="2">
        <v>45975</v>
      </c>
      <c r="I490" s="1" t="s">
        <v>114</v>
      </c>
      <c r="J490" s="1" t="s">
        <v>137</v>
      </c>
      <c r="K490" s="1" t="s">
        <v>148</v>
      </c>
      <c r="L490" s="1" t="s">
        <v>92</v>
      </c>
      <c r="M490" s="1" t="s">
        <v>169</v>
      </c>
      <c r="N490">
        <v>39032.449999999997</v>
      </c>
      <c r="O490">
        <v>16695.79</v>
      </c>
      <c r="P490">
        <v>26779.37</v>
      </c>
      <c r="Q490">
        <v>5</v>
      </c>
      <c r="R490">
        <v>89</v>
      </c>
      <c r="S490">
        <v>4.3</v>
      </c>
      <c r="T490" s="1" t="s">
        <v>94</v>
      </c>
      <c r="U490" s="1" t="s">
        <v>33</v>
      </c>
      <c r="V490" s="1" t="s">
        <v>68</v>
      </c>
      <c r="W490" s="1" t="s">
        <v>59</v>
      </c>
    </row>
    <row r="491" spans="1:23" x14ac:dyDescent="0.35">
      <c r="A491" s="1" t="s">
        <v>1246</v>
      </c>
      <c r="B491" s="1" t="s">
        <v>505</v>
      </c>
      <c r="C491">
        <v>3</v>
      </c>
      <c r="D491" s="1" t="s">
        <v>25</v>
      </c>
      <c r="E491" s="1" t="s">
        <v>40</v>
      </c>
      <c r="F491" s="1" t="s">
        <v>120</v>
      </c>
      <c r="G491" s="1" t="s">
        <v>1247</v>
      </c>
      <c r="H491" s="2">
        <v>45492</v>
      </c>
      <c r="I491" s="1" t="s">
        <v>100</v>
      </c>
      <c r="J491" s="1" t="s">
        <v>80</v>
      </c>
      <c r="K491" s="1" t="s">
        <v>163</v>
      </c>
      <c r="L491" s="1" t="s">
        <v>44</v>
      </c>
      <c r="M491" s="1" t="s">
        <v>129</v>
      </c>
      <c r="N491">
        <v>368951.74</v>
      </c>
      <c r="O491">
        <v>36314.22</v>
      </c>
      <c r="P491">
        <v>86535.96</v>
      </c>
      <c r="Q491">
        <v>4</v>
      </c>
      <c r="R491">
        <v>128</v>
      </c>
      <c r="S491">
        <v>5</v>
      </c>
      <c r="T491" s="1" t="s">
        <v>33</v>
      </c>
      <c r="U491" s="1" t="s">
        <v>35</v>
      </c>
      <c r="V491" s="1" t="s">
        <v>47</v>
      </c>
      <c r="W491" s="1" t="s">
        <v>103</v>
      </c>
    </row>
    <row r="492" spans="1:23" x14ac:dyDescent="0.35">
      <c r="A492" s="1" t="s">
        <v>1248</v>
      </c>
      <c r="B492" s="1" t="s">
        <v>1249</v>
      </c>
      <c r="C492">
        <v>72</v>
      </c>
      <c r="D492" s="1" t="s">
        <v>25</v>
      </c>
      <c r="E492" s="1" t="s">
        <v>219</v>
      </c>
      <c r="F492" s="1" t="s">
        <v>227</v>
      </c>
      <c r="G492" s="1" t="s">
        <v>732</v>
      </c>
      <c r="H492" s="2">
        <v>45514</v>
      </c>
      <c r="I492" s="1" t="s">
        <v>100</v>
      </c>
      <c r="J492" s="1" t="s">
        <v>141</v>
      </c>
      <c r="K492" s="1" t="s">
        <v>128</v>
      </c>
      <c r="L492" s="1" t="s">
        <v>33</v>
      </c>
      <c r="M492" s="1" t="s">
        <v>74</v>
      </c>
      <c r="N492">
        <v>293115.09000000003</v>
      </c>
      <c r="O492">
        <v>27552.12</v>
      </c>
      <c r="P492">
        <v>113173.04</v>
      </c>
      <c r="Q492">
        <v>4</v>
      </c>
      <c r="R492">
        <v>161</v>
      </c>
      <c r="S492">
        <v>4.4000000000000004</v>
      </c>
      <c r="T492" s="1" t="s">
        <v>46</v>
      </c>
      <c r="U492" s="1" t="s">
        <v>33</v>
      </c>
      <c r="V492" s="1" t="s">
        <v>68</v>
      </c>
      <c r="W492" s="1" t="s">
        <v>33</v>
      </c>
    </row>
    <row r="493" spans="1:23" x14ac:dyDescent="0.35">
      <c r="A493" s="1" t="s">
        <v>1250</v>
      </c>
      <c r="B493" s="1" t="s">
        <v>713</v>
      </c>
      <c r="C493">
        <v>14</v>
      </c>
      <c r="D493" s="1" t="s">
        <v>39</v>
      </c>
      <c r="E493" s="1" t="s">
        <v>107</v>
      </c>
      <c r="F493" s="1" t="s">
        <v>98</v>
      </c>
      <c r="G493" s="1" t="s">
        <v>1251</v>
      </c>
      <c r="H493" s="2">
        <v>45516</v>
      </c>
      <c r="I493" s="1" t="s">
        <v>33</v>
      </c>
      <c r="J493" s="1" t="s">
        <v>87</v>
      </c>
      <c r="K493" s="1" t="s">
        <v>208</v>
      </c>
      <c r="L493" s="1" t="s">
        <v>92</v>
      </c>
      <c r="M493" s="1" t="s">
        <v>82</v>
      </c>
      <c r="N493">
        <v>260980.17</v>
      </c>
      <c r="O493">
        <v>33638.03</v>
      </c>
      <c r="P493">
        <v>26576.32</v>
      </c>
      <c r="Q493">
        <v>1</v>
      </c>
      <c r="R493">
        <v>105</v>
      </c>
      <c r="S493">
        <v>5</v>
      </c>
      <c r="T493" s="1" t="s">
        <v>33</v>
      </c>
      <c r="U493" s="1" t="s">
        <v>58</v>
      </c>
      <c r="V493" s="1" t="s">
        <v>75</v>
      </c>
      <c r="W493" s="1" t="s">
        <v>103</v>
      </c>
    </row>
    <row r="494" spans="1:23" x14ac:dyDescent="0.35">
      <c r="A494" s="1" t="s">
        <v>1252</v>
      </c>
      <c r="B494" s="1" t="s">
        <v>297</v>
      </c>
      <c r="C494">
        <v>17</v>
      </c>
      <c r="D494" s="1" t="s">
        <v>106</v>
      </c>
      <c r="E494" s="1" t="s">
        <v>33</v>
      </c>
      <c r="F494" s="1" t="s">
        <v>120</v>
      </c>
      <c r="G494" s="1" t="s">
        <v>1253</v>
      </c>
      <c r="H494" s="2">
        <v>46076</v>
      </c>
      <c r="I494" s="1" t="s">
        <v>235</v>
      </c>
      <c r="J494" s="1" t="s">
        <v>141</v>
      </c>
      <c r="K494" s="1" t="s">
        <v>81</v>
      </c>
      <c r="L494" s="1" t="s">
        <v>92</v>
      </c>
      <c r="M494" s="1" t="s">
        <v>142</v>
      </c>
      <c r="N494">
        <v>204388.76</v>
      </c>
      <c r="O494">
        <v>9875.84</v>
      </c>
      <c r="P494">
        <v>33369</v>
      </c>
      <c r="Q494">
        <v>5</v>
      </c>
      <c r="R494">
        <v>63</v>
      </c>
      <c r="S494">
        <v>3.1</v>
      </c>
      <c r="T494" s="1" t="s">
        <v>34</v>
      </c>
      <c r="U494" s="1" t="s">
        <v>101</v>
      </c>
      <c r="V494" s="1" t="s">
        <v>130</v>
      </c>
      <c r="W494" s="1" t="s">
        <v>59</v>
      </c>
    </row>
    <row r="495" spans="1:23" x14ac:dyDescent="0.35">
      <c r="A495" s="1" t="s">
        <v>1254</v>
      </c>
      <c r="B495" s="1" t="s">
        <v>1255</v>
      </c>
      <c r="C495">
        <v>40</v>
      </c>
      <c r="D495" s="1" t="s">
        <v>25</v>
      </c>
      <c r="E495" s="1" t="s">
        <v>51</v>
      </c>
      <c r="F495" s="1" t="s">
        <v>135</v>
      </c>
      <c r="G495" s="1" t="s">
        <v>151</v>
      </c>
      <c r="H495" s="2">
        <v>45927</v>
      </c>
      <c r="I495" s="1" t="s">
        <v>173</v>
      </c>
      <c r="J495" s="1" t="s">
        <v>137</v>
      </c>
      <c r="K495" s="1" t="s">
        <v>153</v>
      </c>
      <c r="L495" s="1" t="s">
        <v>32</v>
      </c>
      <c r="M495" s="1" t="s">
        <v>45</v>
      </c>
      <c r="N495">
        <v>141514.93</v>
      </c>
      <c r="O495">
        <v>0</v>
      </c>
      <c r="P495">
        <v>106589.16</v>
      </c>
      <c r="Q495">
        <v>1</v>
      </c>
      <c r="R495">
        <v>176</v>
      </c>
      <c r="S495">
        <v>3.2</v>
      </c>
      <c r="T495" s="1" t="s">
        <v>33</v>
      </c>
      <c r="U495" s="1" t="s">
        <v>101</v>
      </c>
      <c r="V495" s="1" t="s">
        <v>130</v>
      </c>
      <c r="W495" s="1" t="s">
        <v>59</v>
      </c>
    </row>
    <row r="496" spans="1:23" x14ac:dyDescent="0.35">
      <c r="A496" s="1" t="s">
        <v>1256</v>
      </c>
      <c r="B496" s="1" t="s">
        <v>821</v>
      </c>
      <c r="C496">
        <v>17</v>
      </c>
      <c r="D496" s="1" t="s">
        <v>119</v>
      </c>
      <c r="E496" s="1" t="s">
        <v>33</v>
      </c>
      <c r="F496" s="1" t="s">
        <v>98</v>
      </c>
      <c r="G496" s="1" t="s">
        <v>1257</v>
      </c>
      <c r="H496" s="2">
        <v>46073</v>
      </c>
      <c r="I496" s="1" t="s">
        <v>168</v>
      </c>
      <c r="J496" s="1" t="s">
        <v>65</v>
      </c>
      <c r="K496" s="1" t="s">
        <v>33</v>
      </c>
      <c r="L496" s="1" t="s">
        <v>66</v>
      </c>
      <c r="M496" s="1" t="s">
        <v>169</v>
      </c>
      <c r="N496">
        <v>457401.2</v>
      </c>
      <c r="O496">
        <v>77432.22</v>
      </c>
      <c r="P496">
        <v>49700.81</v>
      </c>
      <c r="Q496">
        <v>3</v>
      </c>
      <c r="R496">
        <v>171</v>
      </c>
      <c r="S496">
        <v>3.9</v>
      </c>
      <c r="T496" s="1" t="s">
        <v>46</v>
      </c>
      <c r="U496" s="1" t="s">
        <v>67</v>
      </c>
      <c r="V496" s="1" t="s">
        <v>47</v>
      </c>
      <c r="W496" s="1" t="s">
        <v>59</v>
      </c>
    </row>
    <row r="497" spans="1:23" x14ac:dyDescent="0.35">
      <c r="A497" s="1" t="s">
        <v>1258</v>
      </c>
      <c r="B497" s="1" t="s">
        <v>350</v>
      </c>
      <c r="C497">
        <v>33</v>
      </c>
      <c r="D497" s="1" t="s">
        <v>71</v>
      </c>
      <c r="E497" s="1" t="s">
        <v>62</v>
      </c>
      <c r="F497" s="1" t="s">
        <v>145</v>
      </c>
      <c r="G497" s="1" t="s">
        <v>99</v>
      </c>
      <c r="H497" s="2">
        <v>46029</v>
      </c>
      <c r="I497" s="1" t="s">
        <v>235</v>
      </c>
      <c r="J497" s="1" t="s">
        <v>147</v>
      </c>
      <c r="K497" s="1" t="s">
        <v>91</v>
      </c>
      <c r="L497" s="1" t="s">
        <v>33</v>
      </c>
      <c r="M497" s="1" t="s">
        <v>169</v>
      </c>
      <c r="N497">
        <v>238469.92</v>
      </c>
      <c r="O497">
        <v>18636.310000000001</v>
      </c>
      <c r="P497">
        <v>38440.400000000001</v>
      </c>
      <c r="Q497">
        <v>1</v>
      </c>
      <c r="R497">
        <v>88</v>
      </c>
      <c r="S497">
        <v>3.6</v>
      </c>
      <c r="T497" s="1" t="s">
        <v>34</v>
      </c>
      <c r="U497" s="1" t="s">
        <v>33</v>
      </c>
      <c r="V497" s="1" t="s">
        <v>75</v>
      </c>
      <c r="W497" s="1" t="s">
        <v>59</v>
      </c>
    </row>
    <row r="498" spans="1:23" x14ac:dyDescent="0.35">
      <c r="A498" s="1" t="s">
        <v>1259</v>
      </c>
      <c r="B498" s="1" t="s">
        <v>624</v>
      </c>
      <c r="C498">
        <v>19</v>
      </c>
      <c r="D498" s="1" t="s">
        <v>71</v>
      </c>
      <c r="E498" s="1" t="s">
        <v>33</v>
      </c>
      <c r="F498" s="1" t="s">
        <v>120</v>
      </c>
      <c r="G498" s="1" t="s">
        <v>1260</v>
      </c>
      <c r="H498" s="2">
        <v>45504</v>
      </c>
      <c r="I498" s="1" t="s">
        <v>168</v>
      </c>
      <c r="J498" s="1" t="s">
        <v>80</v>
      </c>
      <c r="K498" s="1" t="s">
        <v>91</v>
      </c>
      <c r="L498" s="1" t="s">
        <v>66</v>
      </c>
      <c r="M498" s="1" t="s">
        <v>45</v>
      </c>
      <c r="N498">
        <v>119617.74</v>
      </c>
      <c r="O498">
        <v>0</v>
      </c>
      <c r="P498">
        <v>74334.47</v>
      </c>
      <c r="Q498">
        <v>3</v>
      </c>
      <c r="R498">
        <v>0</v>
      </c>
      <c r="S498">
        <v>5</v>
      </c>
      <c r="T498" s="1" t="s">
        <v>46</v>
      </c>
      <c r="U498" s="1" t="s">
        <v>101</v>
      </c>
      <c r="V498" s="1" t="s">
        <v>68</v>
      </c>
      <c r="W498" s="1" t="s">
        <v>179</v>
      </c>
    </row>
    <row r="499" spans="1:23" x14ac:dyDescent="0.35">
      <c r="A499" s="1" t="s">
        <v>1261</v>
      </c>
      <c r="B499" s="1" t="s">
        <v>543</v>
      </c>
      <c r="C499">
        <v>36</v>
      </c>
      <c r="D499" s="1" t="s">
        <v>33</v>
      </c>
      <c r="E499" s="1" t="s">
        <v>86</v>
      </c>
      <c r="F499" s="1" t="s">
        <v>227</v>
      </c>
      <c r="G499" s="1" t="s">
        <v>1262</v>
      </c>
      <c r="H499" s="2">
        <v>46183</v>
      </c>
      <c r="I499" s="1" t="s">
        <v>89</v>
      </c>
      <c r="J499" s="1" t="s">
        <v>115</v>
      </c>
      <c r="K499" s="1" t="s">
        <v>163</v>
      </c>
      <c r="L499" s="1" t="s">
        <v>56</v>
      </c>
      <c r="M499" s="1" t="s">
        <v>142</v>
      </c>
      <c r="N499">
        <v>0</v>
      </c>
      <c r="O499">
        <v>20967.240000000002</v>
      </c>
      <c r="P499">
        <v>43074.48</v>
      </c>
      <c r="Q499">
        <v>8</v>
      </c>
      <c r="R499">
        <v>19</v>
      </c>
      <c r="S499">
        <v>3</v>
      </c>
      <c r="T499" s="1" t="s">
        <v>34</v>
      </c>
      <c r="U499" s="1" t="s">
        <v>33</v>
      </c>
      <c r="V499" s="1" t="s">
        <v>102</v>
      </c>
      <c r="W499" s="1" t="s">
        <v>33</v>
      </c>
    </row>
    <row r="500" spans="1:23" x14ac:dyDescent="0.35">
      <c r="A500" s="1" t="s">
        <v>1263</v>
      </c>
      <c r="B500" s="1" t="s">
        <v>1152</v>
      </c>
      <c r="C500">
        <v>57</v>
      </c>
      <c r="D500" s="1" t="s">
        <v>78</v>
      </c>
      <c r="E500" s="1" t="s">
        <v>263</v>
      </c>
      <c r="F500" s="1" t="s">
        <v>87</v>
      </c>
      <c r="G500" s="1" t="s">
        <v>866</v>
      </c>
      <c r="H500" s="2">
        <v>45457</v>
      </c>
      <c r="I500" s="1" t="s">
        <v>53</v>
      </c>
      <c r="J500" s="1" t="s">
        <v>242</v>
      </c>
      <c r="K500" s="1" t="s">
        <v>91</v>
      </c>
      <c r="L500" s="1" t="s">
        <v>66</v>
      </c>
      <c r="M500" s="1" t="s">
        <v>129</v>
      </c>
      <c r="N500">
        <v>90561.02</v>
      </c>
      <c r="O500">
        <v>0</v>
      </c>
      <c r="P500">
        <v>35189.480000000003</v>
      </c>
      <c r="Q500">
        <v>9</v>
      </c>
      <c r="R500">
        <v>78</v>
      </c>
      <c r="S500">
        <v>4.3</v>
      </c>
      <c r="T500" s="1" t="s">
        <v>46</v>
      </c>
      <c r="U500" s="1" t="s">
        <v>33</v>
      </c>
      <c r="V500" s="1" t="s">
        <v>75</v>
      </c>
      <c r="W500" s="1" t="s">
        <v>103</v>
      </c>
    </row>
    <row r="501" spans="1:23" x14ac:dyDescent="0.35">
      <c r="A501" s="1" t="s">
        <v>1264</v>
      </c>
      <c r="B501" s="1" t="s">
        <v>226</v>
      </c>
      <c r="C501">
        <v>54</v>
      </c>
      <c r="D501" s="1" t="s">
        <v>106</v>
      </c>
      <c r="E501" s="1" t="s">
        <v>33</v>
      </c>
      <c r="F501" s="1" t="s">
        <v>87</v>
      </c>
      <c r="G501" s="1" t="s">
        <v>1265</v>
      </c>
      <c r="H501" s="2">
        <v>46036</v>
      </c>
      <c r="I501" s="1" t="s">
        <v>168</v>
      </c>
      <c r="J501" s="1" t="s">
        <v>115</v>
      </c>
      <c r="K501" s="1" t="s">
        <v>208</v>
      </c>
      <c r="L501" s="1" t="s">
        <v>66</v>
      </c>
      <c r="M501" s="1" t="s">
        <v>129</v>
      </c>
      <c r="N501">
        <v>490921.57</v>
      </c>
      <c r="O501">
        <v>50387.53</v>
      </c>
      <c r="P501">
        <v>43557.34</v>
      </c>
      <c r="Q501">
        <v>2</v>
      </c>
      <c r="R501">
        <v>81</v>
      </c>
      <c r="S501">
        <v>3.2</v>
      </c>
      <c r="T501" s="1" t="s">
        <v>34</v>
      </c>
      <c r="U501" s="1" t="s">
        <v>58</v>
      </c>
      <c r="V501" s="1" t="s">
        <v>75</v>
      </c>
      <c r="W501" s="1" t="s">
        <v>179</v>
      </c>
    </row>
    <row r="502" spans="1:23" x14ac:dyDescent="0.35">
      <c r="A502" s="1" t="s">
        <v>1266</v>
      </c>
      <c r="B502" s="1" t="s">
        <v>871</v>
      </c>
      <c r="C502">
        <v>29</v>
      </c>
      <c r="D502" s="1" t="s">
        <v>106</v>
      </c>
      <c r="E502" s="1" t="s">
        <v>33</v>
      </c>
      <c r="F502" s="1" t="s">
        <v>27</v>
      </c>
      <c r="G502" s="1" t="s">
        <v>1267</v>
      </c>
      <c r="H502" s="2">
        <v>46088</v>
      </c>
      <c r="I502" s="1" t="s">
        <v>33</v>
      </c>
      <c r="J502" s="1" t="s">
        <v>65</v>
      </c>
      <c r="K502" s="1" t="s">
        <v>208</v>
      </c>
      <c r="L502" s="1" t="s">
        <v>66</v>
      </c>
      <c r="M502" s="1" t="s">
        <v>33</v>
      </c>
      <c r="N502">
        <v>226331.18</v>
      </c>
      <c r="O502">
        <v>31279.95</v>
      </c>
      <c r="P502">
        <v>29946.47</v>
      </c>
      <c r="Q502">
        <v>7</v>
      </c>
      <c r="R502">
        <v>0</v>
      </c>
      <c r="T502" s="1" t="s">
        <v>46</v>
      </c>
      <c r="U502" s="1" t="s">
        <v>33</v>
      </c>
      <c r="V502" s="1" t="s">
        <v>33</v>
      </c>
      <c r="W502" s="1" t="s">
        <v>59</v>
      </c>
    </row>
    <row r="503" spans="1:23" x14ac:dyDescent="0.35">
      <c r="A503" s="1" t="s">
        <v>1268</v>
      </c>
      <c r="B503" s="1" t="s">
        <v>543</v>
      </c>
      <c r="C503">
        <v>54</v>
      </c>
      <c r="D503" s="1" t="s">
        <v>78</v>
      </c>
      <c r="E503" s="1" t="s">
        <v>263</v>
      </c>
      <c r="F503" s="1" t="s">
        <v>193</v>
      </c>
      <c r="G503" s="1" t="s">
        <v>1269</v>
      </c>
      <c r="H503" s="2">
        <v>45976</v>
      </c>
      <c r="I503" s="1" t="s">
        <v>53</v>
      </c>
      <c r="J503" s="1" t="s">
        <v>65</v>
      </c>
      <c r="K503" s="1" t="s">
        <v>163</v>
      </c>
      <c r="L503" s="1" t="s">
        <v>66</v>
      </c>
      <c r="M503" s="1" t="s">
        <v>183</v>
      </c>
      <c r="N503">
        <v>145295.96</v>
      </c>
      <c r="O503">
        <v>60520.53</v>
      </c>
      <c r="P503">
        <v>18696.79</v>
      </c>
      <c r="Q503">
        <v>3</v>
      </c>
      <c r="R503">
        <v>223</v>
      </c>
      <c r="S503">
        <v>1.4</v>
      </c>
      <c r="T503" s="1" t="s">
        <v>34</v>
      </c>
      <c r="U503" s="1" t="s">
        <v>149</v>
      </c>
      <c r="V503" s="1" t="s">
        <v>130</v>
      </c>
      <c r="W503" s="1" t="s">
        <v>131</v>
      </c>
    </row>
    <row r="504" spans="1:23" x14ac:dyDescent="0.35">
      <c r="A504" s="1" t="s">
        <v>1270</v>
      </c>
      <c r="B504" s="1" t="s">
        <v>475</v>
      </c>
      <c r="C504">
        <v>53</v>
      </c>
      <c r="D504" s="1" t="s">
        <v>39</v>
      </c>
      <c r="E504" s="1" t="s">
        <v>192</v>
      </c>
      <c r="F504" s="1" t="s">
        <v>33</v>
      </c>
      <c r="G504" s="1" t="s">
        <v>1271</v>
      </c>
      <c r="H504" s="2">
        <v>46193</v>
      </c>
      <c r="I504" s="1" t="s">
        <v>168</v>
      </c>
      <c r="J504" s="1" t="s">
        <v>242</v>
      </c>
      <c r="K504" s="1" t="s">
        <v>208</v>
      </c>
      <c r="L504" s="1" t="s">
        <v>66</v>
      </c>
      <c r="M504" s="1" t="s">
        <v>123</v>
      </c>
      <c r="N504">
        <v>108622.01</v>
      </c>
      <c r="O504">
        <v>40609.85</v>
      </c>
      <c r="P504">
        <v>83385.56</v>
      </c>
      <c r="Q504">
        <v>4</v>
      </c>
      <c r="R504">
        <v>0</v>
      </c>
      <c r="S504">
        <v>4.4000000000000004</v>
      </c>
      <c r="T504" s="1" t="s">
        <v>33</v>
      </c>
      <c r="U504" s="1" t="s">
        <v>33</v>
      </c>
      <c r="V504" s="1" t="s">
        <v>164</v>
      </c>
      <c r="W504" s="1" t="s">
        <v>179</v>
      </c>
    </row>
    <row r="505" spans="1:23" x14ac:dyDescent="0.35">
      <c r="A505" s="1" t="s">
        <v>1272</v>
      </c>
      <c r="B505" s="1" t="s">
        <v>262</v>
      </c>
      <c r="C505">
        <v>21</v>
      </c>
      <c r="D505" s="1" t="s">
        <v>71</v>
      </c>
      <c r="E505" s="1" t="s">
        <v>62</v>
      </c>
      <c r="F505" s="1" t="s">
        <v>27</v>
      </c>
      <c r="G505" s="1" t="s">
        <v>1273</v>
      </c>
      <c r="H505" s="2">
        <v>46059</v>
      </c>
      <c r="I505" s="1" t="s">
        <v>114</v>
      </c>
      <c r="J505" s="1" t="s">
        <v>141</v>
      </c>
      <c r="K505" s="1" t="s">
        <v>163</v>
      </c>
      <c r="L505" s="1" t="s">
        <v>33</v>
      </c>
      <c r="M505" s="1" t="s">
        <v>142</v>
      </c>
      <c r="N505">
        <v>448083.29</v>
      </c>
      <c r="O505">
        <v>15455.45</v>
      </c>
      <c r="P505">
        <v>9783.6</v>
      </c>
      <c r="Q505">
        <v>1</v>
      </c>
      <c r="R505">
        <v>80</v>
      </c>
      <c r="S505">
        <v>5</v>
      </c>
      <c r="T505" s="1" t="s">
        <v>33</v>
      </c>
      <c r="U505" s="1" t="s">
        <v>35</v>
      </c>
      <c r="V505" s="1" t="s">
        <v>75</v>
      </c>
      <c r="W505" s="1" t="s">
        <v>179</v>
      </c>
    </row>
    <row r="506" spans="1:23" x14ac:dyDescent="0.35">
      <c r="A506" s="1" t="s">
        <v>1274</v>
      </c>
      <c r="B506" s="1" t="s">
        <v>1137</v>
      </c>
      <c r="C506">
        <v>19</v>
      </c>
      <c r="D506" s="1" t="s">
        <v>71</v>
      </c>
      <c r="E506" s="1" t="s">
        <v>33</v>
      </c>
      <c r="F506" s="1" t="s">
        <v>135</v>
      </c>
      <c r="G506" s="1" t="s">
        <v>714</v>
      </c>
      <c r="H506" s="2">
        <v>45430</v>
      </c>
      <c r="I506" s="1" t="s">
        <v>33</v>
      </c>
      <c r="J506" s="1" t="s">
        <v>87</v>
      </c>
      <c r="K506" s="1" t="s">
        <v>91</v>
      </c>
      <c r="L506" s="1" t="s">
        <v>92</v>
      </c>
      <c r="M506" s="1" t="s">
        <v>183</v>
      </c>
      <c r="N506">
        <v>429640.44</v>
      </c>
      <c r="O506">
        <v>76442.559999999998</v>
      </c>
      <c r="P506">
        <v>41897.06</v>
      </c>
      <c r="Q506">
        <v>1</v>
      </c>
      <c r="R506">
        <v>2</v>
      </c>
      <c r="S506">
        <v>5</v>
      </c>
      <c r="T506" s="1" t="s">
        <v>46</v>
      </c>
      <c r="U506" s="1" t="s">
        <v>101</v>
      </c>
      <c r="V506" s="1" t="s">
        <v>130</v>
      </c>
      <c r="W506" s="1" t="s">
        <v>83</v>
      </c>
    </row>
    <row r="507" spans="1:23" x14ac:dyDescent="0.35">
      <c r="A507" s="1" t="s">
        <v>1275</v>
      </c>
      <c r="B507" s="1" t="s">
        <v>1276</v>
      </c>
      <c r="C507">
        <v>57</v>
      </c>
      <c r="D507" s="1" t="s">
        <v>78</v>
      </c>
      <c r="E507" s="1" t="s">
        <v>86</v>
      </c>
      <c r="F507" s="1" t="s">
        <v>63</v>
      </c>
      <c r="G507" s="1" t="s">
        <v>1277</v>
      </c>
      <c r="H507" s="2">
        <v>45952</v>
      </c>
      <c r="I507" s="1" t="s">
        <v>221</v>
      </c>
      <c r="J507" s="1" t="s">
        <v>115</v>
      </c>
      <c r="K507" s="1" t="s">
        <v>55</v>
      </c>
      <c r="L507" s="1" t="s">
        <v>66</v>
      </c>
      <c r="M507" s="1" t="s">
        <v>57</v>
      </c>
      <c r="N507">
        <v>106263.67</v>
      </c>
      <c r="O507">
        <v>28774.27</v>
      </c>
      <c r="P507">
        <v>40189.199999999997</v>
      </c>
      <c r="Q507">
        <v>9</v>
      </c>
      <c r="R507">
        <v>119</v>
      </c>
      <c r="S507">
        <v>5</v>
      </c>
      <c r="T507" s="1" t="s">
        <v>154</v>
      </c>
      <c r="U507" s="1" t="s">
        <v>95</v>
      </c>
      <c r="V507" s="1" t="s">
        <v>68</v>
      </c>
      <c r="W507" s="1" t="s">
        <v>33</v>
      </c>
    </row>
    <row r="508" spans="1:23" x14ac:dyDescent="0.35">
      <c r="A508" s="1" t="s">
        <v>1278</v>
      </c>
      <c r="B508" s="1" t="s">
        <v>368</v>
      </c>
      <c r="C508">
        <v>19</v>
      </c>
      <c r="D508" s="1" t="s">
        <v>25</v>
      </c>
      <c r="E508" s="1" t="s">
        <v>112</v>
      </c>
      <c r="F508" s="1" t="s">
        <v>145</v>
      </c>
      <c r="G508" s="1" t="s">
        <v>1217</v>
      </c>
      <c r="H508" s="2">
        <v>45339</v>
      </c>
      <c r="I508" s="1" t="s">
        <v>273</v>
      </c>
      <c r="J508" s="1" t="s">
        <v>115</v>
      </c>
      <c r="K508" s="1" t="s">
        <v>81</v>
      </c>
      <c r="L508" s="1" t="s">
        <v>92</v>
      </c>
      <c r="M508" s="1" t="s">
        <v>93</v>
      </c>
      <c r="N508">
        <v>412709.5</v>
      </c>
      <c r="O508">
        <v>37828.300000000003</v>
      </c>
      <c r="P508">
        <v>65611.97</v>
      </c>
      <c r="Q508">
        <v>5</v>
      </c>
      <c r="R508">
        <v>204</v>
      </c>
      <c r="S508">
        <v>2.2999999999999998</v>
      </c>
      <c r="T508" s="1" t="s">
        <v>94</v>
      </c>
      <c r="U508" s="1" t="s">
        <v>33</v>
      </c>
      <c r="V508" s="1" t="s">
        <v>47</v>
      </c>
      <c r="W508" s="1" t="s">
        <v>179</v>
      </c>
    </row>
    <row r="509" spans="1:23" x14ac:dyDescent="0.35">
      <c r="A509" s="1" t="s">
        <v>1279</v>
      </c>
      <c r="B509" s="1" t="s">
        <v>916</v>
      </c>
      <c r="C509">
        <v>31</v>
      </c>
      <c r="D509" s="1" t="s">
        <v>39</v>
      </c>
      <c r="E509" s="1" t="s">
        <v>62</v>
      </c>
      <c r="F509" s="1" t="s">
        <v>193</v>
      </c>
      <c r="G509" s="1" t="s">
        <v>1269</v>
      </c>
      <c r="H509" s="2">
        <v>45976</v>
      </c>
      <c r="I509" s="1" t="s">
        <v>53</v>
      </c>
      <c r="J509" s="1" t="s">
        <v>152</v>
      </c>
      <c r="K509" s="1" t="s">
        <v>33</v>
      </c>
      <c r="L509" s="1" t="s">
        <v>66</v>
      </c>
      <c r="M509" s="1" t="s">
        <v>57</v>
      </c>
      <c r="N509">
        <v>499.68</v>
      </c>
      <c r="O509">
        <v>38667.75</v>
      </c>
      <c r="P509">
        <v>120346.7</v>
      </c>
      <c r="Q509">
        <v>3</v>
      </c>
      <c r="R509">
        <v>0</v>
      </c>
      <c r="S509">
        <v>3.7</v>
      </c>
      <c r="T509" s="1" t="s">
        <v>34</v>
      </c>
      <c r="U509" s="1" t="s">
        <v>33</v>
      </c>
      <c r="V509" s="1" t="s">
        <v>33</v>
      </c>
      <c r="W509" s="1" t="s">
        <v>83</v>
      </c>
    </row>
    <row r="510" spans="1:23" x14ac:dyDescent="0.35">
      <c r="A510" s="1" t="s">
        <v>1280</v>
      </c>
      <c r="B510" s="1" t="s">
        <v>285</v>
      </c>
      <c r="C510">
        <v>45</v>
      </c>
      <c r="D510" s="1" t="s">
        <v>33</v>
      </c>
      <c r="E510" s="1" t="s">
        <v>33</v>
      </c>
      <c r="F510" s="1" t="s">
        <v>145</v>
      </c>
      <c r="G510" s="1" t="s">
        <v>1281</v>
      </c>
      <c r="H510" s="2">
        <v>45673</v>
      </c>
      <c r="I510" s="1" t="s">
        <v>168</v>
      </c>
      <c r="J510" s="1" t="s">
        <v>65</v>
      </c>
      <c r="K510" s="1" t="s">
        <v>31</v>
      </c>
      <c r="L510" s="1" t="s">
        <v>44</v>
      </c>
      <c r="M510" s="1" t="s">
        <v>33</v>
      </c>
      <c r="N510">
        <v>204162.07</v>
      </c>
      <c r="O510">
        <v>0</v>
      </c>
      <c r="P510">
        <v>51983.6</v>
      </c>
      <c r="Q510">
        <v>4</v>
      </c>
      <c r="R510">
        <v>38</v>
      </c>
      <c r="S510">
        <v>0.9</v>
      </c>
      <c r="T510" s="1" t="s">
        <v>34</v>
      </c>
      <c r="U510" s="1" t="s">
        <v>67</v>
      </c>
      <c r="V510" s="1" t="s">
        <v>130</v>
      </c>
      <c r="W510" s="1" t="s">
        <v>103</v>
      </c>
    </row>
    <row r="511" spans="1:23" x14ac:dyDescent="0.35">
      <c r="A511" s="1" t="s">
        <v>1282</v>
      </c>
      <c r="B511" s="1" t="s">
        <v>230</v>
      </c>
      <c r="C511">
        <v>64</v>
      </c>
      <c r="D511" s="1" t="s">
        <v>106</v>
      </c>
      <c r="E511" s="1" t="s">
        <v>134</v>
      </c>
      <c r="F511" s="1" t="s">
        <v>41</v>
      </c>
      <c r="G511" s="1" t="s">
        <v>1283</v>
      </c>
      <c r="H511" s="2">
        <v>45382</v>
      </c>
      <c r="I511" s="1" t="s">
        <v>127</v>
      </c>
      <c r="J511" s="1" t="s">
        <v>80</v>
      </c>
      <c r="K511" s="1" t="s">
        <v>128</v>
      </c>
      <c r="L511" s="1" t="s">
        <v>66</v>
      </c>
      <c r="M511" s="1" t="s">
        <v>82</v>
      </c>
      <c r="N511">
        <v>227232.54</v>
      </c>
      <c r="O511">
        <v>35726.870000000003</v>
      </c>
      <c r="P511">
        <v>77229.539999999994</v>
      </c>
      <c r="Q511">
        <v>7</v>
      </c>
      <c r="R511">
        <v>111</v>
      </c>
      <c r="S511">
        <v>4.9000000000000004</v>
      </c>
      <c r="T511" s="1" t="s">
        <v>154</v>
      </c>
      <c r="U511" s="1" t="s">
        <v>149</v>
      </c>
      <c r="V511" s="1" t="s">
        <v>130</v>
      </c>
      <c r="W511" s="1" t="s">
        <v>83</v>
      </c>
    </row>
    <row r="512" spans="1:23" x14ac:dyDescent="0.35">
      <c r="A512" s="1" t="s">
        <v>1284</v>
      </c>
      <c r="B512" s="1" t="s">
        <v>1233</v>
      </c>
      <c r="C512">
        <v>71</v>
      </c>
      <c r="D512" s="1" t="s">
        <v>33</v>
      </c>
      <c r="E512" s="1" t="s">
        <v>157</v>
      </c>
      <c r="F512" s="1" t="s">
        <v>41</v>
      </c>
      <c r="G512" s="1" t="s">
        <v>601</v>
      </c>
      <c r="H512" s="2">
        <v>46211</v>
      </c>
      <c r="I512" s="1" t="s">
        <v>257</v>
      </c>
      <c r="J512" s="1" t="s">
        <v>30</v>
      </c>
      <c r="K512" s="1" t="s">
        <v>31</v>
      </c>
      <c r="L512" s="1" t="s">
        <v>32</v>
      </c>
      <c r="M512" s="1" t="s">
        <v>33</v>
      </c>
      <c r="N512">
        <v>264910</v>
      </c>
      <c r="O512">
        <v>34851.300000000003</v>
      </c>
      <c r="P512">
        <v>6898.17</v>
      </c>
      <c r="Q512">
        <v>2</v>
      </c>
      <c r="R512">
        <v>116</v>
      </c>
      <c r="S512">
        <v>2.6</v>
      </c>
      <c r="T512" s="1" t="s">
        <v>33</v>
      </c>
      <c r="U512" s="1" t="s">
        <v>35</v>
      </c>
      <c r="V512" s="1" t="s">
        <v>75</v>
      </c>
      <c r="W512" s="1" t="s">
        <v>179</v>
      </c>
    </row>
    <row r="513" spans="1:23" x14ac:dyDescent="0.35">
      <c r="A513" s="1" t="s">
        <v>1285</v>
      </c>
      <c r="B513" s="1" t="s">
        <v>959</v>
      </c>
      <c r="C513">
        <v>25</v>
      </c>
      <c r="D513" s="1" t="s">
        <v>50</v>
      </c>
      <c r="E513" s="1" t="s">
        <v>33</v>
      </c>
      <c r="F513" s="1" t="s">
        <v>56</v>
      </c>
      <c r="G513" s="1" t="s">
        <v>99</v>
      </c>
      <c r="H513" s="2">
        <v>46030</v>
      </c>
      <c r="I513" s="1" t="s">
        <v>127</v>
      </c>
      <c r="J513" s="1" t="s">
        <v>65</v>
      </c>
      <c r="K513" s="1" t="s">
        <v>163</v>
      </c>
      <c r="L513" s="1" t="s">
        <v>92</v>
      </c>
      <c r="M513" s="1" t="s">
        <v>33</v>
      </c>
      <c r="N513">
        <v>70727.11</v>
      </c>
      <c r="O513">
        <v>83119.289999999994</v>
      </c>
      <c r="P513">
        <v>84940.17</v>
      </c>
      <c r="Q513">
        <v>2</v>
      </c>
      <c r="R513">
        <v>239</v>
      </c>
      <c r="S513">
        <v>2.1</v>
      </c>
      <c r="T513" s="1" t="s">
        <v>46</v>
      </c>
      <c r="U513" s="1" t="s">
        <v>33</v>
      </c>
      <c r="V513" s="1" t="s">
        <v>75</v>
      </c>
      <c r="W513" s="1" t="s">
        <v>103</v>
      </c>
    </row>
    <row r="514" spans="1:23" x14ac:dyDescent="0.35">
      <c r="A514" s="1" t="s">
        <v>1286</v>
      </c>
      <c r="B514" s="1" t="s">
        <v>1287</v>
      </c>
      <c r="C514">
        <v>14</v>
      </c>
      <c r="D514" s="1" t="s">
        <v>39</v>
      </c>
      <c r="E514" s="1" t="s">
        <v>134</v>
      </c>
      <c r="F514" s="1" t="s">
        <v>98</v>
      </c>
      <c r="G514" s="1" t="s">
        <v>1288</v>
      </c>
      <c r="H514" s="2">
        <v>46055</v>
      </c>
      <c r="I514" s="1" t="s">
        <v>257</v>
      </c>
      <c r="J514" s="1" t="s">
        <v>30</v>
      </c>
      <c r="K514" s="1" t="s">
        <v>153</v>
      </c>
      <c r="L514" s="1" t="s">
        <v>44</v>
      </c>
      <c r="M514" s="1" t="s">
        <v>93</v>
      </c>
      <c r="N514">
        <v>122602.72</v>
      </c>
      <c r="O514">
        <v>7046.83</v>
      </c>
      <c r="P514">
        <v>82187.520000000004</v>
      </c>
      <c r="Q514">
        <v>3</v>
      </c>
      <c r="R514">
        <v>65</v>
      </c>
      <c r="S514">
        <v>5</v>
      </c>
      <c r="T514" s="1" t="s">
        <v>33</v>
      </c>
      <c r="U514" s="1" t="s">
        <v>35</v>
      </c>
      <c r="V514" s="1" t="s">
        <v>75</v>
      </c>
      <c r="W514" s="1" t="s">
        <v>103</v>
      </c>
    </row>
    <row r="515" spans="1:23" x14ac:dyDescent="0.35">
      <c r="A515" s="1" t="s">
        <v>1289</v>
      </c>
      <c r="B515" s="1" t="s">
        <v>583</v>
      </c>
      <c r="C515">
        <v>92</v>
      </c>
      <c r="D515" s="1" t="s">
        <v>39</v>
      </c>
      <c r="E515" s="1" t="s">
        <v>26</v>
      </c>
      <c r="F515" s="1" t="s">
        <v>63</v>
      </c>
      <c r="G515" s="1" t="s">
        <v>1290</v>
      </c>
      <c r="H515" s="2">
        <v>45616</v>
      </c>
      <c r="I515" s="1" t="s">
        <v>53</v>
      </c>
      <c r="J515" s="1" t="s">
        <v>90</v>
      </c>
      <c r="K515" s="1" t="s">
        <v>174</v>
      </c>
      <c r="L515" s="1" t="s">
        <v>32</v>
      </c>
      <c r="M515" s="1" t="s">
        <v>129</v>
      </c>
      <c r="N515">
        <v>12877.81</v>
      </c>
      <c r="O515">
        <v>61480.83</v>
      </c>
      <c r="P515">
        <v>79393.23</v>
      </c>
      <c r="Q515">
        <v>4</v>
      </c>
      <c r="R515">
        <v>21</v>
      </c>
      <c r="S515">
        <v>5</v>
      </c>
      <c r="T515" s="1" t="s">
        <v>33</v>
      </c>
      <c r="U515" s="1" t="s">
        <v>67</v>
      </c>
      <c r="V515" s="1" t="s">
        <v>47</v>
      </c>
      <c r="W515" s="1" t="s">
        <v>83</v>
      </c>
    </row>
    <row r="516" spans="1:23" x14ac:dyDescent="0.35">
      <c r="A516" s="1" t="s">
        <v>1291</v>
      </c>
      <c r="B516" s="1" t="s">
        <v>790</v>
      </c>
      <c r="C516">
        <v>37</v>
      </c>
      <c r="D516" s="1" t="s">
        <v>50</v>
      </c>
      <c r="E516" s="1" t="s">
        <v>40</v>
      </c>
      <c r="F516" s="1" t="s">
        <v>41</v>
      </c>
      <c r="G516" s="1" t="s">
        <v>955</v>
      </c>
      <c r="H516" s="2">
        <v>45443</v>
      </c>
      <c r="I516" s="1" t="s">
        <v>53</v>
      </c>
      <c r="J516" s="1" t="s">
        <v>147</v>
      </c>
      <c r="K516" s="1" t="s">
        <v>81</v>
      </c>
      <c r="L516" s="1" t="s">
        <v>66</v>
      </c>
      <c r="M516" s="1" t="s">
        <v>45</v>
      </c>
      <c r="N516">
        <v>104649.03</v>
      </c>
      <c r="O516">
        <v>12022.26</v>
      </c>
      <c r="P516">
        <v>106494.36</v>
      </c>
      <c r="Q516">
        <v>3</v>
      </c>
      <c r="R516">
        <v>95</v>
      </c>
      <c r="S516">
        <v>4.7</v>
      </c>
      <c r="T516" s="1" t="s">
        <v>33</v>
      </c>
      <c r="U516" s="1" t="s">
        <v>95</v>
      </c>
      <c r="V516" s="1" t="s">
        <v>47</v>
      </c>
      <c r="W516" s="1" t="s">
        <v>12</v>
      </c>
    </row>
    <row r="517" spans="1:23" x14ac:dyDescent="0.35">
      <c r="A517" s="1" t="s">
        <v>1292</v>
      </c>
      <c r="B517" s="1" t="s">
        <v>215</v>
      </c>
      <c r="C517">
        <v>25</v>
      </c>
      <c r="D517" s="1" t="s">
        <v>50</v>
      </c>
      <c r="E517" s="1" t="s">
        <v>62</v>
      </c>
      <c r="F517" s="1" t="s">
        <v>44</v>
      </c>
      <c r="G517" s="1" t="s">
        <v>1293</v>
      </c>
      <c r="H517" s="2">
        <v>45799</v>
      </c>
      <c r="I517" s="1" t="s">
        <v>235</v>
      </c>
      <c r="J517" s="1" t="s">
        <v>147</v>
      </c>
      <c r="K517" s="1" t="s">
        <v>33</v>
      </c>
      <c r="L517" s="1" t="s">
        <v>33</v>
      </c>
      <c r="M517" s="1" t="s">
        <v>183</v>
      </c>
      <c r="N517">
        <v>371477.87</v>
      </c>
      <c r="O517">
        <v>0</v>
      </c>
      <c r="P517">
        <v>32543.59</v>
      </c>
      <c r="Q517">
        <v>1</v>
      </c>
      <c r="R517">
        <v>97</v>
      </c>
      <c r="S517">
        <v>3.8</v>
      </c>
      <c r="T517" s="1" t="s">
        <v>154</v>
      </c>
      <c r="U517" s="1" t="s">
        <v>101</v>
      </c>
      <c r="V517" s="1" t="s">
        <v>130</v>
      </c>
      <c r="W517" s="1" t="s">
        <v>83</v>
      </c>
    </row>
    <row r="518" spans="1:23" x14ac:dyDescent="0.35">
      <c r="A518" s="1" t="s">
        <v>1294</v>
      </c>
      <c r="B518" s="1" t="s">
        <v>363</v>
      </c>
      <c r="C518">
        <v>51</v>
      </c>
      <c r="D518" s="1" t="s">
        <v>39</v>
      </c>
      <c r="E518" s="1" t="s">
        <v>72</v>
      </c>
      <c r="F518" s="1" t="s">
        <v>87</v>
      </c>
      <c r="G518" s="1" t="s">
        <v>326</v>
      </c>
      <c r="H518" s="2">
        <v>45855</v>
      </c>
      <c r="I518" s="1" t="s">
        <v>33</v>
      </c>
      <c r="J518" s="1" t="s">
        <v>152</v>
      </c>
      <c r="K518" s="1" t="s">
        <v>33</v>
      </c>
      <c r="L518" s="1" t="s">
        <v>56</v>
      </c>
      <c r="M518" s="1" t="s">
        <v>129</v>
      </c>
      <c r="N518">
        <v>316999.81</v>
      </c>
      <c r="O518">
        <v>48365.94</v>
      </c>
      <c r="P518">
        <v>15425.89</v>
      </c>
      <c r="Q518">
        <v>2</v>
      </c>
      <c r="R518">
        <v>73</v>
      </c>
      <c r="S518">
        <v>5</v>
      </c>
      <c r="T518" s="1" t="s">
        <v>33</v>
      </c>
      <c r="U518" s="1" t="s">
        <v>58</v>
      </c>
      <c r="V518" s="1" t="s">
        <v>164</v>
      </c>
      <c r="W518" s="1" t="s">
        <v>59</v>
      </c>
    </row>
    <row r="519" spans="1:23" x14ac:dyDescent="0.35">
      <c r="A519" s="1" t="s">
        <v>1295</v>
      </c>
      <c r="B519" s="1" t="s">
        <v>161</v>
      </c>
      <c r="C519">
        <v>12</v>
      </c>
      <c r="D519" s="1" t="s">
        <v>50</v>
      </c>
      <c r="E519" s="1" t="s">
        <v>203</v>
      </c>
      <c r="F519" s="1" t="s">
        <v>56</v>
      </c>
      <c r="G519" s="1" t="s">
        <v>1296</v>
      </c>
      <c r="H519" s="2">
        <v>45352</v>
      </c>
      <c r="I519" s="1" t="s">
        <v>100</v>
      </c>
      <c r="J519" s="1" t="s">
        <v>90</v>
      </c>
      <c r="K519" s="1" t="s">
        <v>163</v>
      </c>
      <c r="L519" s="1" t="s">
        <v>56</v>
      </c>
      <c r="M519" s="1" t="s">
        <v>33</v>
      </c>
      <c r="N519">
        <v>269207.19</v>
      </c>
      <c r="O519">
        <v>0</v>
      </c>
      <c r="P519">
        <v>46408.05</v>
      </c>
      <c r="Q519">
        <v>5</v>
      </c>
      <c r="R519">
        <v>237</v>
      </c>
      <c r="S519">
        <v>2.5</v>
      </c>
      <c r="T519" s="1" t="s">
        <v>46</v>
      </c>
      <c r="U519" s="1" t="s">
        <v>58</v>
      </c>
      <c r="V519" s="1" t="s">
        <v>102</v>
      </c>
      <c r="W519" s="1" t="s">
        <v>59</v>
      </c>
    </row>
    <row r="520" spans="1:23" x14ac:dyDescent="0.35">
      <c r="A520" s="1" t="s">
        <v>1297</v>
      </c>
      <c r="B520" s="1" t="s">
        <v>1026</v>
      </c>
      <c r="C520">
        <v>59</v>
      </c>
      <c r="D520" s="1" t="s">
        <v>78</v>
      </c>
      <c r="E520" s="1" t="s">
        <v>62</v>
      </c>
      <c r="F520" s="1" t="s">
        <v>87</v>
      </c>
      <c r="G520" s="1" t="s">
        <v>1298</v>
      </c>
      <c r="H520" s="2">
        <v>46097</v>
      </c>
      <c r="I520" s="1" t="s">
        <v>100</v>
      </c>
      <c r="J520" s="1" t="s">
        <v>33</v>
      </c>
      <c r="K520" s="1" t="s">
        <v>148</v>
      </c>
      <c r="L520" s="1" t="s">
        <v>44</v>
      </c>
      <c r="M520" s="1" t="s">
        <v>74</v>
      </c>
      <c r="N520">
        <v>4007.79</v>
      </c>
      <c r="O520">
        <v>14181.12</v>
      </c>
      <c r="P520">
        <v>62893.23</v>
      </c>
      <c r="Q520">
        <v>1</v>
      </c>
      <c r="R520">
        <v>47</v>
      </c>
      <c r="S520">
        <v>3.4</v>
      </c>
      <c r="T520" s="1" t="s">
        <v>33</v>
      </c>
      <c r="U520" s="1" t="s">
        <v>149</v>
      </c>
      <c r="V520" s="1" t="s">
        <v>130</v>
      </c>
      <c r="W520" s="1" t="s">
        <v>131</v>
      </c>
    </row>
    <row r="521" spans="1:23" x14ac:dyDescent="0.35">
      <c r="A521" s="1" t="s">
        <v>1299</v>
      </c>
      <c r="B521" s="1" t="s">
        <v>215</v>
      </c>
      <c r="C521">
        <v>52</v>
      </c>
      <c r="D521" s="1" t="s">
        <v>71</v>
      </c>
      <c r="E521" s="1" t="s">
        <v>62</v>
      </c>
      <c r="F521" s="1" t="s">
        <v>41</v>
      </c>
      <c r="G521" s="1" t="s">
        <v>1300</v>
      </c>
      <c r="H521" s="2">
        <v>45418</v>
      </c>
      <c r="I521" s="1" t="s">
        <v>114</v>
      </c>
      <c r="J521" s="1" t="s">
        <v>80</v>
      </c>
      <c r="K521" s="1" t="s">
        <v>81</v>
      </c>
      <c r="L521" s="1" t="s">
        <v>32</v>
      </c>
      <c r="M521" s="1" t="s">
        <v>33</v>
      </c>
      <c r="N521">
        <v>257354.58</v>
      </c>
      <c r="O521">
        <v>21521.94</v>
      </c>
      <c r="P521">
        <v>56101.83</v>
      </c>
      <c r="Q521">
        <v>5</v>
      </c>
      <c r="R521">
        <v>85</v>
      </c>
      <c r="S521">
        <v>4.3</v>
      </c>
      <c r="T521" s="1" t="s">
        <v>33</v>
      </c>
      <c r="U521" s="1" t="s">
        <v>33</v>
      </c>
      <c r="V521" s="1" t="s">
        <v>75</v>
      </c>
      <c r="W521" s="1" t="s">
        <v>33</v>
      </c>
    </row>
    <row r="522" spans="1:23" x14ac:dyDescent="0.35">
      <c r="A522" s="1" t="s">
        <v>1301</v>
      </c>
      <c r="B522" s="1" t="s">
        <v>519</v>
      </c>
      <c r="C522">
        <v>38</v>
      </c>
      <c r="D522" s="1" t="s">
        <v>33</v>
      </c>
      <c r="E522" s="1" t="s">
        <v>33</v>
      </c>
      <c r="F522" s="1" t="s">
        <v>108</v>
      </c>
      <c r="G522" s="1" t="s">
        <v>1302</v>
      </c>
      <c r="H522" s="2">
        <v>45418</v>
      </c>
      <c r="I522" s="1" t="s">
        <v>273</v>
      </c>
      <c r="J522" s="1" t="s">
        <v>90</v>
      </c>
      <c r="K522" s="1" t="s">
        <v>81</v>
      </c>
      <c r="L522" s="1" t="s">
        <v>92</v>
      </c>
      <c r="M522" s="1" t="s">
        <v>142</v>
      </c>
      <c r="N522">
        <v>81405.91</v>
      </c>
      <c r="O522">
        <v>29124.81</v>
      </c>
      <c r="P522">
        <v>20669.97</v>
      </c>
      <c r="Q522">
        <v>2</v>
      </c>
      <c r="R522">
        <v>11</v>
      </c>
      <c r="S522">
        <v>4</v>
      </c>
      <c r="T522" s="1" t="s">
        <v>154</v>
      </c>
      <c r="U522" s="1" t="s">
        <v>35</v>
      </c>
      <c r="V522" s="1" t="s">
        <v>102</v>
      </c>
      <c r="W522" s="1" t="s">
        <v>179</v>
      </c>
    </row>
    <row r="523" spans="1:23" x14ac:dyDescent="0.35">
      <c r="A523" s="1" t="s">
        <v>1303</v>
      </c>
      <c r="B523" s="1" t="s">
        <v>1018</v>
      </c>
      <c r="C523">
        <v>60</v>
      </c>
      <c r="D523" s="1" t="s">
        <v>78</v>
      </c>
      <c r="E523" s="1" t="s">
        <v>62</v>
      </c>
      <c r="F523" s="1" t="s">
        <v>33</v>
      </c>
      <c r="G523" s="1" t="s">
        <v>1072</v>
      </c>
      <c r="H523" s="2">
        <v>46109</v>
      </c>
      <c r="I523" s="1" t="s">
        <v>273</v>
      </c>
      <c r="J523" s="1" t="s">
        <v>115</v>
      </c>
      <c r="K523" s="1" t="s">
        <v>174</v>
      </c>
      <c r="L523" s="1" t="s">
        <v>33</v>
      </c>
      <c r="M523" s="1" t="s">
        <v>123</v>
      </c>
      <c r="N523">
        <v>159642.42000000001</v>
      </c>
      <c r="O523">
        <v>40201.32</v>
      </c>
      <c r="P523">
        <v>61523.93</v>
      </c>
      <c r="Q523">
        <v>3</v>
      </c>
      <c r="R523">
        <v>128</v>
      </c>
      <c r="S523">
        <v>2.6</v>
      </c>
      <c r="T523" s="1" t="s">
        <v>33</v>
      </c>
      <c r="U523" s="1" t="s">
        <v>33</v>
      </c>
      <c r="V523" s="1" t="s">
        <v>75</v>
      </c>
      <c r="W523" s="1" t="s">
        <v>33</v>
      </c>
    </row>
    <row r="524" spans="1:23" x14ac:dyDescent="0.35">
      <c r="A524" s="1" t="s">
        <v>1304</v>
      </c>
      <c r="B524" s="1" t="s">
        <v>318</v>
      </c>
      <c r="C524">
        <v>51</v>
      </c>
      <c r="D524" s="1" t="s">
        <v>25</v>
      </c>
      <c r="E524" s="1" t="s">
        <v>192</v>
      </c>
      <c r="F524" s="1" t="s">
        <v>33</v>
      </c>
      <c r="G524" s="1" t="s">
        <v>1305</v>
      </c>
      <c r="H524" s="2">
        <v>45969</v>
      </c>
      <c r="I524" s="1" t="s">
        <v>100</v>
      </c>
      <c r="J524" s="1" t="s">
        <v>141</v>
      </c>
      <c r="K524" s="1" t="s">
        <v>174</v>
      </c>
      <c r="L524" s="1" t="s">
        <v>56</v>
      </c>
      <c r="M524" s="1" t="s">
        <v>74</v>
      </c>
      <c r="N524">
        <v>221004.99</v>
      </c>
      <c r="O524">
        <v>0</v>
      </c>
      <c r="P524">
        <v>49814.69</v>
      </c>
      <c r="Q524">
        <v>3</v>
      </c>
      <c r="R524">
        <v>260</v>
      </c>
      <c r="S524">
        <v>3.2</v>
      </c>
      <c r="T524" s="1" t="s">
        <v>33</v>
      </c>
      <c r="U524" s="1" t="s">
        <v>95</v>
      </c>
      <c r="V524" s="1" t="s">
        <v>102</v>
      </c>
      <c r="W524" s="1" t="s">
        <v>59</v>
      </c>
    </row>
    <row r="525" spans="1:23" x14ac:dyDescent="0.35">
      <c r="A525" s="1" t="s">
        <v>1306</v>
      </c>
      <c r="B525" s="1" t="s">
        <v>650</v>
      </c>
      <c r="C525">
        <v>51</v>
      </c>
      <c r="D525" s="1" t="s">
        <v>50</v>
      </c>
      <c r="E525" s="1" t="s">
        <v>219</v>
      </c>
      <c r="F525" s="1" t="s">
        <v>145</v>
      </c>
      <c r="G525" s="1" t="s">
        <v>921</v>
      </c>
      <c r="H525" s="2">
        <v>45811</v>
      </c>
      <c r="I525" s="1" t="s">
        <v>100</v>
      </c>
      <c r="J525" s="1" t="s">
        <v>115</v>
      </c>
      <c r="K525" s="1" t="s">
        <v>116</v>
      </c>
      <c r="L525" s="1" t="s">
        <v>44</v>
      </c>
      <c r="M525" s="1" t="s">
        <v>183</v>
      </c>
      <c r="N525">
        <v>263732.95</v>
      </c>
      <c r="O525">
        <v>59818.38</v>
      </c>
      <c r="P525">
        <v>7263.96</v>
      </c>
      <c r="Q525">
        <v>1</v>
      </c>
      <c r="R525">
        <v>149</v>
      </c>
      <c r="S525">
        <v>4.5</v>
      </c>
      <c r="T525" s="1" t="s">
        <v>154</v>
      </c>
      <c r="U525" s="1" t="s">
        <v>95</v>
      </c>
      <c r="V525" s="1" t="s">
        <v>164</v>
      </c>
      <c r="W525" s="1" t="s">
        <v>33</v>
      </c>
    </row>
    <row r="526" spans="1:23" x14ac:dyDescent="0.35">
      <c r="A526" s="1" t="s">
        <v>1307</v>
      </c>
      <c r="B526" s="1" t="s">
        <v>237</v>
      </c>
      <c r="C526">
        <v>50</v>
      </c>
      <c r="D526" s="1" t="s">
        <v>71</v>
      </c>
      <c r="E526" s="1" t="s">
        <v>157</v>
      </c>
      <c r="F526" s="1" t="s">
        <v>56</v>
      </c>
      <c r="G526" s="1" t="s">
        <v>1308</v>
      </c>
      <c r="H526" s="2">
        <v>45914</v>
      </c>
      <c r="I526" s="1" t="s">
        <v>53</v>
      </c>
      <c r="J526" s="1" t="s">
        <v>30</v>
      </c>
      <c r="K526" s="1" t="s">
        <v>148</v>
      </c>
      <c r="L526" s="1" t="s">
        <v>32</v>
      </c>
      <c r="M526" s="1" t="s">
        <v>45</v>
      </c>
      <c r="N526">
        <v>364124.05</v>
      </c>
      <c r="O526">
        <v>51807.88</v>
      </c>
      <c r="P526">
        <v>10709.42</v>
      </c>
      <c r="Q526">
        <v>2</v>
      </c>
      <c r="R526">
        <v>156</v>
      </c>
      <c r="S526">
        <v>3.6</v>
      </c>
      <c r="T526" s="1" t="s">
        <v>46</v>
      </c>
      <c r="U526" s="1" t="s">
        <v>101</v>
      </c>
      <c r="V526" s="1" t="s">
        <v>102</v>
      </c>
      <c r="W526" s="1" t="s">
        <v>33</v>
      </c>
    </row>
    <row r="527" spans="1:23" x14ac:dyDescent="0.35">
      <c r="A527" s="1" t="s">
        <v>1309</v>
      </c>
      <c r="B527" s="1" t="s">
        <v>776</v>
      </c>
      <c r="C527">
        <v>44</v>
      </c>
      <c r="D527" s="1" t="s">
        <v>39</v>
      </c>
      <c r="E527" s="1" t="s">
        <v>192</v>
      </c>
      <c r="F527" s="1" t="s">
        <v>87</v>
      </c>
      <c r="G527" s="1" t="s">
        <v>609</v>
      </c>
      <c r="H527" s="2">
        <v>45561</v>
      </c>
      <c r="I527" s="1" t="s">
        <v>53</v>
      </c>
      <c r="J527" s="1" t="s">
        <v>87</v>
      </c>
      <c r="K527" s="1" t="s">
        <v>153</v>
      </c>
      <c r="L527" s="1" t="s">
        <v>33</v>
      </c>
      <c r="M527" s="1" t="s">
        <v>129</v>
      </c>
      <c r="N527">
        <v>198965.98</v>
      </c>
      <c r="O527">
        <v>59792.69</v>
      </c>
      <c r="P527">
        <v>42488.46</v>
      </c>
      <c r="Q527">
        <v>3</v>
      </c>
      <c r="R527">
        <v>11</v>
      </c>
      <c r="S527">
        <v>3.2</v>
      </c>
      <c r="T527" s="1" t="s">
        <v>33</v>
      </c>
      <c r="U527" s="1" t="s">
        <v>149</v>
      </c>
      <c r="V527" s="1" t="s">
        <v>68</v>
      </c>
      <c r="W527" s="1" t="s">
        <v>131</v>
      </c>
    </row>
    <row r="528" spans="1:23" x14ac:dyDescent="0.35">
      <c r="A528" s="1" t="s">
        <v>1310</v>
      </c>
      <c r="B528" s="1" t="s">
        <v>787</v>
      </c>
      <c r="C528">
        <v>70</v>
      </c>
      <c r="D528" s="1" t="s">
        <v>78</v>
      </c>
      <c r="E528" s="1" t="s">
        <v>134</v>
      </c>
      <c r="F528" s="1" t="s">
        <v>33</v>
      </c>
      <c r="G528" s="1" t="s">
        <v>1311</v>
      </c>
      <c r="H528" s="2">
        <v>46135</v>
      </c>
      <c r="I528" s="1" t="s">
        <v>277</v>
      </c>
      <c r="J528" s="1" t="s">
        <v>152</v>
      </c>
      <c r="K528" s="1" t="s">
        <v>33</v>
      </c>
      <c r="L528" s="1" t="s">
        <v>56</v>
      </c>
      <c r="M528" s="1" t="s">
        <v>129</v>
      </c>
      <c r="N528">
        <v>304433.26</v>
      </c>
      <c r="O528">
        <v>8736.6200000000008</v>
      </c>
      <c r="P528">
        <v>119555.7</v>
      </c>
      <c r="Q528">
        <v>3</v>
      </c>
      <c r="R528">
        <v>114</v>
      </c>
      <c r="S528">
        <v>5</v>
      </c>
      <c r="T528" s="1" t="s">
        <v>34</v>
      </c>
      <c r="U528" s="1" t="s">
        <v>101</v>
      </c>
      <c r="V528" s="1" t="s">
        <v>75</v>
      </c>
      <c r="W528" s="1" t="s">
        <v>12</v>
      </c>
    </row>
    <row r="529" spans="1:23" x14ac:dyDescent="0.35">
      <c r="A529" s="1" t="s">
        <v>1312</v>
      </c>
      <c r="B529" s="1" t="s">
        <v>688</v>
      </c>
      <c r="C529">
        <v>54</v>
      </c>
      <c r="D529" s="1" t="s">
        <v>106</v>
      </c>
      <c r="E529" s="1" t="s">
        <v>263</v>
      </c>
      <c r="F529" s="1" t="s">
        <v>135</v>
      </c>
      <c r="G529" s="1" t="s">
        <v>565</v>
      </c>
      <c r="H529" s="2">
        <v>46225</v>
      </c>
      <c r="I529" s="1" t="s">
        <v>257</v>
      </c>
      <c r="J529" s="1" t="s">
        <v>242</v>
      </c>
      <c r="K529" s="1" t="s">
        <v>148</v>
      </c>
      <c r="L529" s="1" t="s">
        <v>44</v>
      </c>
      <c r="M529" s="1" t="s">
        <v>129</v>
      </c>
      <c r="N529">
        <v>337525.59</v>
      </c>
      <c r="O529">
        <v>60454.87</v>
      </c>
      <c r="P529">
        <v>76721.05</v>
      </c>
      <c r="Q529">
        <v>2</v>
      </c>
      <c r="R529">
        <v>160</v>
      </c>
      <c r="S529">
        <v>3.3</v>
      </c>
      <c r="T529" s="1" t="s">
        <v>46</v>
      </c>
      <c r="U529" s="1" t="s">
        <v>33</v>
      </c>
      <c r="V529" s="1" t="s">
        <v>75</v>
      </c>
      <c r="W529" s="1" t="s">
        <v>131</v>
      </c>
    </row>
    <row r="530" spans="1:23" x14ac:dyDescent="0.35">
      <c r="A530" s="1" t="s">
        <v>1313</v>
      </c>
      <c r="B530" s="1" t="s">
        <v>1021</v>
      </c>
      <c r="C530">
        <v>50</v>
      </c>
      <c r="D530" s="1" t="s">
        <v>50</v>
      </c>
      <c r="E530" s="1" t="s">
        <v>263</v>
      </c>
      <c r="F530" s="1" t="s">
        <v>193</v>
      </c>
      <c r="G530" s="1" t="s">
        <v>1314</v>
      </c>
      <c r="H530" s="2">
        <v>45651</v>
      </c>
      <c r="I530" s="1" t="s">
        <v>127</v>
      </c>
      <c r="J530" s="1" t="s">
        <v>33</v>
      </c>
      <c r="K530" s="1" t="s">
        <v>148</v>
      </c>
      <c r="L530" s="1" t="s">
        <v>32</v>
      </c>
      <c r="M530" s="1" t="s">
        <v>74</v>
      </c>
      <c r="N530">
        <v>350637.93</v>
      </c>
      <c r="O530">
        <v>24431.98</v>
      </c>
      <c r="P530">
        <v>76955.16</v>
      </c>
      <c r="Q530">
        <v>2</v>
      </c>
      <c r="R530">
        <v>203</v>
      </c>
      <c r="S530">
        <v>2.5</v>
      </c>
      <c r="T530" s="1" t="s">
        <v>33</v>
      </c>
      <c r="U530" s="1" t="s">
        <v>33</v>
      </c>
      <c r="V530" s="1" t="s">
        <v>102</v>
      </c>
      <c r="W530" s="1" t="s">
        <v>103</v>
      </c>
    </row>
    <row r="531" spans="1:23" x14ac:dyDescent="0.35">
      <c r="A531" s="1" t="s">
        <v>1315</v>
      </c>
      <c r="B531" s="1" t="s">
        <v>761</v>
      </c>
      <c r="C531">
        <v>39</v>
      </c>
      <c r="D531" s="1" t="s">
        <v>78</v>
      </c>
      <c r="E531" s="1" t="s">
        <v>177</v>
      </c>
      <c r="F531" s="1" t="s">
        <v>135</v>
      </c>
      <c r="G531" s="1" t="s">
        <v>158</v>
      </c>
      <c r="H531" s="2">
        <v>45302</v>
      </c>
      <c r="I531" s="1" t="s">
        <v>89</v>
      </c>
      <c r="J531" s="1" t="s">
        <v>90</v>
      </c>
      <c r="K531" s="1" t="s">
        <v>208</v>
      </c>
      <c r="L531" s="1" t="s">
        <v>66</v>
      </c>
      <c r="M531" s="1" t="s">
        <v>169</v>
      </c>
      <c r="N531">
        <v>263065.77</v>
      </c>
      <c r="O531">
        <v>16885.82</v>
      </c>
      <c r="P531">
        <v>85566.080000000002</v>
      </c>
      <c r="Q531">
        <v>1</v>
      </c>
      <c r="R531">
        <v>126</v>
      </c>
      <c r="S531">
        <v>3.8</v>
      </c>
      <c r="T531" s="1" t="s">
        <v>33</v>
      </c>
      <c r="U531" s="1" t="s">
        <v>67</v>
      </c>
      <c r="V531" s="1" t="s">
        <v>68</v>
      </c>
      <c r="W531" s="1" t="s">
        <v>179</v>
      </c>
    </row>
    <row r="532" spans="1:23" x14ac:dyDescent="0.35">
      <c r="A532" s="1" t="s">
        <v>1316</v>
      </c>
      <c r="B532" s="1" t="s">
        <v>475</v>
      </c>
      <c r="C532">
        <v>14</v>
      </c>
      <c r="D532" s="1" t="s">
        <v>39</v>
      </c>
      <c r="E532" s="1" t="s">
        <v>33</v>
      </c>
      <c r="F532" s="1" t="s">
        <v>27</v>
      </c>
      <c r="G532" s="1" t="s">
        <v>1317</v>
      </c>
      <c r="H532" s="2">
        <v>46268</v>
      </c>
      <c r="I532" s="1" t="s">
        <v>257</v>
      </c>
      <c r="J532" s="1" t="s">
        <v>242</v>
      </c>
      <c r="K532" s="1" t="s">
        <v>116</v>
      </c>
      <c r="L532" s="1" t="s">
        <v>33</v>
      </c>
      <c r="M532" s="1" t="s">
        <v>57</v>
      </c>
      <c r="N532">
        <v>259341.3</v>
      </c>
      <c r="O532">
        <v>0</v>
      </c>
      <c r="P532">
        <v>75379.12</v>
      </c>
      <c r="Q532">
        <v>1</v>
      </c>
      <c r="R532">
        <v>83</v>
      </c>
      <c r="S532">
        <v>5</v>
      </c>
      <c r="T532" s="1" t="s">
        <v>33</v>
      </c>
      <c r="U532" s="1" t="s">
        <v>33</v>
      </c>
      <c r="V532" s="1" t="s">
        <v>47</v>
      </c>
      <c r="W532" s="1" t="s">
        <v>131</v>
      </c>
    </row>
    <row r="533" spans="1:23" x14ac:dyDescent="0.35">
      <c r="A533" s="1" t="s">
        <v>1318</v>
      </c>
      <c r="B533" s="1" t="s">
        <v>1018</v>
      </c>
      <c r="C533">
        <v>39</v>
      </c>
      <c r="D533" s="1" t="s">
        <v>50</v>
      </c>
      <c r="E533" s="1" t="s">
        <v>33</v>
      </c>
      <c r="F533" s="1" t="s">
        <v>98</v>
      </c>
      <c r="G533" s="1" t="s">
        <v>1319</v>
      </c>
      <c r="H533" s="2">
        <v>46068</v>
      </c>
      <c r="I533" s="1" t="s">
        <v>273</v>
      </c>
      <c r="J533" s="1" t="s">
        <v>115</v>
      </c>
      <c r="K533" s="1" t="s">
        <v>116</v>
      </c>
      <c r="L533" s="1" t="s">
        <v>92</v>
      </c>
      <c r="M533" s="1" t="s">
        <v>33</v>
      </c>
      <c r="N533">
        <v>205112.82</v>
      </c>
      <c r="O533">
        <v>54889.54</v>
      </c>
      <c r="P533">
        <v>96095.18</v>
      </c>
      <c r="Q533">
        <v>15</v>
      </c>
      <c r="R533">
        <v>0</v>
      </c>
      <c r="S533">
        <v>1.4</v>
      </c>
      <c r="T533" s="1" t="s">
        <v>33</v>
      </c>
      <c r="U533" s="1" t="s">
        <v>33</v>
      </c>
      <c r="V533" s="1" t="s">
        <v>33</v>
      </c>
      <c r="W533" s="1" t="s">
        <v>33</v>
      </c>
    </row>
    <row r="534" spans="1:23" x14ac:dyDescent="0.35">
      <c r="A534" s="1" t="s">
        <v>1320</v>
      </c>
      <c r="B534" s="1" t="s">
        <v>660</v>
      </c>
      <c r="C534">
        <v>55</v>
      </c>
      <c r="D534" s="1" t="s">
        <v>39</v>
      </c>
      <c r="E534" s="1" t="s">
        <v>219</v>
      </c>
      <c r="F534" s="1" t="s">
        <v>108</v>
      </c>
      <c r="G534" s="1" t="s">
        <v>1321</v>
      </c>
      <c r="H534" s="2">
        <v>45301</v>
      </c>
      <c r="I534" s="1" t="s">
        <v>33</v>
      </c>
      <c r="J534" s="1" t="s">
        <v>65</v>
      </c>
      <c r="K534" s="1" t="s">
        <v>81</v>
      </c>
      <c r="L534" s="1" t="s">
        <v>44</v>
      </c>
      <c r="M534" s="1" t="s">
        <v>82</v>
      </c>
      <c r="N534">
        <v>289562.3</v>
      </c>
      <c r="O534">
        <v>56744.29</v>
      </c>
      <c r="P534">
        <v>9009.07</v>
      </c>
      <c r="Q534">
        <v>2</v>
      </c>
      <c r="R534">
        <v>0</v>
      </c>
      <c r="S534">
        <v>4.8</v>
      </c>
      <c r="T534" s="1" t="s">
        <v>34</v>
      </c>
      <c r="U534" s="1" t="s">
        <v>149</v>
      </c>
      <c r="V534" s="1" t="s">
        <v>68</v>
      </c>
      <c r="W534" s="1" t="s">
        <v>83</v>
      </c>
    </row>
    <row r="535" spans="1:23" x14ac:dyDescent="0.35">
      <c r="A535" s="1" t="s">
        <v>1322</v>
      </c>
      <c r="B535" s="1" t="s">
        <v>1323</v>
      </c>
      <c r="C535">
        <v>0</v>
      </c>
      <c r="D535" s="1" t="s">
        <v>106</v>
      </c>
      <c r="E535" s="1" t="s">
        <v>157</v>
      </c>
      <c r="F535" s="1" t="s">
        <v>227</v>
      </c>
      <c r="G535" s="1" t="s">
        <v>984</v>
      </c>
      <c r="H535" s="2">
        <v>45467</v>
      </c>
      <c r="I535" s="1" t="s">
        <v>257</v>
      </c>
      <c r="J535" s="1" t="s">
        <v>33</v>
      </c>
      <c r="K535" s="1" t="s">
        <v>174</v>
      </c>
      <c r="L535" s="1" t="s">
        <v>33</v>
      </c>
      <c r="M535" s="1" t="s">
        <v>57</v>
      </c>
      <c r="N535">
        <v>240308.92</v>
      </c>
      <c r="O535">
        <v>49829.39</v>
      </c>
      <c r="P535">
        <v>41338.29</v>
      </c>
      <c r="Q535">
        <v>1</v>
      </c>
      <c r="R535">
        <v>60</v>
      </c>
      <c r="S535">
        <v>3.5</v>
      </c>
      <c r="T535" s="1" t="s">
        <v>94</v>
      </c>
      <c r="U535" s="1" t="s">
        <v>58</v>
      </c>
      <c r="V535" s="1" t="s">
        <v>33</v>
      </c>
      <c r="W535" s="1" t="s">
        <v>12</v>
      </c>
    </row>
    <row r="536" spans="1:23" x14ac:dyDescent="0.35">
      <c r="A536" s="1" t="s">
        <v>1324</v>
      </c>
      <c r="B536" s="1" t="s">
        <v>377</v>
      </c>
      <c r="C536">
        <v>13</v>
      </c>
      <c r="D536" s="1" t="s">
        <v>119</v>
      </c>
      <c r="E536" s="1" t="s">
        <v>203</v>
      </c>
      <c r="F536" s="1" t="s">
        <v>193</v>
      </c>
      <c r="G536" s="1" t="s">
        <v>1325</v>
      </c>
      <c r="H536" s="2">
        <v>46249</v>
      </c>
      <c r="I536" s="1" t="s">
        <v>33</v>
      </c>
      <c r="J536" s="1" t="s">
        <v>141</v>
      </c>
      <c r="K536" s="1" t="s">
        <v>122</v>
      </c>
      <c r="L536" s="1" t="s">
        <v>44</v>
      </c>
      <c r="M536" s="1" t="s">
        <v>82</v>
      </c>
      <c r="N536">
        <v>119944.71</v>
      </c>
      <c r="O536">
        <v>43032</v>
      </c>
      <c r="P536">
        <v>54650.36</v>
      </c>
      <c r="Q536">
        <v>2</v>
      </c>
      <c r="R536">
        <v>107</v>
      </c>
      <c r="S536">
        <v>2.4</v>
      </c>
      <c r="T536" s="1" t="s">
        <v>34</v>
      </c>
      <c r="U536" s="1" t="s">
        <v>67</v>
      </c>
      <c r="V536" s="1" t="s">
        <v>164</v>
      </c>
      <c r="W536" s="1" t="s">
        <v>103</v>
      </c>
    </row>
    <row r="537" spans="1:23" x14ac:dyDescent="0.35">
      <c r="A537" s="1" t="s">
        <v>1326</v>
      </c>
      <c r="B537" s="1" t="s">
        <v>574</v>
      </c>
      <c r="C537">
        <v>0</v>
      </c>
      <c r="D537" s="1" t="s">
        <v>71</v>
      </c>
      <c r="E537" s="1" t="s">
        <v>86</v>
      </c>
      <c r="F537" s="1" t="s">
        <v>145</v>
      </c>
      <c r="G537" s="1" t="s">
        <v>1327</v>
      </c>
      <c r="H537" s="2">
        <v>45797</v>
      </c>
      <c r="I537" s="1" t="s">
        <v>33</v>
      </c>
      <c r="J537" s="1" t="s">
        <v>33</v>
      </c>
      <c r="K537" s="1" t="s">
        <v>163</v>
      </c>
      <c r="L537" s="1" t="s">
        <v>56</v>
      </c>
      <c r="M537" s="1" t="s">
        <v>57</v>
      </c>
      <c r="N537">
        <v>244986.73</v>
      </c>
      <c r="O537">
        <v>65721.440000000002</v>
      </c>
      <c r="P537">
        <v>776.04</v>
      </c>
      <c r="Q537">
        <v>2</v>
      </c>
      <c r="R537">
        <v>51</v>
      </c>
      <c r="S537">
        <v>4.0999999999999996</v>
      </c>
      <c r="T537" s="1" t="s">
        <v>46</v>
      </c>
      <c r="U537" s="1" t="s">
        <v>95</v>
      </c>
      <c r="V537" s="1" t="s">
        <v>102</v>
      </c>
      <c r="W537" s="1" t="s">
        <v>12</v>
      </c>
    </row>
    <row r="538" spans="1:23" x14ac:dyDescent="0.35">
      <c r="A538" s="1" t="s">
        <v>1328</v>
      </c>
      <c r="B538" s="1" t="s">
        <v>1132</v>
      </c>
      <c r="C538">
        <v>33</v>
      </c>
      <c r="D538" s="1" t="s">
        <v>25</v>
      </c>
      <c r="E538" s="1" t="s">
        <v>203</v>
      </c>
      <c r="F538" s="1" t="s">
        <v>56</v>
      </c>
      <c r="G538" s="1" t="s">
        <v>1329</v>
      </c>
      <c r="H538" s="2">
        <v>45574</v>
      </c>
      <c r="I538" s="1" t="s">
        <v>53</v>
      </c>
      <c r="J538" s="1" t="s">
        <v>147</v>
      </c>
      <c r="K538" s="1" t="s">
        <v>163</v>
      </c>
      <c r="L538" s="1" t="s">
        <v>66</v>
      </c>
      <c r="M538" s="1" t="s">
        <v>33</v>
      </c>
      <c r="N538">
        <v>123084.95</v>
      </c>
      <c r="O538">
        <v>0</v>
      </c>
      <c r="P538">
        <v>48103.14</v>
      </c>
      <c r="Q538">
        <v>7</v>
      </c>
      <c r="R538">
        <v>248</v>
      </c>
      <c r="S538">
        <v>4.0999999999999996</v>
      </c>
      <c r="T538" s="1" t="s">
        <v>34</v>
      </c>
      <c r="U538" s="1" t="s">
        <v>95</v>
      </c>
      <c r="V538" s="1" t="s">
        <v>47</v>
      </c>
      <c r="W538" s="1" t="s">
        <v>59</v>
      </c>
    </row>
    <row r="539" spans="1:23" x14ac:dyDescent="0.35">
      <c r="A539" s="1" t="s">
        <v>1330</v>
      </c>
      <c r="B539" s="1" t="s">
        <v>701</v>
      </c>
      <c r="C539">
        <v>50</v>
      </c>
      <c r="D539" s="1" t="s">
        <v>71</v>
      </c>
      <c r="E539" s="1" t="s">
        <v>33</v>
      </c>
      <c r="F539" s="1" t="s">
        <v>56</v>
      </c>
      <c r="G539" s="1" t="s">
        <v>1331</v>
      </c>
      <c r="H539" s="2">
        <v>45459</v>
      </c>
      <c r="I539" s="1" t="s">
        <v>29</v>
      </c>
      <c r="J539" s="1" t="s">
        <v>87</v>
      </c>
      <c r="K539" s="1" t="s">
        <v>128</v>
      </c>
      <c r="L539" s="1" t="s">
        <v>56</v>
      </c>
      <c r="M539" s="1" t="s">
        <v>123</v>
      </c>
      <c r="N539">
        <v>218447.12</v>
      </c>
      <c r="O539">
        <v>9674.64</v>
      </c>
      <c r="P539">
        <v>69698.399999999994</v>
      </c>
      <c r="Q539">
        <v>3</v>
      </c>
      <c r="R539">
        <v>111</v>
      </c>
      <c r="S539">
        <v>3.7</v>
      </c>
      <c r="T539" s="1" t="s">
        <v>33</v>
      </c>
      <c r="U539" s="1" t="s">
        <v>149</v>
      </c>
      <c r="V539" s="1" t="s">
        <v>47</v>
      </c>
      <c r="W539" s="1" t="s">
        <v>179</v>
      </c>
    </row>
    <row r="540" spans="1:23" x14ac:dyDescent="0.35">
      <c r="A540" s="1" t="s">
        <v>1332</v>
      </c>
      <c r="B540" s="1" t="s">
        <v>904</v>
      </c>
      <c r="C540">
        <v>71</v>
      </c>
      <c r="D540" s="1" t="s">
        <v>119</v>
      </c>
      <c r="E540" s="1" t="s">
        <v>40</v>
      </c>
      <c r="F540" s="1" t="s">
        <v>44</v>
      </c>
      <c r="G540" s="1" t="s">
        <v>1333</v>
      </c>
      <c r="H540" s="2">
        <v>45805</v>
      </c>
      <c r="I540" s="1" t="s">
        <v>235</v>
      </c>
      <c r="J540" s="1" t="s">
        <v>115</v>
      </c>
      <c r="K540" s="1" t="s">
        <v>81</v>
      </c>
      <c r="L540" s="1" t="s">
        <v>33</v>
      </c>
      <c r="M540" s="1" t="s">
        <v>169</v>
      </c>
      <c r="N540">
        <v>313058.38</v>
      </c>
      <c r="O540">
        <v>16176.98</v>
      </c>
      <c r="P540">
        <v>75054.75</v>
      </c>
      <c r="Q540">
        <v>1</v>
      </c>
      <c r="R540">
        <v>57</v>
      </c>
      <c r="S540">
        <v>2.7</v>
      </c>
      <c r="T540" s="1" t="s">
        <v>154</v>
      </c>
      <c r="U540" s="1" t="s">
        <v>33</v>
      </c>
      <c r="V540" s="1" t="s">
        <v>164</v>
      </c>
      <c r="W540" s="1" t="s">
        <v>12</v>
      </c>
    </row>
    <row r="541" spans="1:23" x14ac:dyDescent="0.35">
      <c r="A541" s="1" t="s">
        <v>1334</v>
      </c>
      <c r="B541" s="1" t="s">
        <v>350</v>
      </c>
      <c r="C541">
        <v>4</v>
      </c>
      <c r="D541" s="1" t="s">
        <v>25</v>
      </c>
      <c r="E541" s="1" t="s">
        <v>263</v>
      </c>
      <c r="F541" s="1" t="s">
        <v>27</v>
      </c>
      <c r="G541" s="1" t="s">
        <v>554</v>
      </c>
      <c r="H541" s="2">
        <v>45580</v>
      </c>
      <c r="I541" s="1" t="s">
        <v>257</v>
      </c>
      <c r="J541" s="1" t="s">
        <v>65</v>
      </c>
      <c r="K541" s="1" t="s">
        <v>33</v>
      </c>
      <c r="L541" s="1" t="s">
        <v>56</v>
      </c>
      <c r="M541" s="1" t="s">
        <v>183</v>
      </c>
      <c r="N541">
        <v>286015.93</v>
      </c>
      <c r="O541">
        <v>0</v>
      </c>
      <c r="P541">
        <v>8146.69</v>
      </c>
      <c r="Q541">
        <v>1</v>
      </c>
      <c r="R541">
        <v>0</v>
      </c>
      <c r="S541">
        <v>3.6</v>
      </c>
      <c r="T541" s="1" t="s">
        <v>33</v>
      </c>
      <c r="U541" s="1" t="s">
        <v>35</v>
      </c>
      <c r="V541" s="1" t="s">
        <v>102</v>
      </c>
      <c r="W541" s="1" t="s">
        <v>59</v>
      </c>
    </row>
    <row r="542" spans="1:23" x14ac:dyDescent="0.35">
      <c r="A542" s="1" t="s">
        <v>1335</v>
      </c>
      <c r="B542" s="1" t="s">
        <v>252</v>
      </c>
      <c r="C542">
        <v>35</v>
      </c>
      <c r="D542" s="1" t="s">
        <v>39</v>
      </c>
      <c r="E542" s="1" t="s">
        <v>26</v>
      </c>
      <c r="F542" s="1" t="s">
        <v>193</v>
      </c>
      <c r="G542" s="1" t="s">
        <v>1336</v>
      </c>
      <c r="H542" s="2">
        <v>45443</v>
      </c>
      <c r="I542" s="1" t="s">
        <v>159</v>
      </c>
      <c r="J542" s="1" t="s">
        <v>87</v>
      </c>
      <c r="K542" s="1" t="s">
        <v>33</v>
      </c>
      <c r="L542" s="1" t="s">
        <v>44</v>
      </c>
      <c r="M542" s="1" t="s">
        <v>129</v>
      </c>
      <c r="N542">
        <v>74039.12</v>
      </c>
      <c r="O542">
        <v>694.16</v>
      </c>
      <c r="P542">
        <v>58931.1</v>
      </c>
      <c r="Q542">
        <v>2</v>
      </c>
      <c r="R542">
        <v>53</v>
      </c>
      <c r="S542">
        <v>4.0999999999999996</v>
      </c>
      <c r="T542" s="1" t="s">
        <v>94</v>
      </c>
      <c r="U542" s="1" t="s">
        <v>58</v>
      </c>
      <c r="V542" s="1" t="s">
        <v>68</v>
      </c>
      <c r="W542" s="1" t="s">
        <v>59</v>
      </c>
    </row>
    <row r="543" spans="1:23" x14ac:dyDescent="0.35">
      <c r="A543" s="1" t="s">
        <v>1337</v>
      </c>
      <c r="B543" s="1" t="s">
        <v>309</v>
      </c>
      <c r="C543">
        <v>46</v>
      </c>
      <c r="D543" s="1" t="s">
        <v>50</v>
      </c>
      <c r="E543" s="1" t="s">
        <v>219</v>
      </c>
      <c r="F543" s="1" t="s">
        <v>27</v>
      </c>
      <c r="G543" s="1" t="s">
        <v>1338</v>
      </c>
      <c r="H543" s="2">
        <v>45665</v>
      </c>
      <c r="I543" s="1" t="s">
        <v>168</v>
      </c>
      <c r="J543" s="1" t="s">
        <v>30</v>
      </c>
      <c r="K543" s="1" t="s">
        <v>122</v>
      </c>
      <c r="L543" s="1" t="s">
        <v>44</v>
      </c>
      <c r="M543" s="1" t="s">
        <v>45</v>
      </c>
      <c r="N543">
        <v>402458.93</v>
      </c>
      <c r="O543">
        <v>44654.15</v>
      </c>
      <c r="P543">
        <v>32627.59</v>
      </c>
      <c r="Q543">
        <v>1</v>
      </c>
      <c r="R543">
        <v>114</v>
      </c>
      <c r="S543">
        <v>3.4</v>
      </c>
      <c r="T543" s="1" t="s">
        <v>46</v>
      </c>
      <c r="U543" s="1" t="s">
        <v>95</v>
      </c>
      <c r="V543" s="1" t="s">
        <v>130</v>
      </c>
      <c r="W543" s="1" t="s">
        <v>103</v>
      </c>
    </row>
    <row r="544" spans="1:23" x14ac:dyDescent="0.35">
      <c r="A544" s="1" t="s">
        <v>1339</v>
      </c>
      <c r="B544" s="1" t="s">
        <v>406</v>
      </c>
      <c r="C544">
        <v>35</v>
      </c>
      <c r="D544" s="1" t="s">
        <v>106</v>
      </c>
      <c r="E544" s="1" t="s">
        <v>72</v>
      </c>
      <c r="F544" s="1" t="s">
        <v>63</v>
      </c>
      <c r="G544" s="1" t="s">
        <v>1327</v>
      </c>
      <c r="H544" s="2">
        <v>45798</v>
      </c>
      <c r="I544" s="1" t="s">
        <v>127</v>
      </c>
      <c r="J544" s="1" t="s">
        <v>87</v>
      </c>
      <c r="K544" s="1" t="s">
        <v>116</v>
      </c>
      <c r="L544" s="1" t="s">
        <v>44</v>
      </c>
      <c r="M544" s="1" t="s">
        <v>33</v>
      </c>
      <c r="N544">
        <v>196993.07</v>
      </c>
      <c r="O544">
        <v>35302.33</v>
      </c>
      <c r="P544">
        <v>15199.24</v>
      </c>
      <c r="Q544">
        <v>3</v>
      </c>
      <c r="R544">
        <v>18</v>
      </c>
      <c r="S544">
        <v>1.9</v>
      </c>
      <c r="T544" s="1" t="s">
        <v>33</v>
      </c>
      <c r="U544" s="1" t="s">
        <v>149</v>
      </c>
      <c r="V544" s="1" t="s">
        <v>47</v>
      </c>
      <c r="W544" s="1" t="s">
        <v>103</v>
      </c>
    </row>
    <row r="545" spans="1:23" x14ac:dyDescent="0.35">
      <c r="A545" s="1" t="s">
        <v>1340</v>
      </c>
      <c r="B545" s="1" t="s">
        <v>580</v>
      </c>
      <c r="C545">
        <v>16</v>
      </c>
      <c r="D545" s="1" t="s">
        <v>39</v>
      </c>
      <c r="E545" s="1" t="s">
        <v>86</v>
      </c>
      <c r="F545" s="1" t="s">
        <v>120</v>
      </c>
      <c r="G545" s="1" t="s">
        <v>1341</v>
      </c>
      <c r="H545" s="2">
        <v>45508</v>
      </c>
      <c r="I545" s="1" t="s">
        <v>277</v>
      </c>
      <c r="J545" s="1" t="s">
        <v>65</v>
      </c>
      <c r="K545" s="1" t="s">
        <v>208</v>
      </c>
      <c r="L545" s="1" t="s">
        <v>92</v>
      </c>
      <c r="M545" s="1" t="s">
        <v>57</v>
      </c>
      <c r="N545">
        <v>242324.75</v>
      </c>
      <c r="O545">
        <v>7680.31</v>
      </c>
      <c r="P545">
        <v>60408.43</v>
      </c>
      <c r="Q545">
        <v>1</v>
      </c>
      <c r="R545">
        <v>97</v>
      </c>
      <c r="S545">
        <v>1.1000000000000001</v>
      </c>
      <c r="T545" s="1" t="s">
        <v>34</v>
      </c>
      <c r="U545" s="1" t="s">
        <v>101</v>
      </c>
      <c r="V545" s="1" t="s">
        <v>68</v>
      </c>
      <c r="W545" s="1" t="s">
        <v>33</v>
      </c>
    </row>
    <row r="546" spans="1:23" x14ac:dyDescent="0.35">
      <c r="A546" s="1" t="s">
        <v>1342</v>
      </c>
      <c r="B546" s="1" t="s">
        <v>1343</v>
      </c>
      <c r="C546">
        <v>60</v>
      </c>
      <c r="D546" s="1" t="s">
        <v>78</v>
      </c>
      <c r="E546" s="1" t="s">
        <v>51</v>
      </c>
      <c r="F546" s="1" t="s">
        <v>135</v>
      </c>
      <c r="G546" s="1" t="s">
        <v>1344</v>
      </c>
      <c r="H546" s="2">
        <v>45842</v>
      </c>
      <c r="I546" s="1" t="s">
        <v>159</v>
      </c>
      <c r="J546" s="1" t="s">
        <v>115</v>
      </c>
      <c r="K546" s="1" t="s">
        <v>174</v>
      </c>
      <c r="L546" s="1" t="s">
        <v>33</v>
      </c>
      <c r="M546" s="1" t="s">
        <v>93</v>
      </c>
      <c r="N546">
        <v>80859.23</v>
      </c>
      <c r="O546">
        <v>40504.79</v>
      </c>
      <c r="P546">
        <v>19305.05</v>
      </c>
      <c r="Q546">
        <v>4</v>
      </c>
      <c r="R546">
        <v>102</v>
      </c>
      <c r="S546">
        <v>2.1</v>
      </c>
      <c r="T546" s="1" t="s">
        <v>33</v>
      </c>
      <c r="U546" s="1" t="s">
        <v>67</v>
      </c>
      <c r="V546" s="1" t="s">
        <v>47</v>
      </c>
      <c r="W546" s="1" t="s">
        <v>33</v>
      </c>
    </row>
    <row r="547" spans="1:23" x14ac:dyDescent="0.35">
      <c r="A547" s="1" t="s">
        <v>1345</v>
      </c>
      <c r="B547" s="1" t="s">
        <v>736</v>
      </c>
      <c r="C547">
        <v>34</v>
      </c>
      <c r="D547" s="1" t="s">
        <v>119</v>
      </c>
      <c r="E547" s="1" t="s">
        <v>192</v>
      </c>
      <c r="F547" s="1" t="s">
        <v>193</v>
      </c>
      <c r="G547" s="1" t="s">
        <v>1346</v>
      </c>
      <c r="H547" s="2">
        <v>46102</v>
      </c>
      <c r="I547" s="1" t="s">
        <v>29</v>
      </c>
      <c r="J547" s="1" t="s">
        <v>80</v>
      </c>
      <c r="K547" s="1" t="s">
        <v>163</v>
      </c>
      <c r="L547" s="1" t="s">
        <v>66</v>
      </c>
      <c r="M547" s="1" t="s">
        <v>169</v>
      </c>
      <c r="N547">
        <v>202677.95</v>
      </c>
      <c r="O547">
        <v>20058.009999999998</v>
      </c>
      <c r="P547">
        <v>9479.08</v>
      </c>
      <c r="Q547">
        <v>1</v>
      </c>
      <c r="R547">
        <v>65</v>
      </c>
      <c r="S547">
        <v>4.0999999999999996</v>
      </c>
      <c r="T547" s="1" t="s">
        <v>154</v>
      </c>
      <c r="U547" s="1" t="s">
        <v>95</v>
      </c>
      <c r="V547" s="1" t="s">
        <v>68</v>
      </c>
      <c r="W547" s="1" t="s">
        <v>179</v>
      </c>
    </row>
    <row r="548" spans="1:23" x14ac:dyDescent="0.35">
      <c r="A548" s="1" t="s">
        <v>1347</v>
      </c>
      <c r="B548" s="1" t="s">
        <v>688</v>
      </c>
      <c r="C548">
        <v>47</v>
      </c>
      <c r="D548" s="1" t="s">
        <v>39</v>
      </c>
      <c r="E548" s="1" t="s">
        <v>62</v>
      </c>
      <c r="F548" s="1" t="s">
        <v>193</v>
      </c>
      <c r="G548" s="1" t="s">
        <v>1348</v>
      </c>
      <c r="H548" s="2">
        <v>45870</v>
      </c>
      <c r="I548" s="1" t="s">
        <v>29</v>
      </c>
      <c r="J548" s="1" t="s">
        <v>30</v>
      </c>
      <c r="K548" s="1" t="s">
        <v>163</v>
      </c>
      <c r="L548" s="1" t="s">
        <v>44</v>
      </c>
      <c r="M548" s="1" t="s">
        <v>45</v>
      </c>
      <c r="N548">
        <v>126183.87</v>
      </c>
      <c r="O548">
        <v>59292.95</v>
      </c>
      <c r="P548">
        <v>9714.7999999999993</v>
      </c>
      <c r="Q548">
        <v>3</v>
      </c>
      <c r="R548">
        <v>131</v>
      </c>
      <c r="S548">
        <v>5</v>
      </c>
      <c r="T548" s="1" t="s">
        <v>154</v>
      </c>
      <c r="U548" s="1" t="s">
        <v>101</v>
      </c>
      <c r="V548" s="1" t="s">
        <v>130</v>
      </c>
      <c r="W548" s="1" t="s">
        <v>33</v>
      </c>
    </row>
    <row r="549" spans="1:23" x14ac:dyDescent="0.35">
      <c r="A549" s="1" t="s">
        <v>1349</v>
      </c>
      <c r="B549" s="1" t="s">
        <v>1350</v>
      </c>
      <c r="C549">
        <v>38</v>
      </c>
      <c r="D549" s="1" t="s">
        <v>25</v>
      </c>
      <c r="E549" s="1" t="s">
        <v>192</v>
      </c>
      <c r="F549" s="1" t="s">
        <v>108</v>
      </c>
      <c r="G549" s="1" t="s">
        <v>1351</v>
      </c>
      <c r="H549" s="2">
        <v>45570</v>
      </c>
      <c r="I549" s="1" t="s">
        <v>53</v>
      </c>
      <c r="J549" s="1" t="s">
        <v>54</v>
      </c>
      <c r="K549" s="1" t="s">
        <v>31</v>
      </c>
      <c r="L549" s="1" t="s">
        <v>66</v>
      </c>
      <c r="M549" s="1" t="s">
        <v>169</v>
      </c>
      <c r="N549">
        <v>146038.41</v>
      </c>
      <c r="O549">
        <v>55902.19</v>
      </c>
      <c r="P549">
        <v>2310.75</v>
      </c>
      <c r="Q549">
        <v>4</v>
      </c>
      <c r="R549">
        <v>22</v>
      </c>
      <c r="S549">
        <v>3.2</v>
      </c>
      <c r="T549" s="1" t="s">
        <v>94</v>
      </c>
      <c r="U549" s="1" t="s">
        <v>149</v>
      </c>
      <c r="V549" s="1" t="s">
        <v>164</v>
      </c>
      <c r="W549" s="1" t="s">
        <v>83</v>
      </c>
    </row>
    <row r="550" spans="1:23" x14ac:dyDescent="0.35">
      <c r="A550" s="1" t="s">
        <v>1352</v>
      </c>
      <c r="B550" s="1" t="s">
        <v>1005</v>
      </c>
      <c r="C550">
        <v>51</v>
      </c>
      <c r="D550" s="1" t="s">
        <v>106</v>
      </c>
      <c r="E550" s="1" t="s">
        <v>219</v>
      </c>
      <c r="F550" s="1" t="s">
        <v>227</v>
      </c>
      <c r="G550" s="1" t="s">
        <v>1353</v>
      </c>
      <c r="H550" s="2">
        <v>45963</v>
      </c>
      <c r="I550" s="1" t="s">
        <v>221</v>
      </c>
      <c r="J550" s="1" t="s">
        <v>80</v>
      </c>
      <c r="K550" s="1" t="s">
        <v>174</v>
      </c>
      <c r="L550" s="1" t="s">
        <v>66</v>
      </c>
      <c r="M550" s="1" t="s">
        <v>33</v>
      </c>
      <c r="N550">
        <v>84473.59</v>
      </c>
      <c r="O550">
        <v>22242.31</v>
      </c>
      <c r="P550">
        <v>26570.31</v>
      </c>
      <c r="Q550">
        <v>7</v>
      </c>
      <c r="R550">
        <v>41</v>
      </c>
      <c r="S550">
        <v>5</v>
      </c>
      <c r="T550" s="1" t="s">
        <v>34</v>
      </c>
      <c r="U550" s="1" t="s">
        <v>33</v>
      </c>
      <c r="V550" s="1" t="s">
        <v>164</v>
      </c>
      <c r="W550" s="1" t="s">
        <v>103</v>
      </c>
    </row>
    <row r="551" spans="1:23" x14ac:dyDescent="0.35">
      <c r="A551" s="1" t="s">
        <v>1354</v>
      </c>
      <c r="B551" s="1" t="s">
        <v>338</v>
      </c>
      <c r="C551">
        <v>78</v>
      </c>
      <c r="D551" s="1" t="s">
        <v>25</v>
      </c>
      <c r="E551" s="1" t="s">
        <v>62</v>
      </c>
      <c r="F551" s="1" t="s">
        <v>56</v>
      </c>
      <c r="G551" s="1" t="s">
        <v>1355</v>
      </c>
      <c r="H551" s="2">
        <v>45309</v>
      </c>
      <c r="I551" s="1" t="s">
        <v>29</v>
      </c>
      <c r="J551" s="1" t="s">
        <v>33</v>
      </c>
      <c r="K551" s="1" t="s">
        <v>116</v>
      </c>
      <c r="L551" s="1" t="s">
        <v>33</v>
      </c>
      <c r="M551" s="1" t="s">
        <v>82</v>
      </c>
      <c r="N551">
        <v>335952.16</v>
      </c>
      <c r="O551">
        <v>57271.54</v>
      </c>
      <c r="P551">
        <v>31111.81</v>
      </c>
      <c r="Q551">
        <v>1</v>
      </c>
      <c r="R551">
        <v>83</v>
      </c>
      <c r="S551">
        <v>1.8</v>
      </c>
      <c r="T551" s="1" t="s">
        <v>94</v>
      </c>
      <c r="U551" s="1" t="s">
        <v>101</v>
      </c>
      <c r="V551" s="1" t="s">
        <v>33</v>
      </c>
      <c r="W551" s="1" t="s">
        <v>59</v>
      </c>
    </row>
    <row r="552" spans="1:23" x14ac:dyDescent="0.35">
      <c r="A552" s="1" t="s">
        <v>1356</v>
      </c>
      <c r="B552" s="1" t="s">
        <v>723</v>
      </c>
      <c r="C552">
        <v>53</v>
      </c>
      <c r="D552" s="1" t="s">
        <v>39</v>
      </c>
      <c r="E552" s="1" t="s">
        <v>219</v>
      </c>
      <c r="F552" s="1" t="s">
        <v>135</v>
      </c>
      <c r="G552" s="1" t="s">
        <v>932</v>
      </c>
      <c r="H552" s="2">
        <v>45531</v>
      </c>
      <c r="I552" s="1" t="s">
        <v>33</v>
      </c>
      <c r="J552" s="1" t="s">
        <v>87</v>
      </c>
      <c r="K552" s="1" t="s">
        <v>91</v>
      </c>
      <c r="L552" s="1" t="s">
        <v>32</v>
      </c>
      <c r="M552" s="1" t="s">
        <v>142</v>
      </c>
      <c r="N552">
        <v>401448.83</v>
      </c>
      <c r="O552">
        <v>2321.08</v>
      </c>
      <c r="P552">
        <v>34034.82</v>
      </c>
      <c r="Q552">
        <v>2</v>
      </c>
      <c r="R552">
        <v>83</v>
      </c>
      <c r="S552">
        <v>1.9</v>
      </c>
      <c r="T552" s="1" t="s">
        <v>33</v>
      </c>
      <c r="U552" s="1" t="s">
        <v>149</v>
      </c>
      <c r="V552" s="1" t="s">
        <v>68</v>
      </c>
      <c r="W552" s="1" t="s">
        <v>33</v>
      </c>
    </row>
    <row r="553" spans="1:23" x14ac:dyDescent="0.35">
      <c r="A553" s="1" t="s">
        <v>1357</v>
      </c>
      <c r="B553" s="1" t="s">
        <v>226</v>
      </c>
      <c r="C553">
        <v>27</v>
      </c>
      <c r="D553" s="1" t="s">
        <v>71</v>
      </c>
      <c r="E553" s="1" t="s">
        <v>86</v>
      </c>
      <c r="F553" s="1" t="s">
        <v>135</v>
      </c>
      <c r="G553" s="1" t="s">
        <v>1358</v>
      </c>
      <c r="H553" s="2">
        <v>45999</v>
      </c>
      <c r="I553" s="1" t="s">
        <v>221</v>
      </c>
      <c r="J553" s="1" t="s">
        <v>115</v>
      </c>
      <c r="K553" s="1" t="s">
        <v>31</v>
      </c>
      <c r="L553" s="1" t="s">
        <v>56</v>
      </c>
      <c r="M553" s="1" t="s">
        <v>33</v>
      </c>
      <c r="N553">
        <v>192645.35</v>
      </c>
      <c r="O553">
        <v>18701.27</v>
      </c>
      <c r="P553">
        <v>21319.84</v>
      </c>
      <c r="Q553">
        <v>4</v>
      </c>
      <c r="R553">
        <v>94</v>
      </c>
      <c r="S553">
        <v>3.4</v>
      </c>
      <c r="T553" s="1" t="s">
        <v>33</v>
      </c>
      <c r="U553" s="1" t="s">
        <v>35</v>
      </c>
      <c r="V553" s="1" t="s">
        <v>102</v>
      </c>
      <c r="W553" s="1" t="s">
        <v>36</v>
      </c>
    </row>
    <row r="554" spans="1:23" x14ac:dyDescent="0.35">
      <c r="A554" s="1" t="s">
        <v>1359</v>
      </c>
      <c r="B554" s="1" t="s">
        <v>1040</v>
      </c>
      <c r="C554">
        <v>26</v>
      </c>
      <c r="D554" s="1" t="s">
        <v>119</v>
      </c>
      <c r="E554" s="1" t="s">
        <v>177</v>
      </c>
      <c r="F554" s="1" t="s">
        <v>108</v>
      </c>
      <c r="G554" s="1" t="s">
        <v>1360</v>
      </c>
      <c r="H554" s="2">
        <v>46251</v>
      </c>
      <c r="I554" s="1" t="s">
        <v>221</v>
      </c>
      <c r="J554" s="1" t="s">
        <v>242</v>
      </c>
      <c r="K554" s="1" t="s">
        <v>163</v>
      </c>
      <c r="L554" s="1" t="s">
        <v>33</v>
      </c>
      <c r="M554" s="1" t="s">
        <v>82</v>
      </c>
      <c r="N554">
        <v>264733.45</v>
      </c>
      <c r="O554">
        <v>71340.429999999993</v>
      </c>
      <c r="P554">
        <v>49196.62</v>
      </c>
      <c r="Q554">
        <v>2</v>
      </c>
      <c r="R554">
        <v>169</v>
      </c>
      <c r="S554">
        <v>1.9</v>
      </c>
      <c r="T554" s="1" t="s">
        <v>33</v>
      </c>
      <c r="U554" s="1" t="s">
        <v>95</v>
      </c>
      <c r="V554" s="1" t="s">
        <v>75</v>
      </c>
      <c r="W554" s="1" t="s">
        <v>33</v>
      </c>
    </row>
    <row r="555" spans="1:23" x14ac:dyDescent="0.35">
      <c r="A555" s="1" t="s">
        <v>1361</v>
      </c>
      <c r="B555" s="1" t="s">
        <v>833</v>
      </c>
      <c r="C555">
        <v>18</v>
      </c>
      <c r="D555" s="1" t="s">
        <v>78</v>
      </c>
      <c r="E555" s="1" t="s">
        <v>107</v>
      </c>
      <c r="F555" s="1" t="s">
        <v>227</v>
      </c>
      <c r="G555" s="1" t="s">
        <v>1166</v>
      </c>
      <c r="H555" s="2">
        <v>45749</v>
      </c>
      <c r="I555" s="1" t="s">
        <v>33</v>
      </c>
      <c r="J555" s="1" t="s">
        <v>147</v>
      </c>
      <c r="K555" s="1" t="s">
        <v>31</v>
      </c>
      <c r="L555" s="1" t="s">
        <v>44</v>
      </c>
      <c r="M555" s="1" t="s">
        <v>123</v>
      </c>
      <c r="N555">
        <v>13230.51</v>
      </c>
      <c r="O555">
        <v>11515.71</v>
      </c>
      <c r="P555">
        <v>80756.98</v>
      </c>
      <c r="Q555">
        <v>3</v>
      </c>
      <c r="R555">
        <v>166</v>
      </c>
      <c r="S555">
        <v>4</v>
      </c>
      <c r="T555" s="1" t="s">
        <v>34</v>
      </c>
      <c r="U555" s="1" t="s">
        <v>58</v>
      </c>
      <c r="V555" s="1" t="s">
        <v>75</v>
      </c>
      <c r="W555" s="1" t="s">
        <v>36</v>
      </c>
    </row>
    <row r="556" spans="1:23" x14ac:dyDescent="0.35">
      <c r="A556" s="1" t="s">
        <v>1362</v>
      </c>
      <c r="B556" s="1" t="s">
        <v>318</v>
      </c>
      <c r="C556">
        <v>38</v>
      </c>
      <c r="D556" s="1" t="s">
        <v>71</v>
      </c>
      <c r="E556" s="1" t="s">
        <v>26</v>
      </c>
      <c r="F556" s="1" t="s">
        <v>108</v>
      </c>
      <c r="G556" s="1" t="s">
        <v>1363</v>
      </c>
      <c r="H556" s="2">
        <v>46227</v>
      </c>
      <c r="I556" s="1" t="s">
        <v>168</v>
      </c>
      <c r="J556" s="1" t="s">
        <v>115</v>
      </c>
      <c r="K556" s="1" t="s">
        <v>163</v>
      </c>
      <c r="L556" s="1" t="s">
        <v>66</v>
      </c>
      <c r="M556" s="1" t="s">
        <v>33</v>
      </c>
      <c r="N556">
        <v>262238</v>
      </c>
      <c r="O556">
        <v>34388.410000000003</v>
      </c>
      <c r="P556">
        <v>0</v>
      </c>
      <c r="Q556">
        <v>1</v>
      </c>
      <c r="R556">
        <v>28</v>
      </c>
      <c r="S556">
        <v>3.6</v>
      </c>
      <c r="T556" s="1" t="s">
        <v>154</v>
      </c>
      <c r="U556" s="1" t="s">
        <v>101</v>
      </c>
      <c r="V556" s="1" t="s">
        <v>33</v>
      </c>
      <c r="W556" s="1" t="s">
        <v>131</v>
      </c>
    </row>
    <row r="557" spans="1:23" x14ac:dyDescent="0.35">
      <c r="A557" s="1" t="s">
        <v>1364</v>
      </c>
      <c r="B557" s="1" t="s">
        <v>1365</v>
      </c>
      <c r="C557">
        <v>0</v>
      </c>
      <c r="D557" s="1" t="s">
        <v>25</v>
      </c>
      <c r="E557" s="1" t="s">
        <v>219</v>
      </c>
      <c r="F557" s="1" t="s">
        <v>120</v>
      </c>
      <c r="G557" s="1" t="s">
        <v>1366</v>
      </c>
      <c r="H557" s="2">
        <v>45637</v>
      </c>
      <c r="I557" s="1" t="s">
        <v>53</v>
      </c>
      <c r="J557" s="1" t="s">
        <v>90</v>
      </c>
      <c r="K557" s="1" t="s">
        <v>163</v>
      </c>
      <c r="L557" s="1" t="s">
        <v>32</v>
      </c>
      <c r="M557" s="1" t="s">
        <v>129</v>
      </c>
      <c r="N557">
        <v>197302.64</v>
      </c>
      <c r="O557">
        <v>33576.22</v>
      </c>
      <c r="P557">
        <v>70488.36</v>
      </c>
      <c r="Q557">
        <v>4</v>
      </c>
      <c r="R557">
        <v>146</v>
      </c>
      <c r="S557">
        <v>4.5</v>
      </c>
      <c r="T557" s="1" t="s">
        <v>46</v>
      </c>
      <c r="U557" s="1" t="s">
        <v>67</v>
      </c>
      <c r="V557" s="1" t="s">
        <v>102</v>
      </c>
      <c r="W557" s="1" t="s">
        <v>179</v>
      </c>
    </row>
    <row r="558" spans="1:23" x14ac:dyDescent="0.35">
      <c r="A558" s="1" t="s">
        <v>1367</v>
      </c>
      <c r="B558" s="1" t="s">
        <v>829</v>
      </c>
      <c r="C558">
        <v>1</v>
      </c>
      <c r="D558" s="1" t="s">
        <v>106</v>
      </c>
      <c r="E558" s="1" t="s">
        <v>263</v>
      </c>
      <c r="F558" s="1" t="s">
        <v>98</v>
      </c>
      <c r="G558" s="1" t="s">
        <v>730</v>
      </c>
      <c r="H558" s="2">
        <v>45970</v>
      </c>
      <c r="I558" s="1" t="s">
        <v>221</v>
      </c>
      <c r="J558" s="1" t="s">
        <v>43</v>
      </c>
      <c r="K558" s="1" t="s">
        <v>148</v>
      </c>
      <c r="L558" s="1" t="s">
        <v>33</v>
      </c>
      <c r="M558" s="1" t="s">
        <v>45</v>
      </c>
      <c r="N558">
        <v>164972.60999999999</v>
      </c>
      <c r="O558">
        <v>55040.800000000003</v>
      </c>
      <c r="P558">
        <v>86803.64</v>
      </c>
      <c r="Q558">
        <v>1</v>
      </c>
      <c r="R558">
        <v>148</v>
      </c>
      <c r="S558">
        <v>4.3</v>
      </c>
      <c r="T558" s="1" t="s">
        <v>154</v>
      </c>
      <c r="U558" s="1" t="s">
        <v>149</v>
      </c>
      <c r="V558" s="1" t="s">
        <v>47</v>
      </c>
      <c r="W558" s="1" t="s">
        <v>83</v>
      </c>
    </row>
    <row r="559" spans="1:23" x14ac:dyDescent="0.35">
      <c r="A559" s="1" t="s">
        <v>1368</v>
      </c>
      <c r="B559" s="1" t="s">
        <v>1066</v>
      </c>
      <c r="C559">
        <v>30</v>
      </c>
      <c r="D559" s="1" t="s">
        <v>50</v>
      </c>
      <c r="E559" s="1" t="s">
        <v>177</v>
      </c>
      <c r="F559" s="1" t="s">
        <v>120</v>
      </c>
      <c r="G559" s="1" t="s">
        <v>906</v>
      </c>
      <c r="H559" s="2">
        <v>45733</v>
      </c>
      <c r="I559" s="1" t="s">
        <v>235</v>
      </c>
      <c r="J559" s="1" t="s">
        <v>147</v>
      </c>
      <c r="K559" s="1" t="s">
        <v>163</v>
      </c>
      <c r="L559" s="1" t="s">
        <v>33</v>
      </c>
      <c r="M559" s="1" t="s">
        <v>129</v>
      </c>
      <c r="N559">
        <v>201791.56</v>
      </c>
      <c r="O559">
        <v>71726.740000000005</v>
      </c>
      <c r="P559">
        <v>16723.259999999998</v>
      </c>
      <c r="Q559">
        <v>4</v>
      </c>
      <c r="R559">
        <v>216</v>
      </c>
      <c r="S559">
        <v>3.3</v>
      </c>
      <c r="T559" s="1" t="s">
        <v>154</v>
      </c>
      <c r="U559" s="1" t="s">
        <v>67</v>
      </c>
      <c r="V559" s="1" t="s">
        <v>33</v>
      </c>
      <c r="W559" s="1" t="s">
        <v>179</v>
      </c>
    </row>
    <row r="560" spans="1:23" x14ac:dyDescent="0.35">
      <c r="A560" s="1" t="s">
        <v>1369</v>
      </c>
      <c r="B560" s="1" t="s">
        <v>483</v>
      </c>
      <c r="C560">
        <v>12</v>
      </c>
      <c r="D560" s="1" t="s">
        <v>39</v>
      </c>
      <c r="E560" s="1" t="s">
        <v>134</v>
      </c>
      <c r="F560" s="1" t="s">
        <v>145</v>
      </c>
      <c r="G560" s="1" t="s">
        <v>1370</v>
      </c>
      <c r="H560" s="2">
        <v>45550</v>
      </c>
      <c r="I560" s="1" t="s">
        <v>33</v>
      </c>
      <c r="J560" s="1" t="s">
        <v>54</v>
      </c>
      <c r="K560" s="1" t="s">
        <v>174</v>
      </c>
      <c r="L560" s="1" t="s">
        <v>56</v>
      </c>
      <c r="M560" s="1" t="s">
        <v>123</v>
      </c>
      <c r="N560">
        <v>302026.59000000003</v>
      </c>
      <c r="O560">
        <v>11580.75</v>
      </c>
      <c r="P560">
        <v>2541.98</v>
      </c>
      <c r="Q560">
        <v>7</v>
      </c>
      <c r="R560">
        <v>111</v>
      </c>
      <c r="S560">
        <v>5</v>
      </c>
      <c r="T560" s="1" t="s">
        <v>33</v>
      </c>
      <c r="U560" s="1" t="s">
        <v>101</v>
      </c>
      <c r="V560" s="1" t="s">
        <v>33</v>
      </c>
      <c r="W560" s="1" t="s">
        <v>131</v>
      </c>
    </row>
    <row r="561" spans="1:23" x14ac:dyDescent="0.35">
      <c r="A561" s="1" t="s">
        <v>1371</v>
      </c>
      <c r="B561" s="1" t="s">
        <v>309</v>
      </c>
      <c r="C561">
        <v>10</v>
      </c>
      <c r="D561" s="1" t="s">
        <v>106</v>
      </c>
      <c r="E561" s="1" t="s">
        <v>26</v>
      </c>
      <c r="F561" s="1" t="s">
        <v>108</v>
      </c>
      <c r="G561" s="1" t="s">
        <v>1067</v>
      </c>
      <c r="H561" s="2">
        <v>45533</v>
      </c>
      <c r="I561" s="1" t="s">
        <v>273</v>
      </c>
      <c r="J561" s="1" t="s">
        <v>152</v>
      </c>
      <c r="K561" s="1" t="s">
        <v>174</v>
      </c>
      <c r="L561" s="1" t="s">
        <v>56</v>
      </c>
      <c r="M561" s="1" t="s">
        <v>45</v>
      </c>
      <c r="N561">
        <v>207141.73</v>
      </c>
      <c r="O561">
        <v>27814.12</v>
      </c>
      <c r="P561">
        <v>61449.59</v>
      </c>
      <c r="Q561">
        <v>1</v>
      </c>
      <c r="R561">
        <v>166</v>
      </c>
      <c r="S561">
        <v>3.6</v>
      </c>
      <c r="T561" s="1" t="s">
        <v>46</v>
      </c>
      <c r="U561" s="1" t="s">
        <v>95</v>
      </c>
      <c r="V561" s="1" t="s">
        <v>47</v>
      </c>
      <c r="W561" s="1" t="s">
        <v>103</v>
      </c>
    </row>
    <row r="562" spans="1:23" x14ac:dyDescent="0.35">
      <c r="A562" s="1" t="s">
        <v>1372</v>
      </c>
      <c r="B562" s="1" t="s">
        <v>1127</v>
      </c>
      <c r="C562">
        <v>47</v>
      </c>
      <c r="D562" s="1" t="s">
        <v>71</v>
      </c>
      <c r="E562" s="1" t="s">
        <v>40</v>
      </c>
      <c r="F562" s="1" t="s">
        <v>44</v>
      </c>
      <c r="G562" s="1" t="s">
        <v>520</v>
      </c>
      <c r="H562" s="2">
        <v>45551</v>
      </c>
      <c r="I562" s="1" t="s">
        <v>277</v>
      </c>
      <c r="J562" s="1" t="s">
        <v>87</v>
      </c>
      <c r="K562" s="1" t="s">
        <v>208</v>
      </c>
      <c r="L562" s="1" t="s">
        <v>33</v>
      </c>
      <c r="M562" s="1" t="s">
        <v>45</v>
      </c>
      <c r="N562">
        <v>171500.29</v>
      </c>
      <c r="O562">
        <v>0</v>
      </c>
      <c r="P562">
        <v>37120.21</v>
      </c>
      <c r="Q562">
        <v>11</v>
      </c>
      <c r="R562">
        <v>69</v>
      </c>
      <c r="S562">
        <v>4.9000000000000004</v>
      </c>
      <c r="T562" s="1" t="s">
        <v>34</v>
      </c>
      <c r="U562" s="1" t="s">
        <v>95</v>
      </c>
      <c r="V562" s="1" t="s">
        <v>33</v>
      </c>
      <c r="W562" s="1" t="s">
        <v>103</v>
      </c>
    </row>
    <row r="563" spans="1:23" x14ac:dyDescent="0.35">
      <c r="A563" s="1" t="s">
        <v>1373</v>
      </c>
      <c r="B563" s="1" t="s">
        <v>688</v>
      </c>
      <c r="C563">
        <v>17</v>
      </c>
      <c r="D563" s="1" t="s">
        <v>106</v>
      </c>
      <c r="E563" s="1" t="s">
        <v>177</v>
      </c>
      <c r="F563" s="1" t="s">
        <v>120</v>
      </c>
      <c r="G563" s="1" t="s">
        <v>1374</v>
      </c>
      <c r="H563" s="2">
        <v>45446</v>
      </c>
      <c r="I563" s="1" t="s">
        <v>257</v>
      </c>
      <c r="J563" s="1" t="s">
        <v>87</v>
      </c>
      <c r="K563" s="1" t="s">
        <v>148</v>
      </c>
      <c r="L563" s="1" t="s">
        <v>92</v>
      </c>
      <c r="M563" s="1" t="s">
        <v>129</v>
      </c>
      <c r="N563">
        <v>244115.61</v>
      </c>
      <c r="O563">
        <v>46788.28</v>
      </c>
      <c r="P563">
        <v>90840.94</v>
      </c>
      <c r="Q563">
        <v>4</v>
      </c>
      <c r="R563">
        <v>161</v>
      </c>
      <c r="S563">
        <v>4.7</v>
      </c>
      <c r="T563" s="1" t="s">
        <v>33</v>
      </c>
      <c r="U563" s="1" t="s">
        <v>149</v>
      </c>
      <c r="V563" s="1" t="s">
        <v>33</v>
      </c>
      <c r="W563" s="1" t="s">
        <v>83</v>
      </c>
    </row>
    <row r="564" spans="1:23" x14ac:dyDescent="0.35">
      <c r="A564" s="1" t="s">
        <v>1375</v>
      </c>
      <c r="B564" s="1" t="s">
        <v>262</v>
      </c>
      <c r="C564">
        <v>51</v>
      </c>
      <c r="D564" s="1" t="s">
        <v>119</v>
      </c>
      <c r="E564" s="1" t="s">
        <v>107</v>
      </c>
      <c r="F564" s="1" t="s">
        <v>120</v>
      </c>
      <c r="G564" s="1" t="s">
        <v>316</v>
      </c>
      <c r="H564" s="2">
        <v>45955</v>
      </c>
      <c r="I564" s="1" t="s">
        <v>277</v>
      </c>
      <c r="J564" s="1" t="s">
        <v>141</v>
      </c>
      <c r="K564" s="1" t="s">
        <v>116</v>
      </c>
      <c r="L564" s="1" t="s">
        <v>44</v>
      </c>
      <c r="M564" s="1" t="s">
        <v>82</v>
      </c>
      <c r="N564">
        <v>394930.69</v>
      </c>
      <c r="O564">
        <v>0</v>
      </c>
      <c r="P564">
        <v>34516.82</v>
      </c>
      <c r="Q564">
        <v>3</v>
      </c>
      <c r="R564">
        <v>37</v>
      </c>
      <c r="S564">
        <v>4.2</v>
      </c>
      <c r="T564" s="1" t="s">
        <v>154</v>
      </c>
      <c r="U564" s="1" t="s">
        <v>149</v>
      </c>
      <c r="V564" s="1" t="s">
        <v>102</v>
      </c>
      <c r="W564" s="1" t="s">
        <v>36</v>
      </c>
    </row>
    <row r="565" spans="1:23" x14ac:dyDescent="0.35">
      <c r="A565" s="1" t="s">
        <v>1376</v>
      </c>
      <c r="B565" s="1" t="s">
        <v>701</v>
      </c>
      <c r="C565">
        <v>29</v>
      </c>
      <c r="D565" s="1" t="s">
        <v>50</v>
      </c>
      <c r="E565" s="1" t="s">
        <v>40</v>
      </c>
      <c r="F565" s="1" t="s">
        <v>87</v>
      </c>
      <c r="G565" s="1" t="s">
        <v>813</v>
      </c>
      <c r="H565" s="2">
        <v>45884</v>
      </c>
      <c r="I565" s="1" t="s">
        <v>100</v>
      </c>
      <c r="J565" s="1" t="s">
        <v>242</v>
      </c>
      <c r="K565" s="1" t="s">
        <v>55</v>
      </c>
      <c r="L565" s="1" t="s">
        <v>92</v>
      </c>
      <c r="M565" s="1" t="s">
        <v>129</v>
      </c>
      <c r="N565">
        <v>0</v>
      </c>
      <c r="O565">
        <v>19694.48</v>
      </c>
      <c r="P565">
        <v>72404.210000000006</v>
      </c>
      <c r="Q565">
        <v>7</v>
      </c>
      <c r="R565">
        <v>135</v>
      </c>
      <c r="S565">
        <v>4.3</v>
      </c>
      <c r="T565" s="1" t="s">
        <v>46</v>
      </c>
      <c r="U565" s="1" t="s">
        <v>101</v>
      </c>
      <c r="V565" s="1" t="s">
        <v>33</v>
      </c>
      <c r="W565" s="1" t="s">
        <v>36</v>
      </c>
    </row>
    <row r="566" spans="1:23" x14ac:dyDescent="0.35">
      <c r="A566" s="1" t="s">
        <v>1377</v>
      </c>
      <c r="B566" s="1" t="s">
        <v>815</v>
      </c>
      <c r="C566">
        <v>14</v>
      </c>
      <c r="D566" s="1" t="s">
        <v>33</v>
      </c>
      <c r="E566" s="1" t="s">
        <v>33</v>
      </c>
      <c r="F566" s="1" t="s">
        <v>227</v>
      </c>
      <c r="G566" s="1" t="s">
        <v>1378</v>
      </c>
      <c r="H566" s="2">
        <v>46003</v>
      </c>
      <c r="I566" s="1" t="s">
        <v>89</v>
      </c>
      <c r="J566" s="1" t="s">
        <v>33</v>
      </c>
      <c r="K566" s="1" t="s">
        <v>128</v>
      </c>
      <c r="L566" s="1" t="s">
        <v>32</v>
      </c>
      <c r="M566" s="1" t="s">
        <v>169</v>
      </c>
      <c r="N566">
        <v>292141.21000000002</v>
      </c>
      <c r="O566">
        <v>9142.9500000000007</v>
      </c>
      <c r="P566">
        <v>110522.9</v>
      </c>
      <c r="Q566">
        <v>2</v>
      </c>
      <c r="R566">
        <v>137</v>
      </c>
      <c r="T566" s="1" t="s">
        <v>94</v>
      </c>
      <c r="U566" s="1" t="s">
        <v>67</v>
      </c>
      <c r="V566" s="1" t="s">
        <v>33</v>
      </c>
      <c r="W566" s="1" t="s">
        <v>59</v>
      </c>
    </row>
    <row r="567" spans="1:23" x14ac:dyDescent="0.35">
      <c r="A567" s="1" t="s">
        <v>1379</v>
      </c>
      <c r="B567" s="1" t="s">
        <v>61</v>
      </c>
      <c r="C567">
        <v>40</v>
      </c>
      <c r="D567" s="1" t="s">
        <v>78</v>
      </c>
      <c r="E567" s="1" t="s">
        <v>157</v>
      </c>
      <c r="F567" s="1" t="s">
        <v>120</v>
      </c>
      <c r="G567" s="1" t="s">
        <v>912</v>
      </c>
      <c r="H567" s="2">
        <v>45582</v>
      </c>
      <c r="I567" s="1" t="s">
        <v>159</v>
      </c>
      <c r="J567" s="1" t="s">
        <v>90</v>
      </c>
      <c r="K567" s="1" t="s">
        <v>148</v>
      </c>
      <c r="L567" s="1" t="s">
        <v>33</v>
      </c>
      <c r="M567" s="1" t="s">
        <v>93</v>
      </c>
      <c r="N567">
        <v>186469.73</v>
      </c>
      <c r="O567">
        <v>57920.84</v>
      </c>
      <c r="P567">
        <v>50592.49</v>
      </c>
      <c r="Q567">
        <v>2</v>
      </c>
      <c r="R567">
        <v>40</v>
      </c>
      <c r="T567" s="1" t="s">
        <v>94</v>
      </c>
      <c r="U567" s="1" t="s">
        <v>101</v>
      </c>
      <c r="V567" s="1" t="s">
        <v>130</v>
      </c>
      <c r="W567" s="1" t="s">
        <v>59</v>
      </c>
    </row>
    <row r="568" spans="1:23" x14ac:dyDescent="0.35">
      <c r="A568" s="1" t="s">
        <v>1380</v>
      </c>
      <c r="B568" s="1" t="s">
        <v>1381</v>
      </c>
      <c r="C568">
        <v>59</v>
      </c>
      <c r="D568" s="1" t="s">
        <v>25</v>
      </c>
      <c r="E568" s="1" t="s">
        <v>107</v>
      </c>
      <c r="F568" s="1" t="s">
        <v>44</v>
      </c>
      <c r="G568" s="1" t="s">
        <v>1382</v>
      </c>
      <c r="H568" s="2">
        <v>45617</v>
      </c>
      <c r="I568" s="1" t="s">
        <v>173</v>
      </c>
      <c r="J568" s="1" t="s">
        <v>43</v>
      </c>
      <c r="K568" s="1" t="s">
        <v>153</v>
      </c>
      <c r="L568" s="1" t="s">
        <v>56</v>
      </c>
      <c r="M568" s="1" t="s">
        <v>123</v>
      </c>
      <c r="N568">
        <v>134848.29</v>
      </c>
      <c r="O568">
        <v>39077.89</v>
      </c>
      <c r="P568">
        <v>54333.3</v>
      </c>
      <c r="Q568">
        <v>3</v>
      </c>
      <c r="R568">
        <v>0</v>
      </c>
      <c r="S568">
        <v>5</v>
      </c>
      <c r="T568" s="1" t="s">
        <v>46</v>
      </c>
      <c r="U568" s="1" t="s">
        <v>67</v>
      </c>
      <c r="V568" s="1" t="s">
        <v>33</v>
      </c>
      <c r="W568" s="1" t="s">
        <v>103</v>
      </c>
    </row>
    <row r="569" spans="1:23" x14ac:dyDescent="0.35">
      <c r="A569" s="1" t="s">
        <v>1383</v>
      </c>
      <c r="B569" s="1" t="s">
        <v>341</v>
      </c>
      <c r="C569">
        <v>34</v>
      </c>
      <c r="D569" s="1" t="s">
        <v>119</v>
      </c>
      <c r="E569" s="1" t="s">
        <v>62</v>
      </c>
      <c r="F569" s="1" t="s">
        <v>41</v>
      </c>
      <c r="G569" s="1" t="s">
        <v>364</v>
      </c>
      <c r="H569" s="2">
        <v>45452</v>
      </c>
      <c r="I569" s="1" t="s">
        <v>53</v>
      </c>
      <c r="J569" s="1" t="s">
        <v>242</v>
      </c>
      <c r="K569" s="1" t="s">
        <v>163</v>
      </c>
      <c r="L569" s="1" t="s">
        <v>32</v>
      </c>
      <c r="M569" s="1" t="s">
        <v>33</v>
      </c>
      <c r="N569">
        <v>65682.240000000005</v>
      </c>
      <c r="O569">
        <v>38689.040000000001</v>
      </c>
      <c r="P569">
        <v>47600.93</v>
      </c>
      <c r="Q569">
        <v>7</v>
      </c>
      <c r="R569">
        <v>121</v>
      </c>
      <c r="S569">
        <v>3.9</v>
      </c>
      <c r="T569" s="1" t="s">
        <v>46</v>
      </c>
      <c r="U569" s="1" t="s">
        <v>35</v>
      </c>
      <c r="V569" s="1" t="s">
        <v>75</v>
      </c>
      <c r="W569" s="1" t="s">
        <v>59</v>
      </c>
    </row>
    <row r="570" spans="1:23" x14ac:dyDescent="0.35">
      <c r="A570" s="1" t="s">
        <v>1384</v>
      </c>
      <c r="B570" s="1" t="s">
        <v>505</v>
      </c>
      <c r="C570">
        <v>74</v>
      </c>
      <c r="D570" s="1" t="s">
        <v>106</v>
      </c>
      <c r="E570" s="1" t="s">
        <v>203</v>
      </c>
      <c r="F570" s="1" t="s">
        <v>98</v>
      </c>
      <c r="G570" s="1" t="s">
        <v>690</v>
      </c>
      <c r="H570" s="2">
        <v>45919</v>
      </c>
      <c r="I570" s="1" t="s">
        <v>277</v>
      </c>
      <c r="J570" s="1" t="s">
        <v>152</v>
      </c>
      <c r="K570" s="1" t="s">
        <v>153</v>
      </c>
      <c r="L570" s="1" t="s">
        <v>66</v>
      </c>
      <c r="M570" s="1" t="s">
        <v>82</v>
      </c>
      <c r="N570">
        <v>299534.45</v>
      </c>
      <c r="O570">
        <v>3758.61</v>
      </c>
      <c r="P570">
        <v>85876.89</v>
      </c>
      <c r="Q570">
        <v>4</v>
      </c>
      <c r="R570">
        <v>218</v>
      </c>
      <c r="S570">
        <v>5</v>
      </c>
      <c r="T570" s="1" t="s">
        <v>46</v>
      </c>
      <c r="U570" s="1" t="s">
        <v>33</v>
      </c>
      <c r="V570" s="1" t="s">
        <v>130</v>
      </c>
      <c r="W570" s="1" t="s">
        <v>179</v>
      </c>
    </row>
    <row r="571" spans="1:23" x14ac:dyDescent="0.35">
      <c r="A571" s="1" t="s">
        <v>1385</v>
      </c>
      <c r="B571" s="1" t="s">
        <v>1386</v>
      </c>
      <c r="C571">
        <v>48</v>
      </c>
      <c r="D571" s="1" t="s">
        <v>119</v>
      </c>
      <c r="E571" s="1" t="s">
        <v>177</v>
      </c>
      <c r="F571" s="1" t="s">
        <v>98</v>
      </c>
      <c r="G571" s="1" t="s">
        <v>642</v>
      </c>
      <c r="H571" s="2">
        <v>45392</v>
      </c>
      <c r="I571" s="1" t="s">
        <v>114</v>
      </c>
      <c r="J571" s="1" t="s">
        <v>54</v>
      </c>
      <c r="K571" s="1" t="s">
        <v>33</v>
      </c>
      <c r="L571" s="1" t="s">
        <v>33</v>
      </c>
      <c r="M571" s="1" t="s">
        <v>57</v>
      </c>
      <c r="N571">
        <v>0</v>
      </c>
      <c r="O571">
        <v>43828.73</v>
      </c>
      <c r="P571">
        <v>28553.99</v>
      </c>
      <c r="Q571">
        <v>1</v>
      </c>
      <c r="R571">
        <v>239</v>
      </c>
      <c r="S571">
        <v>2.7</v>
      </c>
      <c r="T571" s="1" t="s">
        <v>46</v>
      </c>
      <c r="U571" s="1" t="s">
        <v>35</v>
      </c>
      <c r="V571" s="1" t="s">
        <v>33</v>
      </c>
      <c r="W571" s="1" t="s">
        <v>103</v>
      </c>
    </row>
    <row r="572" spans="1:23" x14ac:dyDescent="0.35">
      <c r="A572" s="1" t="s">
        <v>1387</v>
      </c>
      <c r="B572" s="1" t="s">
        <v>543</v>
      </c>
      <c r="C572">
        <v>32</v>
      </c>
      <c r="D572" s="1" t="s">
        <v>33</v>
      </c>
      <c r="E572" s="1" t="s">
        <v>263</v>
      </c>
      <c r="F572" s="1" t="s">
        <v>41</v>
      </c>
      <c r="G572" s="1" t="s">
        <v>1388</v>
      </c>
      <c r="H572" s="2">
        <v>46020</v>
      </c>
      <c r="I572" s="1" t="s">
        <v>29</v>
      </c>
      <c r="J572" s="1" t="s">
        <v>43</v>
      </c>
      <c r="K572" s="1" t="s">
        <v>91</v>
      </c>
      <c r="L572" s="1" t="s">
        <v>33</v>
      </c>
      <c r="M572" s="1" t="s">
        <v>45</v>
      </c>
      <c r="N572">
        <v>0</v>
      </c>
      <c r="O572">
        <v>48777.49</v>
      </c>
      <c r="P572">
        <v>0</v>
      </c>
      <c r="Q572">
        <v>1</v>
      </c>
      <c r="R572">
        <v>97</v>
      </c>
      <c r="S572">
        <v>1</v>
      </c>
      <c r="T572" s="1" t="s">
        <v>94</v>
      </c>
      <c r="U572" s="1" t="s">
        <v>33</v>
      </c>
      <c r="V572" s="1" t="s">
        <v>130</v>
      </c>
      <c r="W572" s="1" t="s">
        <v>103</v>
      </c>
    </row>
    <row r="573" spans="1:23" x14ac:dyDescent="0.35">
      <c r="A573" s="1" t="s">
        <v>1389</v>
      </c>
      <c r="B573" s="1" t="s">
        <v>810</v>
      </c>
      <c r="C573">
        <v>79</v>
      </c>
      <c r="D573" s="1" t="s">
        <v>106</v>
      </c>
      <c r="E573" s="1" t="s">
        <v>219</v>
      </c>
      <c r="F573" s="1" t="s">
        <v>120</v>
      </c>
      <c r="G573" s="1" t="s">
        <v>1390</v>
      </c>
      <c r="H573" s="2">
        <v>46159</v>
      </c>
      <c r="I573" s="1" t="s">
        <v>168</v>
      </c>
      <c r="J573" s="1" t="s">
        <v>54</v>
      </c>
      <c r="K573" s="1" t="s">
        <v>91</v>
      </c>
      <c r="L573" s="1" t="s">
        <v>66</v>
      </c>
      <c r="M573" s="1" t="s">
        <v>33</v>
      </c>
      <c r="N573">
        <v>270490.7</v>
      </c>
      <c r="O573">
        <v>8412.66</v>
      </c>
      <c r="P573">
        <v>44063.9</v>
      </c>
      <c r="Q573">
        <v>2</v>
      </c>
      <c r="R573">
        <v>96</v>
      </c>
      <c r="S573">
        <v>4.3</v>
      </c>
      <c r="T573" s="1" t="s">
        <v>34</v>
      </c>
      <c r="U573" s="1" t="s">
        <v>95</v>
      </c>
      <c r="V573" s="1" t="s">
        <v>68</v>
      </c>
      <c r="W573" s="1" t="s">
        <v>33</v>
      </c>
    </row>
    <row r="574" spans="1:23" x14ac:dyDescent="0.35">
      <c r="A574" s="1" t="s">
        <v>1391</v>
      </c>
      <c r="B574" s="1" t="s">
        <v>1343</v>
      </c>
      <c r="C574">
        <v>56</v>
      </c>
      <c r="D574" s="1" t="s">
        <v>39</v>
      </c>
      <c r="E574" s="1" t="s">
        <v>203</v>
      </c>
      <c r="F574" s="1" t="s">
        <v>56</v>
      </c>
      <c r="G574" s="1" t="s">
        <v>1392</v>
      </c>
      <c r="H574" s="2">
        <v>45521</v>
      </c>
      <c r="I574" s="1" t="s">
        <v>221</v>
      </c>
      <c r="J574" s="1" t="s">
        <v>152</v>
      </c>
      <c r="K574" s="1" t="s">
        <v>91</v>
      </c>
      <c r="L574" s="1" t="s">
        <v>56</v>
      </c>
      <c r="M574" s="1" t="s">
        <v>33</v>
      </c>
      <c r="N574">
        <v>0</v>
      </c>
      <c r="O574">
        <v>14252.89</v>
      </c>
      <c r="P574">
        <v>30351.78</v>
      </c>
      <c r="Q574">
        <v>1</v>
      </c>
      <c r="R574">
        <v>142</v>
      </c>
      <c r="S574">
        <v>3.7</v>
      </c>
      <c r="T574" s="1" t="s">
        <v>46</v>
      </c>
      <c r="U574" s="1" t="s">
        <v>33</v>
      </c>
      <c r="V574" s="1" t="s">
        <v>75</v>
      </c>
      <c r="W574" s="1" t="s">
        <v>131</v>
      </c>
    </row>
    <row r="575" spans="1:23" x14ac:dyDescent="0.35">
      <c r="A575" s="1" t="s">
        <v>1393</v>
      </c>
      <c r="B575" s="1" t="s">
        <v>218</v>
      </c>
      <c r="C575">
        <v>21</v>
      </c>
      <c r="D575" s="1" t="s">
        <v>106</v>
      </c>
      <c r="E575" s="1" t="s">
        <v>72</v>
      </c>
      <c r="F575" s="1" t="s">
        <v>193</v>
      </c>
      <c r="G575" s="1" t="s">
        <v>1057</v>
      </c>
      <c r="H575" s="2">
        <v>45359</v>
      </c>
      <c r="I575" s="1" t="s">
        <v>33</v>
      </c>
      <c r="J575" s="1" t="s">
        <v>30</v>
      </c>
      <c r="K575" s="1" t="s">
        <v>208</v>
      </c>
      <c r="L575" s="1" t="s">
        <v>33</v>
      </c>
      <c r="M575" s="1" t="s">
        <v>142</v>
      </c>
      <c r="N575">
        <v>247815.2</v>
      </c>
      <c r="O575">
        <v>28023.32</v>
      </c>
      <c r="P575">
        <v>27626.28</v>
      </c>
      <c r="Q575">
        <v>1</v>
      </c>
      <c r="R575">
        <v>58</v>
      </c>
      <c r="S575">
        <v>4.5999999999999996</v>
      </c>
      <c r="T575" s="1" t="s">
        <v>33</v>
      </c>
      <c r="U575" s="1" t="s">
        <v>58</v>
      </c>
      <c r="V575" s="1" t="s">
        <v>33</v>
      </c>
      <c r="W575" s="1" t="s">
        <v>36</v>
      </c>
    </row>
    <row r="576" spans="1:23" x14ac:dyDescent="0.35">
      <c r="A576" s="1" t="s">
        <v>1394</v>
      </c>
      <c r="B576" s="1" t="s">
        <v>776</v>
      </c>
      <c r="C576">
        <v>41</v>
      </c>
      <c r="D576" s="1" t="s">
        <v>39</v>
      </c>
      <c r="E576" s="1" t="s">
        <v>51</v>
      </c>
      <c r="F576" s="1" t="s">
        <v>98</v>
      </c>
      <c r="G576" s="1" t="s">
        <v>1395</v>
      </c>
      <c r="H576" s="2">
        <v>46086</v>
      </c>
      <c r="I576" s="1" t="s">
        <v>173</v>
      </c>
      <c r="J576" s="1" t="s">
        <v>43</v>
      </c>
      <c r="K576" s="1" t="s">
        <v>128</v>
      </c>
      <c r="L576" s="1" t="s">
        <v>56</v>
      </c>
      <c r="M576" s="1" t="s">
        <v>183</v>
      </c>
      <c r="N576">
        <v>523791.12</v>
      </c>
      <c r="O576">
        <v>0</v>
      </c>
      <c r="P576">
        <v>0</v>
      </c>
      <c r="Q576">
        <v>2</v>
      </c>
      <c r="R576">
        <v>153</v>
      </c>
      <c r="S576">
        <v>2.8</v>
      </c>
      <c r="T576" s="1" t="s">
        <v>94</v>
      </c>
      <c r="U576" s="1" t="s">
        <v>101</v>
      </c>
      <c r="V576" s="1" t="s">
        <v>130</v>
      </c>
      <c r="W576" s="1" t="s">
        <v>179</v>
      </c>
    </row>
    <row r="577" spans="1:23" x14ac:dyDescent="0.35">
      <c r="A577" s="1" t="s">
        <v>1396</v>
      </c>
      <c r="B577" s="1" t="s">
        <v>1219</v>
      </c>
      <c r="C577">
        <v>25</v>
      </c>
      <c r="D577" s="1" t="s">
        <v>33</v>
      </c>
      <c r="E577" s="1" t="s">
        <v>134</v>
      </c>
      <c r="F577" s="1" t="s">
        <v>145</v>
      </c>
      <c r="G577" s="1" t="s">
        <v>466</v>
      </c>
      <c r="H577" s="2">
        <v>46188</v>
      </c>
      <c r="I577" s="1" t="s">
        <v>159</v>
      </c>
      <c r="J577" s="1" t="s">
        <v>65</v>
      </c>
      <c r="K577" s="1" t="s">
        <v>153</v>
      </c>
      <c r="L577" s="1" t="s">
        <v>32</v>
      </c>
      <c r="M577" s="1" t="s">
        <v>169</v>
      </c>
      <c r="N577">
        <v>183627.98</v>
      </c>
      <c r="O577">
        <v>69963.45</v>
      </c>
      <c r="P577">
        <v>69063.850000000006</v>
      </c>
      <c r="Q577">
        <v>2</v>
      </c>
      <c r="R577">
        <v>159</v>
      </c>
      <c r="S577">
        <v>1.9</v>
      </c>
      <c r="T577" s="1" t="s">
        <v>46</v>
      </c>
      <c r="U577" s="1" t="s">
        <v>33</v>
      </c>
      <c r="V577" s="1" t="s">
        <v>47</v>
      </c>
      <c r="W577" s="1" t="s">
        <v>12</v>
      </c>
    </row>
    <row r="578" spans="1:23" x14ac:dyDescent="0.35">
      <c r="A578" s="1" t="s">
        <v>1397</v>
      </c>
      <c r="B578" s="1" t="s">
        <v>1190</v>
      </c>
      <c r="C578">
        <v>0</v>
      </c>
      <c r="D578" s="1" t="s">
        <v>39</v>
      </c>
      <c r="E578" s="1" t="s">
        <v>219</v>
      </c>
      <c r="F578" s="1" t="s">
        <v>27</v>
      </c>
      <c r="G578" s="1" t="s">
        <v>782</v>
      </c>
      <c r="H578" s="2">
        <v>46006</v>
      </c>
      <c r="I578" s="1" t="s">
        <v>89</v>
      </c>
      <c r="J578" s="1" t="s">
        <v>33</v>
      </c>
      <c r="K578" s="1" t="s">
        <v>148</v>
      </c>
      <c r="L578" s="1" t="s">
        <v>92</v>
      </c>
      <c r="M578" s="1" t="s">
        <v>82</v>
      </c>
      <c r="N578">
        <v>106686.69</v>
      </c>
      <c r="O578">
        <v>53917.58</v>
      </c>
      <c r="P578">
        <v>60508.4</v>
      </c>
      <c r="Q578">
        <v>1</v>
      </c>
      <c r="R578">
        <v>78</v>
      </c>
      <c r="S578">
        <v>3.7</v>
      </c>
      <c r="T578" s="1" t="s">
        <v>33</v>
      </c>
      <c r="U578" s="1" t="s">
        <v>35</v>
      </c>
      <c r="V578" s="1" t="s">
        <v>102</v>
      </c>
      <c r="W578" s="1" t="s">
        <v>103</v>
      </c>
    </row>
    <row r="579" spans="1:23" x14ac:dyDescent="0.35">
      <c r="A579" s="1" t="s">
        <v>1398</v>
      </c>
      <c r="B579" s="1" t="s">
        <v>294</v>
      </c>
      <c r="C579">
        <v>47</v>
      </c>
      <c r="D579" s="1" t="s">
        <v>39</v>
      </c>
      <c r="E579" s="1" t="s">
        <v>263</v>
      </c>
      <c r="F579" s="1" t="s">
        <v>145</v>
      </c>
      <c r="G579" s="1" t="s">
        <v>698</v>
      </c>
      <c r="H579" s="2">
        <v>45409</v>
      </c>
      <c r="I579" s="1" t="s">
        <v>273</v>
      </c>
      <c r="J579" s="1" t="s">
        <v>137</v>
      </c>
      <c r="K579" s="1" t="s">
        <v>33</v>
      </c>
      <c r="L579" s="1" t="s">
        <v>33</v>
      </c>
      <c r="M579" s="1" t="s">
        <v>45</v>
      </c>
      <c r="N579">
        <v>327222.96000000002</v>
      </c>
      <c r="O579">
        <v>0</v>
      </c>
      <c r="P579">
        <v>53989.43</v>
      </c>
      <c r="Q579">
        <v>1</v>
      </c>
      <c r="R579">
        <v>164</v>
      </c>
      <c r="S579">
        <v>3.2</v>
      </c>
      <c r="T579" s="1" t="s">
        <v>46</v>
      </c>
      <c r="U579" s="1" t="s">
        <v>33</v>
      </c>
      <c r="V579" s="1" t="s">
        <v>75</v>
      </c>
      <c r="W579" s="1" t="s">
        <v>36</v>
      </c>
    </row>
    <row r="580" spans="1:23" x14ac:dyDescent="0.35">
      <c r="A580" s="1" t="s">
        <v>1399</v>
      </c>
      <c r="B580" s="1" t="s">
        <v>470</v>
      </c>
      <c r="C580">
        <v>92</v>
      </c>
      <c r="D580" s="1" t="s">
        <v>71</v>
      </c>
      <c r="E580" s="1" t="s">
        <v>26</v>
      </c>
      <c r="F580" s="1" t="s">
        <v>227</v>
      </c>
      <c r="G580" s="1" t="s">
        <v>1400</v>
      </c>
      <c r="H580" s="2">
        <v>45511</v>
      </c>
      <c r="I580" s="1" t="s">
        <v>173</v>
      </c>
      <c r="J580" s="1" t="s">
        <v>141</v>
      </c>
      <c r="K580" s="1" t="s">
        <v>153</v>
      </c>
      <c r="L580" s="1" t="s">
        <v>66</v>
      </c>
      <c r="M580" s="1" t="s">
        <v>123</v>
      </c>
      <c r="N580">
        <v>205392.01</v>
      </c>
      <c r="O580">
        <v>39832.68</v>
      </c>
      <c r="P580">
        <v>22858.29</v>
      </c>
      <c r="Q580">
        <v>5</v>
      </c>
      <c r="R580">
        <v>108</v>
      </c>
      <c r="S580">
        <v>4.3</v>
      </c>
      <c r="T580" s="1" t="s">
        <v>154</v>
      </c>
      <c r="U580" s="1" t="s">
        <v>35</v>
      </c>
      <c r="V580" s="1" t="s">
        <v>33</v>
      </c>
      <c r="W580" s="1" t="s">
        <v>33</v>
      </c>
    </row>
    <row r="581" spans="1:23" x14ac:dyDescent="0.35">
      <c r="A581" s="1" t="s">
        <v>1401</v>
      </c>
      <c r="B581" s="1" t="s">
        <v>262</v>
      </c>
      <c r="C581">
        <v>20</v>
      </c>
      <c r="D581" s="1" t="s">
        <v>78</v>
      </c>
      <c r="E581" s="1" t="s">
        <v>203</v>
      </c>
      <c r="F581" s="1" t="s">
        <v>87</v>
      </c>
      <c r="G581" s="1" t="s">
        <v>698</v>
      </c>
      <c r="H581" s="2">
        <v>45411</v>
      </c>
      <c r="I581" s="1" t="s">
        <v>173</v>
      </c>
      <c r="J581" s="1" t="s">
        <v>147</v>
      </c>
      <c r="K581" s="1" t="s">
        <v>174</v>
      </c>
      <c r="L581" s="1" t="s">
        <v>92</v>
      </c>
      <c r="M581" s="1" t="s">
        <v>45</v>
      </c>
      <c r="N581">
        <v>248890.65</v>
      </c>
      <c r="O581">
        <v>66554.899999999994</v>
      </c>
      <c r="P581">
        <v>58459.07</v>
      </c>
      <c r="Q581">
        <v>3</v>
      </c>
      <c r="R581">
        <v>167</v>
      </c>
      <c r="S581">
        <v>3.4</v>
      </c>
      <c r="T581" s="1" t="s">
        <v>33</v>
      </c>
      <c r="U581" s="1" t="s">
        <v>33</v>
      </c>
      <c r="V581" s="1" t="s">
        <v>33</v>
      </c>
      <c r="W581" s="1" t="s">
        <v>12</v>
      </c>
    </row>
    <row r="582" spans="1:23" x14ac:dyDescent="0.35">
      <c r="A582" s="1" t="s">
        <v>1402</v>
      </c>
      <c r="B582" s="1" t="s">
        <v>1350</v>
      </c>
      <c r="C582">
        <v>49</v>
      </c>
      <c r="D582" s="1" t="s">
        <v>25</v>
      </c>
      <c r="E582" s="1" t="s">
        <v>86</v>
      </c>
      <c r="F582" s="1" t="s">
        <v>56</v>
      </c>
      <c r="G582" s="1" t="s">
        <v>517</v>
      </c>
      <c r="H582" s="2">
        <v>45386</v>
      </c>
      <c r="I582" s="1" t="s">
        <v>273</v>
      </c>
      <c r="J582" s="1" t="s">
        <v>90</v>
      </c>
      <c r="K582" s="1" t="s">
        <v>128</v>
      </c>
      <c r="L582" s="1" t="s">
        <v>44</v>
      </c>
      <c r="M582" s="1" t="s">
        <v>142</v>
      </c>
      <c r="N582">
        <v>86872.5</v>
      </c>
      <c r="O582">
        <v>37963.03</v>
      </c>
      <c r="P582">
        <v>15249.1</v>
      </c>
      <c r="Q582">
        <v>5</v>
      </c>
      <c r="R582">
        <v>47</v>
      </c>
      <c r="S582">
        <v>3.9</v>
      </c>
      <c r="T582" s="1" t="s">
        <v>33</v>
      </c>
      <c r="U582" s="1" t="s">
        <v>35</v>
      </c>
      <c r="V582" s="1" t="s">
        <v>33</v>
      </c>
      <c r="W582" s="1" t="s">
        <v>33</v>
      </c>
    </row>
    <row r="583" spans="1:23" x14ac:dyDescent="0.35">
      <c r="A583" s="1" t="s">
        <v>1403</v>
      </c>
      <c r="B583" s="1" t="s">
        <v>768</v>
      </c>
      <c r="C583">
        <v>16</v>
      </c>
      <c r="D583" s="1" t="s">
        <v>25</v>
      </c>
      <c r="E583" s="1" t="s">
        <v>112</v>
      </c>
      <c r="F583" s="1" t="s">
        <v>33</v>
      </c>
      <c r="G583" s="1" t="s">
        <v>1404</v>
      </c>
      <c r="H583" s="2">
        <v>45685</v>
      </c>
      <c r="I583" s="1" t="s">
        <v>33</v>
      </c>
      <c r="J583" s="1" t="s">
        <v>87</v>
      </c>
      <c r="K583" s="1" t="s">
        <v>122</v>
      </c>
      <c r="L583" s="1" t="s">
        <v>33</v>
      </c>
      <c r="M583" s="1" t="s">
        <v>142</v>
      </c>
      <c r="N583">
        <v>367558.01</v>
      </c>
      <c r="O583">
        <v>44300.160000000003</v>
      </c>
      <c r="P583">
        <v>23858.15</v>
      </c>
      <c r="Q583">
        <v>3</v>
      </c>
      <c r="R583">
        <v>0</v>
      </c>
      <c r="S583">
        <v>3.5</v>
      </c>
      <c r="T583" s="1" t="s">
        <v>46</v>
      </c>
      <c r="U583" s="1" t="s">
        <v>33</v>
      </c>
      <c r="V583" s="1" t="s">
        <v>130</v>
      </c>
      <c r="W583" s="1" t="s">
        <v>103</v>
      </c>
    </row>
    <row r="584" spans="1:23" x14ac:dyDescent="0.35">
      <c r="A584" s="1" t="s">
        <v>1405</v>
      </c>
      <c r="B584" s="1" t="s">
        <v>860</v>
      </c>
      <c r="C584">
        <v>45</v>
      </c>
      <c r="D584" s="1" t="s">
        <v>39</v>
      </c>
      <c r="E584" s="1" t="s">
        <v>40</v>
      </c>
      <c r="F584" s="1" t="s">
        <v>44</v>
      </c>
      <c r="G584" s="1" t="s">
        <v>565</v>
      </c>
      <c r="H584" s="2">
        <v>46225</v>
      </c>
      <c r="I584" s="1" t="s">
        <v>168</v>
      </c>
      <c r="J584" s="1" t="s">
        <v>141</v>
      </c>
      <c r="K584" s="1" t="s">
        <v>148</v>
      </c>
      <c r="L584" s="1" t="s">
        <v>44</v>
      </c>
      <c r="M584" s="1" t="s">
        <v>45</v>
      </c>
      <c r="N584">
        <v>169163.67</v>
      </c>
      <c r="O584">
        <v>0</v>
      </c>
      <c r="P584">
        <v>33349.589999999997</v>
      </c>
      <c r="Q584">
        <v>2</v>
      </c>
      <c r="R584">
        <v>72</v>
      </c>
      <c r="S584">
        <v>4.5</v>
      </c>
      <c r="T584" s="1" t="s">
        <v>46</v>
      </c>
      <c r="U584" s="1" t="s">
        <v>67</v>
      </c>
      <c r="V584" s="1" t="s">
        <v>47</v>
      </c>
      <c r="W584" s="1" t="s">
        <v>103</v>
      </c>
    </row>
    <row r="585" spans="1:23" x14ac:dyDescent="0.35">
      <c r="A585" s="1" t="s">
        <v>1406</v>
      </c>
      <c r="B585" s="1" t="s">
        <v>1407</v>
      </c>
      <c r="C585">
        <v>79</v>
      </c>
      <c r="D585" s="1" t="s">
        <v>119</v>
      </c>
      <c r="E585" s="1" t="s">
        <v>134</v>
      </c>
      <c r="F585" s="1" t="s">
        <v>135</v>
      </c>
      <c r="G585" s="1" t="s">
        <v>834</v>
      </c>
      <c r="H585" s="2">
        <v>46141</v>
      </c>
      <c r="I585" s="1" t="s">
        <v>89</v>
      </c>
      <c r="J585" s="1" t="s">
        <v>80</v>
      </c>
      <c r="K585" s="1" t="s">
        <v>163</v>
      </c>
      <c r="L585" s="1" t="s">
        <v>56</v>
      </c>
      <c r="M585" s="1" t="s">
        <v>74</v>
      </c>
      <c r="N585">
        <v>0</v>
      </c>
      <c r="O585">
        <v>62779.19</v>
      </c>
      <c r="P585">
        <v>38270.43</v>
      </c>
      <c r="Q585">
        <v>1</v>
      </c>
      <c r="R585">
        <v>159</v>
      </c>
      <c r="S585">
        <v>3.8</v>
      </c>
      <c r="T585" s="1" t="s">
        <v>34</v>
      </c>
      <c r="U585" s="1" t="s">
        <v>149</v>
      </c>
      <c r="V585" s="1" t="s">
        <v>33</v>
      </c>
      <c r="W585" s="1" t="s">
        <v>59</v>
      </c>
    </row>
    <row r="586" spans="1:23" x14ac:dyDescent="0.35">
      <c r="A586" s="1" t="s">
        <v>1408</v>
      </c>
      <c r="B586" s="1" t="s">
        <v>860</v>
      </c>
      <c r="C586">
        <v>34</v>
      </c>
      <c r="D586" s="1" t="s">
        <v>50</v>
      </c>
      <c r="E586" s="1" t="s">
        <v>192</v>
      </c>
      <c r="F586" s="1" t="s">
        <v>227</v>
      </c>
      <c r="G586" s="1" t="s">
        <v>1409</v>
      </c>
      <c r="H586" s="2">
        <v>46237</v>
      </c>
      <c r="I586" s="1" t="s">
        <v>159</v>
      </c>
      <c r="J586" s="1" t="s">
        <v>87</v>
      </c>
      <c r="K586" s="1" t="s">
        <v>55</v>
      </c>
      <c r="L586" s="1" t="s">
        <v>44</v>
      </c>
      <c r="M586" s="1" t="s">
        <v>129</v>
      </c>
      <c r="N586">
        <v>66193.14</v>
      </c>
      <c r="O586">
        <v>65512.61</v>
      </c>
      <c r="P586">
        <v>41595.58</v>
      </c>
      <c r="Q586">
        <v>7</v>
      </c>
      <c r="R586">
        <v>111</v>
      </c>
      <c r="S586">
        <v>5</v>
      </c>
      <c r="T586" s="1" t="s">
        <v>34</v>
      </c>
      <c r="U586" s="1" t="s">
        <v>149</v>
      </c>
      <c r="V586" s="1" t="s">
        <v>130</v>
      </c>
      <c r="W586" s="1" t="s">
        <v>33</v>
      </c>
    </row>
    <row r="587" spans="1:23" x14ac:dyDescent="0.35">
      <c r="A587" s="1" t="s">
        <v>1410</v>
      </c>
      <c r="B587" s="1" t="s">
        <v>133</v>
      </c>
      <c r="C587">
        <v>56</v>
      </c>
      <c r="D587" s="1" t="s">
        <v>106</v>
      </c>
      <c r="E587" s="1" t="s">
        <v>192</v>
      </c>
      <c r="F587" s="1" t="s">
        <v>108</v>
      </c>
      <c r="G587" s="1" t="s">
        <v>1411</v>
      </c>
      <c r="H587" s="2">
        <v>46089</v>
      </c>
      <c r="I587" s="1" t="s">
        <v>257</v>
      </c>
      <c r="J587" s="1" t="s">
        <v>242</v>
      </c>
      <c r="K587" s="1" t="s">
        <v>31</v>
      </c>
      <c r="L587" s="1" t="s">
        <v>92</v>
      </c>
      <c r="M587" s="1" t="s">
        <v>183</v>
      </c>
      <c r="N587">
        <v>137414.73000000001</v>
      </c>
      <c r="O587">
        <v>26695.77</v>
      </c>
      <c r="P587">
        <v>47168.37</v>
      </c>
      <c r="Q587">
        <v>1</v>
      </c>
      <c r="R587">
        <v>0</v>
      </c>
      <c r="S587">
        <v>2.7</v>
      </c>
      <c r="T587" s="1" t="s">
        <v>94</v>
      </c>
      <c r="U587" s="1" t="s">
        <v>33</v>
      </c>
      <c r="V587" s="1" t="s">
        <v>164</v>
      </c>
      <c r="W587" s="1" t="s">
        <v>36</v>
      </c>
    </row>
    <row r="588" spans="1:23" x14ac:dyDescent="0.35">
      <c r="A588" s="1" t="s">
        <v>1412</v>
      </c>
      <c r="B588" s="1" t="s">
        <v>1413</v>
      </c>
      <c r="C588">
        <v>62</v>
      </c>
      <c r="D588" s="1" t="s">
        <v>33</v>
      </c>
      <c r="E588" s="1" t="s">
        <v>157</v>
      </c>
      <c r="F588" s="1" t="s">
        <v>120</v>
      </c>
      <c r="G588" s="1" t="s">
        <v>1414</v>
      </c>
      <c r="H588" s="2">
        <v>45413</v>
      </c>
      <c r="I588" s="1" t="s">
        <v>277</v>
      </c>
      <c r="J588" s="1" t="s">
        <v>242</v>
      </c>
      <c r="K588" s="1" t="s">
        <v>153</v>
      </c>
      <c r="L588" s="1" t="s">
        <v>32</v>
      </c>
      <c r="M588" s="1" t="s">
        <v>57</v>
      </c>
      <c r="N588">
        <v>211230.46</v>
      </c>
      <c r="O588">
        <v>36078.089999999997</v>
      </c>
      <c r="P588">
        <v>36172.720000000001</v>
      </c>
      <c r="Q588">
        <v>8</v>
      </c>
      <c r="R588">
        <v>196</v>
      </c>
      <c r="S588">
        <v>3.4</v>
      </c>
      <c r="T588" s="1" t="s">
        <v>154</v>
      </c>
      <c r="U588" s="1" t="s">
        <v>33</v>
      </c>
      <c r="V588" s="1" t="s">
        <v>47</v>
      </c>
      <c r="W588" s="1" t="s">
        <v>59</v>
      </c>
    </row>
    <row r="589" spans="1:23" x14ac:dyDescent="0.35">
      <c r="A589" s="1" t="s">
        <v>1415</v>
      </c>
      <c r="B589" s="1" t="s">
        <v>616</v>
      </c>
      <c r="C589">
        <v>68</v>
      </c>
      <c r="D589" s="1" t="s">
        <v>39</v>
      </c>
      <c r="E589" s="1" t="s">
        <v>62</v>
      </c>
      <c r="F589" s="1" t="s">
        <v>227</v>
      </c>
      <c r="G589" s="1" t="s">
        <v>1341</v>
      </c>
      <c r="H589" s="2">
        <v>45510</v>
      </c>
      <c r="I589" s="1" t="s">
        <v>53</v>
      </c>
      <c r="J589" s="1" t="s">
        <v>43</v>
      </c>
      <c r="K589" s="1" t="s">
        <v>163</v>
      </c>
      <c r="L589" s="1" t="s">
        <v>32</v>
      </c>
      <c r="M589" s="1" t="s">
        <v>93</v>
      </c>
      <c r="N589">
        <v>111167.99</v>
      </c>
      <c r="O589">
        <v>68969.73</v>
      </c>
      <c r="P589">
        <v>0</v>
      </c>
      <c r="Q589">
        <v>3</v>
      </c>
      <c r="R589">
        <v>217</v>
      </c>
      <c r="S589">
        <v>3.2</v>
      </c>
      <c r="T589" s="1" t="s">
        <v>94</v>
      </c>
      <c r="U589" s="1" t="s">
        <v>149</v>
      </c>
      <c r="V589" s="1" t="s">
        <v>130</v>
      </c>
      <c r="W589" s="1" t="s">
        <v>131</v>
      </c>
    </row>
    <row r="590" spans="1:23" x14ac:dyDescent="0.35">
      <c r="A590" s="1" t="s">
        <v>1416</v>
      </c>
      <c r="B590" s="1" t="s">
        <v>1323</v>
      </c>
      <c r="C590">
        <v>1</v>
      </c>
      <c r="D590" s="1" t="s">
        <v>25</v>
      </c>
      <c r="E590" s="1" t="s">
        <v>112</v>
      </c>
      <c r="F590" s="1" t="s">
        <v>193</v>
      </c>
      <c r="G590" s="1" t="s">
        <v>1417</v>
      </c>
      <c r="H590" s="2">
        <v>45554</v>
      </c>
      <c r="I590" s="1" t="s">
        <v>273</v>
      </c>
      <c r="J590" s="1" t="s">
        <v>54</v>
      </c>
      <c r="K590" s="1" t="s">
        <v>148</v>
      </c>
      <c r="L590" s="1" t="s">
        <v>92</v>
      </c>
      <c r="M590" s="1" t="s">
        <v>123</v>
      </c>
      <c r="N590">
        <v>156328.74</v>
      </c>
      <c r="O590">
        <v>4004.84</v>
      </c>
      <c r="P590">
        <v>26770.61</v>
      </c>
      <c r="Q590">
        <v>2</v>
      </c>
      <c r="R590">
        <v>84</v>
      </c>
      <c r="S590">
        <v>4.9000000000000004</v>
      </c>
      <c r="T590" s="1" t="s">
        <v>34</v>
      </c>
      <c r="U590" s="1" t="s">
        <v>149</v>
      </c>
      <c r="V590" s="1" t="s">
        <v>68</v>
      </c>
      <c r="W590" s="1" t="s">
        <v>103</v>
      </c>
    </row>
    <row r="591" spans="1:23" x14ac:dyDescent="0.35">
      <c r="A591" s="1" t="s">
        <v>1418</v>
      </c>
      <c r="B591" s="1" t="s">
        <v>403</v>
      </c>
      <c r="C591">
        <v>49</v>
      </c>
      <c r="D591" s="1" t="s">
        <v>50</v>
      </c>
      <c r="E591" s="1" t="s">
        <v>33</v>
      </c>
      <c r="F591" s="1" t="s">
        <v>108</v>
      </c>
      <c r="G591" s="1" t="s">
        <v>1351</v>
      </c>
      <c r="H591" s="2">
        <v>45569</v>
      </c>
      <c r="I591" s="1" t="s">
        <v>221</v>
      </c>
      <c r="J591" s="1" t="s">
        <v>152</v>
      </c>
      <c r="K591" s="1" t="s">
        <v>208</v>
      </c>
      <c r="L591" s="1" t="s">
        <v>92</v>
      </c>
      <c r="M591" s="1" t="s">
        <v>33</v>
      </c>
      <c r="N591">
        <v>66627.289999999994</v>
      </c>
      <c r="O591">
        <v>7981.15</v>
      </c>
      <c r="P591">
        <v>98961.75</v>
      </c>
      <c r="Q591">
        <v>3</v>
      </c>
      <c r="R591">
        <v>39</v>
      </c>
      <c r="S591">
        <v>5</v>
      </c>
      <c r="T591" s="1" t="s">
        <v>33</v>
      </c>
      <c r="U591" s="1" t="s">
        <v>33</v>
      </c>
      <c r="V591" s="1" t="s">
        <v>33</v>
      </c>
      <c r="W591" s="1" t="s">
        <v>179</v>
      </c>
    </row>
    <row r="592" spans="1:23" x14ac:dyDescent="0.35">
      <c r="A592" s="1" t="s">
        <v>1419</v>
      </c>
      <c r="B592" s="1" t="s">
        <v>181</v>
      </c>
      <c r="C592">
        <v>43</v>
      </c>
      <c r="D592" s="1" t="s">
        <v>39</v>
      </c>
      <c r="E592" s="1" t="s">
        <v>157</v>
      </c>
      <c r="F592" s="1" t="s">
        <v>193</v>
      </c>
      <c r="G592" s="1" t="s">
        <v>554</v>
      </c>
      <c r="H592" s="2">
        <v>45581</v>
      </c>
      <c r="I592" s="1" t="s">
        <v>114</v>
      </c>
      <c r="J592" s="1" t="s">
        <v>147</v>
      </c>
      <c r="K592" s="1" t="s">
        <v>33</v>
      </c>
      <c r="L592" s="1" t="s">
        <v>32</v>
      </c>
      <c r="M592" s="1" t="s">
        <v>33</v>
      </c>
      <c r="N592">
        <v>369851.12</v>
      </c>
      <c r="O592">
        <v>61797.31</v>
      </c>
      <c r="P592">
        <v>41675.620000000003</v>
      </c>
      <c r="Q592">
        <v>2</v>
      </c>
      <c r="R592">
        <v>65</v>
      </c>
      <c r="S592">
        <v>3.6</v>
      </c>
      <c r="T592" s="1" t="s">
        <v>33</v>
      </c>
      <c r="U592" s="1" t="s">
        <v>33</v>
      </c>
      <c r="V592" s="1" t="s">
        <v>33</v>
      </c>
      <c r="W592" s="1" t="s">
        <v>179</v>
      </c>
    </row>
    <row r="593" spans="1:23" x14ac:dyDescent="0.35">
      <c r="A593" s="1" t="s">
        <v>1420</v>
      </c>
      <c r="B593" s="1" t="s">
        <v>683</v>
      </c>
      <c r="C593">
        <v>62</v>
      </c>
      <c r="D593" s="1" t="s">
        <v>106</v>
      </c>
      <c r="E593" s="1" t="s">
        <v>86</v>
      </c>
      <c r="F593" s="1" t="s">
        <v>41</v>
      </c>
      <c r="G593" s="1" t="s">
        <v>1064</v>
      </c>
      <c r="H593" s="2">
        <v>45657</v>
      </c>
      <c r="I593" s="1" t="s">
        <v>100</v>
      </c>
      <c r="J593" s="1" t="s">
        <v>33</v>
      </c>
      <c r="K593" s="1" t="s">
        <v>148</v>
      </c>
      <c r="L593" s="1" t="s">
        <v>92</v>
      </c>
      <c r="M593" s="1" t="s">
        <v>93</v>
      </c>
      <c r="N593">
        <v>220592.18</v>
      </c>
      <c r="O593">
        <v>45472.160000000003</v>
      </c>
      <c r="P593">
        <v>94150.79</v>
      </c>
      <c r="Q593">
        <v>4</v>
      </c>
      <c r="R593">
        <v>123</v>
      </c>
      <c r="S593">
        <v>4.0999999999999996</v>
      </c>
      <c r="T593" s="1" t="s">
        <v>94</v>
      </c>
      <c r="U593" s="1" t="s">
        <v>33</v>
      </c>
      <c r="V593" s="1" t="s">
        <v>164</v>
      </c>
      <c r="W593" s="1" t="s">
        <v>33</v>
      </c>
    </row>
    <row r="594" spans="1:23" x14ac:dyDescent="0.35">
      <c r="A594" s="1" t="s">
        <v>1421</v>
      </c>
      <c r="B594" s="1" t="s">
        <v>70</v>
      </c>
      <c r="C594">
        <v>0</v>
      </c>
      <c r="D594" s="1" t="s">
        <v>25</v>
      </c>
      <c r="E594" s="1" t="s">
        <v>112</v>
      </c>
      <c r="F594" s="1" t="s">
        <v>56</v>
      </c>
      <c r="G594" s="1" t="s">
        <v>1370</v>
      </c>
      <c r="H594" s="2">
        <v>45544</v>
      </c>
      <c r="I594" s="1" t="s">
        <v>173</v>
      </c>
      <c r="J594" s="1" t="s">
        <v>152</v>
      </c>
      <c r="K594" s="1" t="s">
        <v>163</v>
      </c>
      <c r="L594" s="1" t="s">
        <v>33</v>
      </c>
      <c r="M594" s="1" t="s">
        <v>74</v>
      </c>
      <c r="N594">
        <v>274372.59999999998</v>
      </c>
      <c r="O594">
        <v>27629.39</v>
      </c>
      <c r="P594">
        <v>29556.52</v>
      </c>
      <c r="Q594">
        <v>1</v>
      </c>
      <c r="R594">
        <v>113</v>
      </c>
      <c r="S594">
        <v>3.6</v>
      </c>
      <c r="T594" s="1" t="s">
        <v>33</v>
      </c>
      <c r="U594" s="1" t="s">
        <v>95</v>
      </c>
      <c r="V594" s="1" t="s">
        <v>47</v>
      </c>
      <c r="W594" s="1" t="s">
        <v>36</v>
      </c>
    </row>
    <row r="595" spans="1:23" x14ac:dyDescent="0.35">
      <c r="A595" s="1" t="s">
        <v>1422</v>
      </c>
      <c r="B595" s="1" t="s">
        <v>70</v>
      </c>
      <c r="C595">
        <v>44</v>
      </c>
      <c r="D595" s="1" t="s">
        <v>50</v>
      </c>
      <c r="E595" s="1" t="s">
        <v>112</v>
      </c>
      <c r="F595" s="1" t="s">
        <v>145</v>
      </c>
      <c r="G595" s="1" t="s">
        <v>1423</v>
      </c>
      <c r="H595" s="2">
        <v>45692</v>
      </c>
      <c r="I595" s="1" t="s">
        <v>159</v>
      </c>
      <c r="J595" s="1" t="s">
        <v>87</v>
      </c>
      <c r="K595" s="1" t="s">
        <v>174</v>
      </c>
      <c r="L595" s="1" t="s">
        <v>66</v>
      </c>
      <c r="M595" s="1" t="s">
        <v>33</v>
      </c>
      <c r="N595">
        <v>115430.74</v>
      </c>
      <c r="O595">
        <v>54754.16</v>
      </c>
      <c r="P595">
        <v>38486.07</v>
      </c>
      <c r="Q595">
        <v>6</v>
      </c>
      <c r="R595">
        <v>134</v>
      </c>
      <c r="S595">
        <v>3.1</v>
      </c>
      <c r="T595" s="1" t="s">
        <v>94</v>
      </c>
      <c r="U595" s="1" t="s">
        <v>35</v>
      </c>
      <c r="V595" s="1" t="s">
        <v>33</v>
      </c>
      <c r="W595" s="1" t="s">
        <v>179</v>
      </c>
    </row>
    <row r="596" spans="1:23" x14ac:dyDescent="0.35">
      <c r="A596" s="1" t="s">
        <v>1424</v>
      </c>
      <c r="B596" s="1" t="s">
        <v>1425</v>
      </c>
      <c r="C596">
        <v>44</v>
      </c>
      <c r="D596" s="1" t="s">
        <v>25</v>
      </c>
      <c r="E596" s="1" t="s">
        <v>157</v>
      </c>
      <c r="F596" s="1" t="s">
        <v>41</v>
      </c>
      <c r="G596" s="1" t="s">
        <v>1426</v>
      </c>
      <c r="H596" s="2">
        <v>45725</v>
      </c>
      <c r="I596" s="1" t="s">
        <v>100</v>
      </c>
      <c r="J596" s="1" t="s">
        <v>90</v>
      </c>
      <c r="K596" s="1" t="s">
        <v>122</v>
      </c>
      <c r="L596" s="1" t="s">
        <v>92</v>
      </c>
      <c r="M596" s="1" t="s">
        <v>129</v>
      </c>
      <c r="N596">
        <v>221796.01</v>
      </c>
      <c r="O596">
        <v>41995.68</v>
      </c>
      <c r="P596">
        <v>36940.629999999997</v>
      </c>
      <c r="Q596">
        <v>2</v>
      </c>
      <c r="R596">
        <v>0</v>
      </c>
      <c r="S596">
        <v>3.1</v>
      </c>
      <c r="T596" s="1" t="s">
        <v>33</v>
      </c>
      <c r="U596" s="1" t="s">
        <v>95</v>
      </c>
      <c r="V596" s="1" t="s">
        <v>164</v>
      </c>
      <c r="W596" s="1" t="s">
        <v>36</v>
      </c>
    </row>
    <row r="597" spans="1:23" x14ac:dyDescent="0.35">
      <c r="A597" s="1" t="s">
        <v>1427</v>
      </c>
      <c r="B597" s="1" t="s">
        <v>1227</v>
      </c>
      <c r="C597">
        <v>36</v>
      </c>
      <c r="D597" s="1" t="s">
        <v>119</v>
      </c>
      <c r="E597" s="1" t="s">
        <v>72</v>
      </c>
      <c r="F597" s="1" t="s">
        <v>56</v>
      </c>
      <c r="G597" s="1" t="s">
        <v>601</v>
      </c>
      <c r="H597" s="2">
        <v>46214</v>
      </c>
      <c r="I597" s="1" t="s">
        <v>273</v>
      </c>
      <c r="J597" s="1" t="s">
        <v>87</v>
      </c>
      <c r="K597" s="1" t="s">
        <v>91</v>
      </c>
      <c r="L597" s="1" t="s">
        <v>44</v>
      </c>
      <c r="M597" s="1" t="s">
        <v>129</v>
      </c>
      <c r="N597">
        <v>185506.32</v>
      </c>
      <c r="O597">
        <v>54659.41</v>
      </c>
      <c r="P597">
        <v>23640.799999999999</v>
      </c>
      <c r="Q597">
        <v>5</v>
      </c>
      <c r="R597">
        <v>0</v>
      </c>
      <c r="S597">
        <v>3.5</v>
      </c>
      <c r="T597" s="1" t="s">
        <v>94</v>
      </c>
      <c r="U597" s="1" t="s">
        <v>58</v>
      </c>
      <c r="V597" s="1" t="s">
        <v>164</v>
      </c>
      <c r="W597" s="1" t="s">
        <v>103</v>
      </c>
    </row>
    <row r="598" spans="1:23" x14ac:dyDescent="0.35">
      <c r="A598" s="1" t="s">
        <v>1428</v>
      </c>
      <c r="B598" s="1" t="s">
        <v>1381</v>
      </c>
      <c r="C598">
        <v>21</v>
      </c>
      <c r="D598" s="1" t="s">
        <v>33</v>
      </c>
      <c r="E598" s="1" t="s">
        <v>33</v>
      </c>
      <c r="F598" s="1" t="s">
        <v>33</v>
      </c>
      <c r="G598" s="1" t="s">
        <v>782</v>
      </c>
      <c r="H598" s="2">
        <v>46007</v>
      </c>
      <c r="I598" s="1" t="s">
        <v>127</v>
      </c>
      <c r="J598" s="1" t="s">
        <v>33</v>
      </c>
      <c r="K598" s="1" t="s">
        <v>122</v>
      </c>
      <c r="L598" s="1" t="s">
        <v>92</v>
      </c>
      <c r="M598" s="1" t="s">
        <v>57</v>
      </c>
      <c r="N598">
        <v>195447.02</v>
      </c>
      <c r="O598">
        <v>42287.64</v>
      </c>
      <c r="P598">
        <v>44721.34</v>
      </c>
      <c r="Q598">
        <v>2</v>
      </c>
      <c r="R598">
        <v>118</v>
      </c>
      <c r="S598">
        <v>5</v>
      </c>
      <c r="T598" s="1" t="s">
        <v>46</v>
      </c>
      <c r="U598" s="1" t="s">
        <v>101</v>
      </c>
      <c r="V598" s="1" t="s">
        <v>130</v>
      </c>
      <c r="W598" s="1" t="s">
        <v>36</v>
      </c>
    </row>
    <row r="599" spans="1:23" x14ac:dyDescent="0.35">
      <c r="A599" s="1" t="s">
        <v>1429</v>
      </c>
      <c r="B599" s="1" t="s">
        <v>297</v>
      </c>
      <c r="C599">
        <v>49</v>
      </c>
      <c r="D599" s="1" t="s">
        <v>106</v>
      </c>
      <c r="E599" s="1" t="s">
        <v>26</v>
      </c>
      <c r="F599" s="1" t="s">
        <v>27</v>
      </c>
      <c r="G599" s="1" t="s">
        <v>841</v>
      </c>
      <c r="H599" s="2">
        <v>46035</v>
      </c>
      <c r="I599" s="1" t="s">
        <v>53</v>
      </c>
      <c r="J599" s="1" t="s">
        <v>242</v>
      </c>
      <c r="K599" s="1" t="s">
        <v>33</v>
      </c>
      <c r="L599" s="1" t="s">
        <v>44</v>
      </c>
      <c r="M599" s="1" t="s">
        <v>57</v>
      </c>
      <c r="N599">
        <v>148710.13</v>
      </c>
      <c r="O599">
        <v>8841.01</v>
      </c>
      <c r="P599">
        <v>27452.77</v>
      </c>
      <c r="Q599">
        <v>2</v>
      </c>
      <c r="R599">
        <v>59</v>
      </c>
      <c r="S599">
        <v>4.2</v>
      </c>
      <c r="T599" s="1" t="s">
        <v>94</v>
      </c>
      <c r="U599" s="1" t="s">
        <v>58</v>
      </c>
      <c r="V599" s="1" t="s">
        <v>75</v>
      </c>
      <c r="W599" s="1" t="s">
        <v>12</v>
      </c>
    </row>
    <row r="600" spans="1:23" x14ac:dyDescent="0.35">
      <c r="A600" s="1" t="s">
        <v>1430</v>
      </c>
      <c r="B600" s="1" t="s">
        <v>279</v>
      </c>
      <c r="C600">
        <v>27</v>
      </c>
      <c r="D600" s="1" t="s">
        <v>25</v>
      </c>
      <c r="E600" s="1" t="s">
        <v>177</v>
      </c>
      <c r="F600" s="1" t="s">
        <v>227</v>
      </c>
      <c r="G600" s="1" t="s">
        <v>1431</v>
      </c>
      <c r="H600" s="2">
        <v>45779</v>
      </c>
      <c r="I600" s="1" t="s">
        <v>277</v>
      </c>
      <c r="J600" s="1" t="s">
        <v>43</v>
      </c>
      <c r="K600" s="1" t="s">
        <v>81</v>
      </c>
      <c r="L600" s="1" t="s">
        <v>33</v>
      </c>
      <c r="M600" s="1" t="s">
        <v>129</v>
      </c>
      <c r="N600">
        <v>161672.46</v>
      </c>
      <c r="O600">
        <v>28421.919999999998</v>
      </c>
      <c r="P600">
        <v>56873.97</v>
      </c>
      <c r="Q600">
        <v>16</v>
      </c>
      <c r="R600">
        <v>114</v>
      </c>
      <c r="S600">
        <v>5</v>
      </c>
      <c r="T600" s="1" t="s">
        <v>33</v>
      </c>
      <c r="U600" s="1" t="s">
        <v>33</v>
      </c>
      <c r="V600" s="1" t="s">
        <v>75</v>
      </c>
      <c r="W600" s="1" t="s">
        <v>33</v>
      </c>
    </row>
    <row r="601" spans="1:23" x14ac:dyDescent="0.35">
      <c r="A601" s="1" t="s">
        <v>1432</v>
      </c>
      <c r="B601" s="1" t="s">
        <v>871</v>
      </c>
      <c r="C601">
        <v>0</v>
      </c>
      <c r="D601" s="1" t="s">
        <v>71</v>
      </c>
      <c r="E601" s="1" t="s">
        <v>86</v>
      </c>
      <c r="F601" s="1" t="s">
        <v>63</v>
      </c>
      <c r="G601" s="1" t="s">
        <v>276</v>
      </c>
      <c r="H601" s="2">
        <v>45787</v>
      </c>
      <c r="I601" s="1" t="s">
        <v>114</v>
      </c>
      <c r="J601" s="1" t="s">
        <v>80</v>
      </c>
      <c r="K601" s="1" t="s">
        <v>55</v>
      </c>
      <c r="L601" s="1" t="s">
        <v>66</v>
      </c>
      <c r="M601" s="1" t="s">
        <v>123</v>
      </c>
      <c r="N601">
        <v>150577.06</v>
      </c>
      <c r="O601">
        <v>57432.5</v>
      </c>
      <c r="P601">
        <v>0</v>
      </c>
      <c r="Q601">
        <v>1</v>
      </c>
      <c r="R601">
        <v>0</v>
      </c>
      <c r="S601">
        <v>4.4000000000000004</v>
      </c>
      <c r="T601" s="1" t="s">
        <v>34</v>
      </c>
      <c r="U601" s="1" t="s">
        <v>101</v>
      </c>
      <c r="V601" s="1" t="s">
        <v>68</v>
      </c>
      <c r="W601" s="1" t="s">
        <v>131</v>
      </c>
    </row>
    <row r="602" spans="1:23" x14ac:dyDescent="0.35">
      <c r="A602" s="1" t="s">
        <v>1433</v>
      </c>
      <c r="B602" s="1" t="s">
        <v>350</v>
      </c>
      <c r="C602">
        <v>19</v>
      </c>
      <c r="D602" s="1" t="s">
        <v>25</v>
      </c>
      <c r="E602" s="1" t="s">
        <v>72</v>
      </c>
      <c r="F602" s="1" t="s">
        <v>108</v>
      </c>
      <c r="G602" s="1" t="s">
        <v>1434</v>
      </c>
      <c r="H602" s="2">
        <v>45794</v>
      </c>
      <c r="I602" s="1" t="s">
        <v>33</v>
      </c>
      <c r="J602" s="1" t="s">
        <v>54</v>
      </c>
      <c r="K602" s="1" t="s">
        <v>33</v>
      </c>
      <c r="L602" s="1" t="s">
        <v>66</v>
      </c>
      <c r="M602" s="1" t="s">
        <v>93</v>
      </c>
      <c r="N602">
        <v>82024.460000000006</v>
      </c>
      <c r="O602">
        <v>5756.41</v>
      </c>
      <c r="P602">
        <v>48316.06</v>
      </c>
      <c r="Q602">
        <v>3</v>
      </c>
      <c r="R602">
        <v>48</v>
      </c>
      <c r="S602">
        <v>4.3</v>
      </c>
      <c r="T602" s="1" t="s">
        <v>34</v>
      </c>
      <c r="U602" s="1" t="s">
        <v>33</v>
      </c>
      <c r="V602" s="1" t="s">
        <v>102</v>
      </c>
      <c r="W602" s="1" t="s">
        <v>33</v>
      </c>
    </row>
    <row r="603" spans="1:23" x14ac:dyDescent="0.35">
      <c r="A603" s="1" t="s">
        <v>1435</v>
      </c>
      <c r="B603" s="1" t="s">
        <v>347</v>
      </c>
      <c r="C603">
        <v>24</v>
      </c>
      <c r="D603" s="1" t="s">
        <v>39</v>
      </c>
      <c r="E603" s="1" t="s">
        <v>112</v>
      </c>
      <c r="F603" s="1" t="s">
        <v>120</v>
      </c>
      <c r="G603" s="1" t="s">
        <v>1436</v>
      </c>
      <c r="H603" s="2">
        <v>45500</v>
      </c>
      <c r="I603" s="1" t="s">
        <v>29</v>
      </c>
      <c r="J603" s="1" t="s">
        <v>115</v>
      </c>
      <c r="K603" s="1" t="s">
        <v>163</v>
      </c>
      <c r="L603" s="1" t="s">
        <v>33</v>
      </c>
      <c r="M603" s="1" t="s">
        <v>93</v>
      </c>
      <c r="N603">
        <v>62352.45</v>
      </c>
      <c r="O603">
        <v>23591.48</v>
      </c>
      <c r="P603">
        <v>28858.57</v>
      </c>
      <c r="Q603">
        <v>1</v>
      </c>
      <c r="R603">
        <v>154</v>
      </c>
      <c r="S603">
        <v>1.3</v>
      </c>
      <c r="T603" s="1" t="s">
        <v>34</v>
      </c>
      <c r="U603" s="1" t="s">
        <v>35</v>
      </c>
      <c r="V603" s="1" t="s">
        <v>102</v>
      </c>
      <c r="W603" s="1" t="s">
        <v>33</v>
      </c>
    </row>
    <row r="604" spans="1:23" x14ac:dyDescent="0.35">
      <c r="A604" s="1" t="s">
        <v>1437</v>
      </c>
      <c r="B604" s="1" t="s">
        <v>483</v>
      </c>
      <c r="C604">
        <v>55</v>
      </c>
      <c r="D604" s="1" t="s">
        <v>33</v>
      </c>
      <c r="E604" s="1" t="s">
        <v>219</v>
      </c>
      <c r="F604" s="1" t="s">
        <v>63</v>
      </c>
      <c r="G604" s="1" t="s">
        <v>1438</v>
      </c>
      <c r="H604" s="2">
        <v>45838</v>
      </c>
      <c r="I604" s="1" t="s">
        <v>127</v>
      </c>
      <c r="J604" s="1" t="s">
        <v>33</v>
      </c>
      <c r="K604" s="1" t="s">
        <v>174</v>
      </c>
      <c r="L604" s="1" t="s">
        <v>44</v>
      </c>
      <c r="M604" s="1" t="s">
        <v>74</v>
      </c>
      <c r="N604">
        <v>479930.64</v>
      </c>
      <c r="O604">
        <v>17955.849999999999</v>
      </c>
      <c r="P604">
        <v>54733.760000000002</v>
      </c>
      <c r="Q604">
        <v>3</v>
      </c>
      <c r="R604">
        <v>0</v>
      </c>
      <c r="T604" s="1" t="s">
        <v>33</v>
      </c>
      <c r="U604" s="1" t="s">
        <v>101</v>
      </c>
      <c r="V604" s="1" t="s">
        <v>102</v>
      </c>
      <c r="W604" s="1" t="s">
        <v>179</v>
      </c>
    </row>
    <row r="605" spans="1:23" x14ac:dyDescent="0.35">
      <c r="A605" s="1" t="s">
        <v>1439</v>
      </c>
      <c r="B605" s="1" t="s">
        <v>1350</v>
      </c>
      <c r="C605">
        <v>42</v>
      </c>
      <c r="D605" s="1" t="s">
        <v>39</v>
      </c>
      <c r="E605" s="1" t="s">
        <v>112</v>
      </c>
      <c r="F605" s="1" t="s">
        <v>63</v>
      </c>
      <c r="G605" s="1" t="s">
        <v>1440</v>
      </c>
      <c r="H605" s="2">
        <v>45688</v>
      </c>
      <c r="I605" s="1" t="s">
        <v>159</v>
      </c>
      <c r="J605" s="1" t="s">
        <v>115</v>
      </c>
      <c r="K605" s="1" t="s">
        <v>163</v>
      </c>
      <c r="L605" s="1" t="s">
        <v>92</v>
      </c>
      <c r="M605" s="1" t="s">
        <v>93</v>
      </c>
      <c r="N605">
        <v>384991.78</v>
      </c>
      <c r="O605">
        <v>0</v>
      </c>
      <c r="P605">
        <v>60597.06</v>
      </c>
      <c r="Q605">
        <v>5</v>
      </c>
      <c r="R605">
        <v>235</v>
      </c>
      <c r="S605">
        <v>4.2</v>
      </c>
      <c r="T605" s="1" t="s">
        <v>33</v>
      </c>
      <c r="U605" s="1" t="s">
        <v>33</v>
      </c>
      <c r="V605" s="1" t="s">
        <v>33</v>
      </c>
      <c r="W605" s="1" t="s">
        <v>131</v>
      </c>
    </row>
    <row r="606" spans="1:23" x14ac:dyDescent="0.35">
      <c r="A606" s="1" t="s">
        <v>1441</v>
      </c>
      <c r="B606" s="1" t="s">
        <v>491</v>
      </c>
      <c r="C606">
        <v>43</v>
      </c>
      <c r="D606" s="1" t="s">
        <v>50</v>
      </c>
      <c r="E606" s="1" t="s">
        <v>40</v>
      </c>
      <c r="F606" s="1" t="s">
        <v>120</v>
      </c>
      <c r="G606" s="1" t="s">
        <v>1442</v>
      </c>
      <c r="H606" s="2">
        <v>45884</v>
      </c>
      <c r="I606" s="1" t="s">
        <v>127</v>
      </c>
      <c r="J606" s="1" t="s">
        <v>242</v>
      </c>
      <c r="K606" s="1" t="s">
        <v>31</v>
      </c>
      <c r="L606" s="1" t="s">
        <v>92</v>
      </c>
      <c r="M606" s="1" t="s">
        <v>33</v>
      </c>
      <c r="N606">
        <v>76.599999999999994</v>
      </c>
      <c r="O606">
        <v>63889.32</v>
      </c>
      <c r="P606">
        <v>26674.27</v>
      </c>
      <c r="Q606">
        <v>3</v>
      </c>
      <c r="R606">
        <v>132</v>
      </c>
      <c r="S606">
        <v>1.7</v>
      </c>
      <c r="T606" s="1" t="s">
        <v>34</v>
      </c>
      <c r="U606" s="1" t="s">
        <v>33</v>
      </c>
      <c r="V606" s="1" t="s">
        <v>33</v>
      </c>
      <c r="W606" s="1" t="s">
        <v>179</v>
      </c>
    </row>
    <row r="607" spans="1:23" x14ac:dyDescent="0.35">
      <c r="A607" s="1" t="s">
        <v>1443</v>
      </c>
      <c r="B607" s="1" t="s">
        <v>285</v>
      </c>
      <c r="C607">
        <v>74</v>
      </c>
      <c r="D607" s="1" t="s">
        <v>106</v>
      </c>
      <c r="E607" s="1" t="s">
        <v>107</v>
      </c>
      <c r="F607" s="1" t="s">
        <v>27</v>
      </c>
      <c r="G607" s="1" t="s">
        <v>1444</v>
      </c>
      <c r="H607" s="2">
        <v>45501</v>
      </c>
      <c r="I607" s="1" t="s">
        <v>114</v>
      </c>
      <c r="J607" s="1" t="s">
        <v>80</v>
      </c>
      <c r="K607" s="1" t="s">
        <v>148</v>
      </c>
      <c r="L607" s="1" t="s">
        <v>44</v>
      </c>
      <c r="M607" s="1" t="s">
        <v>45</v>
      </c>
      <c r="N607">
        <v>171377.68</v>
      </c>
      <c r="O607">
        <v>66331.89</v>
      </c>
      <c r="P607">
        <v>42653.08</v>
      </c>
      <c r="Q607">
        <v>1</v>
      </c>
      <c r="R607">
        <v>0</v>
      </c>
      <c r="S607">
        <v>4.9000000000000004</v>
      </c>
      <c r="T607" s="1" t="s">
        <v>46</v>
      </c>
      <c r="U607" s="1" t="s">
        <v>33</v>
      </c>
      <c r="V607" s="1" t="s">
        <v>164</v>
      </c>
      <c r="W607" s="1" t="s">
        <v>59</v>
      </c>
    </row>
    <row r="608" spans="1:23" x14ac:dyDescent="0.35">
      <c r="A608" s="1" t="s">
        <v>1445</v>
      </c>
      <c r="B608" s="1" t="s">
        <v>1224</v>
      </c>
      <c r="C608">
        <v>58</v>
      </c>
      <c r="D608" s="1" t="s">
        <v>33</v>
      </c>
      <c r="E608" s="1" t="s">
        <v>134</v>
      </c>
      <c r="F608" s="1" t="s">
        <v>227</v>
      </c>
      <c r="G608" s="1" t="s">
        <v>849</v>
      </c>
      <c r="H608" s="2">
        <v>45307</v>
      </c>
      <c r="I608" s="1" t="s">
        <v>273</v>
      </c>
      <c r="J608" s="1" t="s">
        <v>147</v>
      </c>
      <c r="K608" s="1" t="s">
        <v>153</v>
      </c>
      <c r="L608" s="1" t="s">
        <v>44</v>
      </c>
      <c r="M608" s="1" t="s">
        <v>45</v>
      </c>
      <c r="N608">
        <v>223529.52</v>
      </c>
      <c r="O608">
        <v>0</v>
      </c>
      <c r="P608">
        <v>49928.84</v>
      </c>
      <c r="Q608">
        <v>2</v>
      </c>
      <c r="R608">
        <v>259</v>
      </c>
      <c r="T608" s="1" t="s">
        <v>33</v>
      </c>
      <c r="U608" s="1" t="s">
        <v>95</v>
      </c>
      <c r="V608" s="1" t="s">
        <v>47</v>
      </c>
      <c r="W608" s="1" t="s">
        <v>33</v>
      </c>
    </row>
    <row r="609" spans="1:23" x14ac:dyDescent="0.35">
      <c r="A609" s="1" t="s">
        <v>1446</v>
      </c>
      <c r="B609" s="1" t="s">
        <v>321</v>
      </c>
      <c r="C609">
        <v>66</v>
      </c>
      <c r="D609" s="1" t="s">
        <v>50</v>
      </c>
      <c r="E609" s="1" t="s">
        <v>40</v>
      </c>
      <c r="F609" s="1" t="s">
        <v>145</v>
      </c>
      <c r="G609" s="1" t="s">
        <v>88</v>
      </c>
      <c r="H609" s="2">
        <v>45991</v>
      </c>
      <c r="I609" s="1" t="s">
        <v>33</v>
      </c>
      <c r="J609" s="1" t="s">
        <v>147</v>
      </c>
      <c r="K609" s="1" t="s">
        <v>33</v>
      </c>
      <c r="L609" s="1" t="s">
        <v>32</v>
      </c>
      <c r="M609" s="1" t="s">
        <v>57</v>
      </c>
      <c r="N609">
        <v>249493.59</v>
      </c>
      <c r="O609">
        <v>35238.36</v>
      </c>
      <c r="P609">
        <v>12251.24</v>
      </c>
      <c r="Q609">
        <v>3</v>
      </c>
      <c r="R609">
        <v>112</v>
      </c>
      <c r="T609" s="1" t="s">
        <v>154</v>
      </c>
      <c r="U609" s="1" t="s">
        <v>58</v>
      </c>
      <c r="V609" s="1" t="s">
        <v>47</v>
      </c>
      <c r="W609" s="1" t="s">
        <v>33</v>
      </c>
    </row>
    <row r="610" spans="1:23" x14ac:dyDescent="0.35">
      <c r="A610" s="1" t="s">
        <v>1447</v>
      </c>
      <c r="B610" s="1" t="s">
        <v>1037</v>
      </c>
      <c r="C610">
        <v>74</v>
      </c>
      <c r="D610" s="1" t="s">
        <v>50</v>
      </c>
      <c r="E610" s="1" t="s">
        <v>72</v>
      </c>
      <c r="F610" s="1" t="s">
        <v>145</v>
      </c>
      <c r="G610" s="1" t="s">
        <v>1064</v>
      </c>
      <c r="H610" s="2">
        <v>45654</v>
      </c>
      <c r="I610" s="1" t="s">
        <v>33</v>
      </c>
      <c r="J610" s="1" t="s">
        <v>87</v>
      </c>
      <c r="K610" s="1" t="s">
        <v>153</v>
      </c>
      <c r="L610" s="1" t="s">
        <v>33</v>
      </c>
      <c r="M610" s="1" t="s">
        <v>123</v>
      </c>
      <c r="N610">
        <v>207161.16</v>
      </c>
      <c r="O610">
        <v>7805.76</v>
      </c>
      <c r="P610">
        <v>74928.960000000006</v>
      </c>
      <c r="Q610">
        <v>1</v>
      </c>
      <c r="R610">
        <v>73</v>
      </c>
      <c r="S610">
        <v>4.7</v>
      </c>
      <c r="T610" s="1" t="s">
        <v>46</v>
      </c>
      <c r="U610" s="1" t="s">
        <v>95</v>
      </c>
      <c r="V610" s="1" t="s">
        <v>102</v>
      </c>
      <c r="W610" s="1" t="s">
        <v>179</v>
      </c>
    </row>
    <row r="611" spans="1:23" x14ac:dyDescent="0.35">
      <c r="A611" s="1" t="s">
        <v>1448</v>
      </c>
      <c r="B611" s="1" t="s">
        <v>1449</v>
      </c>
      <c r="C611">
        <v>41</v>
      </c>
      <c r="D611" s="1" t="s">
        <v>71</v>
      </c>
      <c r="E611" s="1" t="s">
        <v>86</v>
      </c>
      <c r="F611" s="1" t="s">
        <v>108</v>
      </c>
      <c r="G611" s="1" t="s">
        <v>492</v>
      </c>
      <c r="H611" s="2">
        <v>45662</v>
      </c>
      <c r="I611" s="1" t="s">
        <v>89</v>
      </c>
      <c r="J611" s="1" t="s">
        <v>65</v>
      </c>
      <c r="K611" s="1" t="s">
        <v>55</v>
      </c>
      <c r="L611" s="1" t="s">
        <v>66</v>
      </c>
      <c r="M611" s="1" t="s">
        <v>33</v>
      </c>
      <c r="N611">
        <v>289098.43</v>
      </c>
      <c r="O611">
        <v>37272.43</v>
      </c>
      <c r="P611">
        <v>0</v>
      </c>
      <c r="Q611">
        <v>2</v>
      </c>
      <c r="R611">
        <v>10</v>
      </c>
      <c r="S611">
        <v>4.9000000000000004</v>
      </c>
      <c r="T611" s="1" t="s">
        <v>33</v>
      </c>
      <c r="U611" s="1" t="s">
        <v>33</v>
      </c>
      <c r="V611" s="1" t="s">
        <v>102</v>
      </c>
      <c r="W611" s="1" t="s">
        <v>12</v>
      </c>
    </row>
    <row r="612" spans="1:23" x14ac:dyDescent="0.35">
      <c r="A612" s="1" t="s">
        <v>1450</v>
      </c>
      <c r="B612" s="1" t="s">
        <v>1224</v>
      </c>
      <c r="C612">
        <v>31</v>
      </c>
      <c r="D612" s="1" t="s">
        <v>119</v>
      </c>
      <c r="E612" s="1" t="s">
        <v>33</v>
      </c>
      <c r="F612" s="1" t="s">
        <v>27</v>
      </c>
      <c r="G612" s="1" t="s">
        <v>1451</v>
      </c>
      <c r="H612" s="2">
        <v>45489</v>
      </c>
      <c r="I612" s="1" t="s">
        <v>235</v>
      </c>
      <c r="J612" s="1" t="s">
        <v>33</v>
      </c>
      <c r="K612" s="1" t="s">
        <v>81</v>
      </c>
      <c r="L612" s="1" t="s">
        <v>44</v>
      </c>
      <c r="M612" s="1" t="s">
        <v>129</v>
      </c>
      <c r="N612">
        <v>29799.64</v>
      </c>
      <c r="O612">
        <v>3006.59</v>
      </c>
      <c r="P612">
        <v>0</v>
      </c>
      <c r="Q612">
        <v>2</v>
      </c>
      <c r="R612">
        <v>87</v>
      </c>
      <c r="S612">
        <v>2.9</v>
      </c>
      <c r="T612" s="1" t="s">
        <v>34</v>
      </c>
      <c r="U612" s="1" t="s">
        <v>33</v>
      </c>
      <c r="V612" s="1" t="s">
        <v>47</v>
      </c>
      <c r="W612" s="1" t="s">
        <v>12</v>
      </c>
    </row>
    <row r="613" spans="1:23" x14ac:dyDescent="0.35">
      <c r="A613" s="1" t="s">
        <v>1452</v>
      </c>
      <c r="B613" s="1" t="s">
        <v>1276</v>
      </c>
      <c r="C613">
        <v>41</v>
      </c>
      <c r="D613" s="1" t="s">
        <v>78</v>
      </c>
      <c r="E613" s="1" t="s">
        <v>107</v>
      </c>
      <c r="F613" s="1" t="s">
        <v>41</v>
      </c>
      <c r="G613" s="1" t="s">
        <v>1453</v>
      </c>
      <c r="H613" s="2">
        <v>45589</v>
      </c>
      <c r="I613" s="1" t="s">
        <v>114</v>
      </c>
      <c r="J613" s="1" t="s">
        <v>87</v>
      </c>
      <c r="K613" s="1" t="s">
        <v>33</v>
      </c>
      <c r="L613" s="1" t="s">
        <v>66</v>
      </c>
      <c r="M613" s="1" t="s">
        <v>169</v>
      </c>
      <c r="N613">
        <v>270955.89</v>
      </c>
      <c r="O613">
        <v>82329.95</v>
      </c>
      <c r="P613">
        <v>0</v>
      </c>
      <c r="Q613">
        <v>1</v>
      </c>
      <c r="R613">
        <v>181</v>
      </c>
      <c r="S613">
        <v>5</v>
      </c>
      <c r="T613" s="1" t="s">
        <v>33</v>
      </c>
      <c r="U613" s="1" t="s">
        <v>95</v>
      </c>
      <c r="V613" s="1" t="s">
        <v>68</v>
      </c>
      <c r="W613" s="1" t="s">
        <v>12</v>
      </c>
    </row>
    <row r="614" spans="1:23" x14ac:dyDescent="0.35">
      <c r="A614" s="1" t="s">
        <v>1454</v>
      </c>
      <c r="B614" s="1" t="s">
        <v>294</v>
      </c>
      <c r="C614">
        <v>47</v>
      </c>
      <c r="D614" s="1" t="s">
        <v>50</v>
      </c>
      <c r="E614" s="1" t="s">
        <v>177</v>
      </c>
      <c r="F614" s="1" t="s">
        <v>227</v>
      </c>
      <c r="G614" s="1" t="s">
        <v>1455</v>
      </c>
      <c r="H614" s="2">
        <v>45344</v>
      </c>
      <c r="I614" s="1" t="s">
        <v>114</v>
      </c>
      <c r="J614" s="1" t="s">
        <v>43</v>
      </c>
      <c r="K614" s="1" t="s">
        <v>33</v>
      </c>
      <c r="L614" s="1" t="s">
        <v>92</v>
      </c>
      <c r="M614" s="1" t="s">
        <v>33</v>
      </c>
      <c r="N614">
        <v>155931.35</v>
      </c>
      <c r="O614">
        <v>34642.21</v>
      </c>
      <c r="P614">
        <v>90273.93</v>
      </c>
      <c r="Q614">
        <v>1</v>
      </c>
      <c r="R614">
        <v>140</v>
      </c>
      <c r="S614">
        <v>4.4000000000000004</v>
      </c>
      <c r="T614" s="1" t="s">
        <v>46</v>
      </c>
      <c r="U614" s="1" t="s">
        <v>149</v>
      </c>
      <c r="V614" s="1" t="s">
        <v>75</v>
      </c>
      <c r="W614" s="1" t="s">
        <v>12</v>
      </c>
    </row>
    <row r="615" spans="1:23" x14ac:dyDescent="0.35">
      <c r="A615" s="1" t="s">
        <v>1456</v>
      </c>
      <c r="B615" s="1" t="s">
        <v>488</v>
      </c>
      <c r="C615">
        <v>10</v>
      </c>
      <c r="D615" s="1" t="s">
        <v>71</v>
      </c>
      <c r="E615" s="1" t="s">
        <v>62</v>
      </c>
      <c r="F615" s="1" t="s">
        <v>87</v>
      </c>
      <c r="G615" s="1" t="s">
        <v>1120</v>
      </c>
      <c r="H615" s="2">
        <v>45657</v>
      </c>
      <c r="I615" s="1" t="s">
        <v>89</v>
      </c>
      <c r="J615" s="1" t="s">
        <v>33</v>
      </c>
      <c r="K615" s="1" t="s">
        <v>55</v>
      </c>
      <c r="L615" s="1" t="s">
        <v>66</v>
      </c>
      <c r="M615" s="1" t="s">
        <v>93</v>
      </c>
      <c r="N615">
        <v>190814.45</v>
      </c>
      <c r="O615">
        <v>60165.2</v>
      </c>
      <c r="P615">
        <v>0</v>
      </c>
      <c r="Q615">
        <v>2</v>
      </c>
      <c r="R615">
        <v>15</v>
      </c>
      <c r="S615">
        <v>3.9</v>
      </c>
      <c r="T615" s="1" t="s">
        <v>33</v>
      </c>
      <c r="U615" s="1" t="s">
        <v>58</v>
      </c>
      <c r="V615" s="1" t="s">
        <v>102</v>
      </c>
      <c r="W615" s="1" t="s">
        <v>179</v>
      </c>
    </row>
    <row r="616" spans="1:23" x14ac:dyDescent="0.35">
      <c r="A616" s="1" t="s">
        <v>1457</v>
      </c>
      <c r="B616" s="1" t="s">
        <v>1407</v>
      </c>
      <c r="C616">
        <v>25</v>
      </c>
      <c r="D616" s="1" t="s">
        <v>71</v>
      </c>
      <c r="E616" s="1" t="s">
        <v>107</v>
      </c>
      <c r="F616" s="1" t="s">
        <v>63</v>
      </c>
      <c r="G616" s="1" t="s">
        <v>843</v>
      </c>
      <c r="H616" s="2">
        <v>45860</v>
      </c>
      <c r="I616" s="1" t="s">
        <v>221</v>
      </c>
      <c r="J616" s="1" t="s">
        <v>242</v>
      </c>
      <c r="K616" s="1" t="s">
        <v>81</v>
      </c>
      <c r="L616" s="1" t="s">
        <v>33</v>
      </c>
      <c r="M616" s="1" t="s">
        <v>142</v>
      </c>
      <c r="N616">
        <v>160696.20000000001</v>
      </c>
      <c r="O616">
        <v>0</v>
      </c>
      <c r="P616">
        <v>15776.34</v>
      </c>
      <c r="Q616">
        <v>1</v>
      </c>
      <c r="R616">
        <v>147</v>
      </c>
      <c r="S616">
        <v>2</v>
      </c>
      <c r="T616" s="1" t="s">
        <v>34</v>
      </c>
      <c r="U616" s="1" t="s">
        <v>149</v>
      </c>
      <c r="V616" s="1" t="s">
        <v>33</v>
      </c>
      <c r="W616" s="1" t="s">
        <v>179</v>
      </c>
    </row>
    <row r="617" spans="1:23" x14ac:dyDescent="0.35">
      <c r="A617" s="1" t="s">
        <v>1458</v>
      </c>
      <c r="B617" s="1" t="s">
        <v>371</v>
      </c>
      <c r="C617">
        <v>29</v>
      </c>
      <c r="D617" s="1" t="s">
        <v>106</v>
      </c>
      <c r="E617" s="1" t="s">
        <v>134</v>
      </c>
      <c r="F617" s="1" t="s">
        <v>41</v>
      </c>
      <c r="G617" s="1" t="s">
        <v>1459</v>
      </c>
      <c r="H617" s="2">
        <v>45772</v>
      </c>
      <c r="I617" s="1" t="s">
        <v>168</v>
      </c>
      <c r="J617" s="1" t="s">
        <v>115</v>
      </c>
      <c r="K617" s="1" t="s">
        <v>91</v>
      </c>
      <c r="L617" s="1" t="s">
        <v>44</v>
      </c>
      <c r="M617" s="1" t="s">
        <v>123</v>
      </c>
      <c r="N617">
        <v>322473.77</v>
      </c>
      <c r="O617">
        <v>25076.95</v>
      </c>
      <c r="P617">
        <v>31062.57</v>
      </c>
      <c r="Q617">
        <v>1</v>
      </c>
      <c r="R617">
        <v>98</v>
      </c>
      <c r="S617">
        <v>1.4</v>
      </c>
      <c r="T617" s="1" t="s">
        <v>33</v>
      </c>
      <c r="U617" s="1" t="s">
        <v>33</v>
      </c>
      <c r="V617" s="1" t="s">
        <v>75</v>
      </c>
      <c r="W617" s="1" t="s">
        <v>83</v>
      </c>
    </row>
    <row r="618" spans="1:23" x14ac:dyDescent="0.35">
      <c r="A618" s="1" t="s">
        <v>1460</v>
      </c>
      <c r="B618" s="1" t="s">
        <v>181</v>
      </c>
      <c r="C618">
        <v>51</v>
      </c>
      <c r="D618" s="1" t="s">
        <v>50</v>
      </c>
      <c r="E618" s="1" t="s">
        <v>51</v>
      </c>
      <c r="F618" s="1" t="s">
        <v>98</v>
      </c>
      <c r="G618" s="1" t="s">
        <v>1461</v>
      </c>
      <c r="H618" s="2">
        <v>45875</v>
      </c>
      <c r="I618" s="1" t="s">
        <v>89</v>
      </c>
      <c r="J618" s="1" t="s">
        <v>147</v>
      </c>
      <c r="K618" s="1" t="s">
        <v>128</v>
      </c>
      <c r="L618" s="1" t="s">
        <v>33</v>
      </c>
      <c r="M618" s="1" t="s">
        <v>169</v>
      </c>
      <c r="N618">
        <v>162696.81</v>
      </c>
      <c r="O618">
        <v>55148.11</v>
      </c>
      <c r="P618">
        <v>11175.12</v>
      </c>
      <c r="Q618">
        <v>4</v>
      </c>
      <c r="R618">
        <v>179</v>
      </c>
      <c r="S618">
        <v>3.9</v>
      </c>
      <c r="T618" s="1" t="s">
        <v>34</v>
      </c>
      <c r="U618" s="1" t="s">
        <v>33</v>
      </c>
      <c r="V618" s="1" t="s">
        <v>130</v>
      </c>
      <c r="W618" s="1" t="s">
        <v>131</v>
      </c>
    </row>
    <row r="619" spans="1:23" x14ac:dyDescent="0.35">
      <c r="A619" s="1" t="s">
        <v>1462</v>
      </c>
      <c r="B619" s="1" t="s">
        <v>1018</v>
      </c>
      <c r="C619">
        <v>42</v>
      </c>
      <c r="D619" s="1" t="s">
        <v>33</v>
      </c>
      <c r="E619" s="1" t="s">
        <v>72</v>
      </c>
      <c r="F619" s="1" t="s">
        <v>33</v>
      </c>
      <c r="G619" s="1" t="s">
        <v>1461</v>
      </c>
      <c r="H619" s="2">
        <v>45873</v>
      </c>
      <c r="I619" s="1" t="s">
        <v>53</v>
      </c>
      <c r="J619" s="1" t="s">
        <v>87</v>
      </c>
      <c r="K619" s="1" t="s">
        <v>208</v>
      </c>
      <c r="L619" s="1" t="s">
        <v>92</v>
      </c>
      <c r="M619" s="1" t="s">
        <v>33</v>
      </c>
      <c r="N619">
        <v>204982.93</v>
      </c>
      <c r="O619">
        <v>60507.07</v>
      </c>
      <c r="P619">
        <v>12699.63</v>
      </c>
      <c r="Q619">
        <v>2</v>
      </c>
      <c r="R619">
        <v>37</v>
      </c>
      <c r="S619">
        <v>5</v>
      </c>
      <c r="T619" s="1" t="s">
        <v>46</v>
      </c>
      <c r="U619" s="1" t="s">
        <v>95</v>
      </c>
      <c r="V619" s="1" t="s">
        <v>68</v>
      </c>
      <c r="W619" s="1" t="s">
        <v>33</v>
      </c>
    </row>
    <row r="620" spans="1:23" x14ac:dyDescent="0.35">
      <c r="A620" s="1" t="s">
        <v>1463</v>
      </c>
      <c r="B620" s="1" t="s">
        <v>899</v>
      </c>
      <c r="C620">
        <v>62</v>
      </c>
      <c r="D620" s="1" t="s">
        <v>50</v>
      </c>
      <c r="E620" s="1" t="s">
        <v>107</v>
      </c>
      <c r="F620" s="1" t="s">
        <v>27</v>
      </c>
      <c r="G620" s="1" t="s">
        <v>286</v>
      </c>
      <c r="H620" s="2">
        <v>45452</v>
      </c>
      <c r="I620" s="1" t="s">
        <v>273</v>
      </c>
      <c r="J620" s="1" t="s">
        <v>43</v>
      </c>
      <c r="K620" s="1" t="s">
        <v>91</v>
      </c>
      <c r="L620" s="1" t="s">
        <v>92</v>
      </c>
      <c r="M620" s="1" t="s">
        <v>33</v>
      </c>
      <c r="N620">
        <v>457921.04</v>
      </c>
      <c r="O620">
        <v>19955.12</v>
      </c>
      <c r="P620">
        <v>65440.87</v>
      </c>
      <c r="Q620">
        <v>2</v>
      </c>
      <c r="R620">
        <v>8</v>
      </c>
      <c r="S620">
        <v>4.7</v>
      </c>
      <c r="T620" s="1" t="s">
        <v>46</v>
      </c>
      <c r="U620" s="1" t="s">
        <v>35</v>
      </c>
      <c r="V620" s="1" t="s">
        <v>75</v>
      </c>
      <c r="W620" s="1" t="s">
        <v>36</v>
      </c>
    </row>
    <row r="621" spans="1:23" x14ac:dyDescent="0.35">
      <c r="A621" s="1" t="s">
        <v>1464</v>
      </c>
      <c r="B621" s="1" t="s">
        <v>916</v>
      </c>
      <c r="C621">
        <v>53</v>
      </c>
      <c r="D621" s="1" t="s">
        <v>33</v>
      </c>
      <c r="E621" s="1" t="s">
        <v>62</v>
      </c>
      <c r="F621" s="1" t="s">
        <v>44</v>
      </c>
      <c r="G621" s="1" t="s">
        <v>1465</v>
      </c>
      <c r="H621" s="2">
        <v>46147</v>
      </c>
      <c r="I621" s="1" t="s">
        <v>127</v>
      </c>
      <c r="J621" s="1" t="s">
        <v>242</v>
      </c>
      <c r="K621" s="1" t="s">
        <v>128</v>
      </c>
      <c r="L621" s="1" t="s">
        <v>56</v>
      </c>
      <c r="M621" s="1" t="s">
        <v>45</v>
      </c>
      <c r="N621">
        <v>129619.91</v>
      </c>
      <c r="O621">
        <v>0</v>
      </c>
      <c r="P621">
        <v>60097.56</v>
      </c>
      <c r="Q621">
        <v>3</v>
      </c>
      <c r="R621">
        <v>0</v>
      </c>
      <c r="S621">
        <v>3.3</v>
      </c>
      <c r="T621" s="1" t="s">
        <v>33</v>
      </c>
      <c r="U621" s="1" t="s">
        <v>101</v>
      </c>
      <c r="V621" s="1" t="s">
        <v>164</v>
      </c>
      <c r="W621" s="1" t="s">
        <v>33</v>
      </c>
    </row>
    <row r="622" spans="1:23" x14ac:dyDescent="0.35">
      <c r="A622" s="1" t="s">
        <v>1466</v>
      </c>
      <c r="B622" s="1" t="s">
        <v>653</v>
      </c>
      <c r="C622">
        <v>47</v>
      </c>
      <c r="D622" s="1" t="s">
        <v>71</v>
      </c>
      <c r="E622" s="1" t="s">
        <v>192</v>
      </c>
      <c r="F622" s="1" t="s">
        <v>145</v>
      </c>
      <c r="G622" s="1" t="s">
        <v>1467</v>
      </c>
      <c r="H622" s="2">
        <v>45971</v>
      </c>
      <c r="I622" s="1" t="s">
        <v>159</v>
      </c>
      <c r="J622" s="1" t="s">
        <v>137</v>
      </c>
      <c r="K622" s="1" t="s">
        <v>91</v>
      </c>
      <c r="L622" s="1" t="s">
        <v>66</v>
      </c>
      <c r="M622" s="1" t="s">
        <v>93</v>
      </c>
      <c r="N622">
        <v>492767.97</v>
      </c>
      <c r="O622">
        <v>55627.73</v>
      </c>
      <c r="P622">
        <v>25383.05</v>
      </c>
      <c r="Q622">
        <v>6</v>
      </c>
      <c r="R622">
        <v>97</v>
      </c>
      <c r="S622">
        <v>3.6</v>
      </c>
      <c r="T622" s="1" t="s">
        <v>33</v>
      </c>
      <c r="U622" s="1" t="s">
        <v>35</v>
      </c>
      <c r="V622" s="1" t="s">
        <v>33</v>
      </c>
      <c r="W622" s="1" t="s">
        <v>103</v>
      </c>
    </row>
    <row r="623" spans="1:23" x14ac:dyDescent="0.35">
      <c r="A623" s="1" t="s">
        <v>1468</v>
      </c>
      <c r="B623" s="1" t="s">
        <v>218</v>
      </c>
      <c r="C623">
        <v>22</v>
      </c>
      <c r="D623" s="1" t="s">
        <v>119</v>
      </c>
      <c r="E623" s="1" t="s">
        <v>107</v>
      </c>
      <c r="F623" s="1" t="s">
        <v>41</v>
      </c>
      <c r="G623" s="1" t="s">
        <v>1029</v>
      </c>
      <c r="H623" s="2">
        <v>45444</v>
      </c>
      <c r="I623" s="1" t="s">
        <v>127</v>
      </c>
      <c r="J623" s="1" t="s">
        <v>90</v>
      </c>
      <c r="K623" s="1" t="s">
        <v>128</v>
      </c>
      <c r="L623" s="1" t="s">
        <v>44</v>
      </c>
      <c r="M623" s="1" t="s">
        <v>82</v>
      </c>
      <c r="N623">
        <v>141493.47</v>
      </c>
      <c r="O623">
        <v>0</v>
      </c>
      <c r="P623">
        <v>46424.800000000003</v>
      </c>
      <c r="Q623">
        <v>1</v>
      </c>
      <c r="R623">
        <v>76</v>
      </c>
      <c r="S623">
        <v>1.5</v>
      </c>
      <c r="T623" s="1" t="s">
        <v>94</v>
      </c>
      <c r="U623" s="1" t="s">
        <v>95</v>
      </c>
      <c r="V623" s="1" t="s">
        <v>33</v>
      </c>
      <c r="W623" s="1" t="s">
        <v>36</v>
      </c>
    </row>
    <row r="624" spans="1:23" x14ac:dyDescent="0.35">
      <c r="A624" s="1" t="s">
        <v>1469</v>
      </c>
      <c r="B624" s="1" t="s">
        <v>1100</v>
      </c>
      <c r="C624">
        <v>58</v>
      </c>
      <c r="D624" s="1" t="s">
        <v>71</v>
      </c>
      <c r="E624" s="1" t="s">
        <v>219</v>
      </c>
      <c r="F624" s="1" t="s">
        <v>27</v>
      </c>
      <c r="G624" s="1" t="s">
        <v>1333</v>
      </c>
      <c r="H624" s="2">
        <v>45808</v>
      </c>
      <c r="I624" s="1" t="s">
        <v>33</v>
      </c>
      <c r="J624" s="1" t="s">
        <v>115</v>
      </c>
      <c r="K624" s="1" t="s">
        <v>174</v>
      </c>
      <c r="L624" s="1" t="s">
        <v>44</v>
      </c>
      <c r="M624" s="1" t="s">
        <v>45</v>
      </c>
      <c r="N624">
        <v>251784.83</v>
      </c>
      <c r="O624">
        <v>21898.3</v>
      </c>
      <c r="P624">
        <v>62743.26</v>
      </c>
      <c r="Q624">
        <v>4</v>
      </c>
      <c r="R624">
        <v>146</v>
      </c>
      <c r="S624">
        <v>4.0999999999999996</v>
      </c>
      <c r="T624" s="1" t="s">
        <v>154</v>
      </c>
      <c r="U624" s="1" t="s">
        <v>149</v>
      </c>
      <c r="V624" s="1" t="s">
        <v>47</v>
      </c>
      <c r="W624" s="1" t="s">
        <v>103</v>
      </c>
    </row>
    <row r="625" spans="1:23" x14ac:dyDescent="0.35">
      <c r="A625" s="1" t="s">
        <v>1470</v>
      </c>
      <c r="B625" s="1" t="s">
        <v>237</v>
      </c>
      <c r="C625">
        <v>49</v>
      </c>
      <c r="D625" s="1" t="s">
        <v>33</v>
      </c>
      <c r="E625" s="1" t="s">
        <v>62</v>
      </c>
      <c r="F625" s="1" t="s">
        <v>41</v>
      </c>
      <c r="G625" s="1" t="s">
        <v>1471</v>
      </c>
      <c r="H625" s="2">
        <v>46152</v>
      </c>
      <c r="I625" s="1" t="s">
        <v>100</v>
      </c>
      <c r="J625" s="1" t="s">
        <v>90</v>
      </c>
      <c r="K625" s="1" t="s">
        <v>208</v>
      </c>
      <c r="L625" s="1" t="s">
        <v>92</v>
      </c>
      <c r="M625" s="1" t="s">
        <v>33</v>
      </c>
      <c r="N625">
        <v>387367.29</v>
      </c>
      <c r="O625">
        <v>15084.27</v>
      </c>
      <c r="P625">
        <v>107938.18</v>
      </c>
      <c r="Q625">
        <v>1</v>
      </c>
      <c r="R625">
        <v>55</v>
      </c>
      <c r="T625" s="1" t="s">
        <v>33</v>
      </c>
      <c r="U625" s="1" t="s">
        <v>58</v>
      </c>
      <c r="V625" s="1" t="s">
        <v>102</v>
      </c>
      <c r="W625" s="1" t="s">
        <v>103</v>
      </c>
    </row>
    <row r="626" spans="1:23" x14ac:dyDescent="0.35">
      <c r="A626" s="1" t="s">
        <v>1472</v>
      </c>
      <c r="B626" s="1" t="s">
        <v>480</v>
      </c>
      <c r="C626">
        <v>47</v>
      </c>
      <c r="D626" s="1" t="s">
        <v>78</v>
      </c>
      <c r="E626" s="1" t="s">
        <v>40</v>
      </c>
      <c r="F626" s="1" t="s">
        <v>120</v>
      </c>
      <c r="G626" s="1" t="s">
        <v>1473</v>
      </c>
      <c r="H626" s="2">
        <v>46043</v>
      </c>
      <c r="I626" s="1" t="s">
        <v>127</v>
      </c>
      <c r="J626" s="1" t="s">
        <v>137</v>
      </c>
      <c r="K626" s="1" t="s">
        <v>116</v>
      </c>
      <c r="L626" s="1" t="s">
        <v>56</v>
      </c>
      <c r="M626" s="1" t="s">
        <v>74</v>
      </c>
      <c r="N626">
        <v>0</v>
      </c>
      <c r="O626">
        <v>16348.96</v>
      </c>
      <c r="P626">
        <v>12236.36</v>
      </c>
      <c r="Q626">
        <v>1</v>
      </c>
      <c r="R626">
        <v>105</v>
      </c>
      <c r="S626">
        <v>5</v>
      </c>
      <c r="T626" s="1" t="s">
        <v>46</v>
      </c>
      <c r="U626" s="1" t="s">
        <v>101</v>
      </c>
      <c r="V626" s="1" t="s">
        <v>68</v>
      </c>
      <c r="W626" s="1" t="s">
        <v>131</v>
      </c>
    </row>
    <row r="627" spans="1:23" x14ac:dyDescent="0.35">
      <c r="A627" s="1" t="s">
        <v>1474</v>
      </c>
      <c r="B627" s="1" t="s">
        <v>105</v>
      </c>
      <c r="C627">
        <v>0</v>
      </c>
      <c r="D627" s="1" t="s">
        <v>25</v>
      </c>
      <c r="E627" s="1" t="s">
        <v>203</v>
      </c>
      <c r="F627" s="1" t="s">
        <v>98</v>
      </c>
      <c r="G627" s="1" t="s">
        <v>1475</v>
      </c>
      <c r="H627" s="2">
        <v>45334</v>
      </c>
      <c r="I627" s="1" t="s">
        <v>173</v>
      </c>
      <c r="J627" s="1" t="s">
        <v>90</v>
      </c>
      <c r="K627" s="1" t="s">
        <v>116</v>
      </c>
      <c r="L627" s="1" t="s">
        <v>33</v>
      </c>
      <c r="M627" s="1" t="s">
        <v>169</v>
      </c>
      <c r="N627">
        <v>505889.75</v>
      </c>
      <c r="O627">
        <v>37382</v>
      </c>
      <c r="P627">
        <v>21705.03</v>
      </c>
      <c r="Q627">
        <v>4</v>
      </c>
      <c r="R627">
        <v>106</v>
      </c>
      <c r="S627">
        <v>3.9</v>
      </c>
      <c r="T627" s="1" t="s">
        <v>154</v>
      </c>
      <c r="U627" s="1" t="s">
        <v>67</v>
      </c>
      <c r="V627" s="1" t="s">
        <v>75</v>
      </c>
      <c r="W627" s="1" t="s">
        <v>33</v>
      </c>
    </row>
    <row r="628" spans="1:23" x14ac:dyDescent="0.35">
      <c r="A628" s="1" t="s">
        <v>1476</v>
      </c>
      <c r="B628" s="1" t="s">
        <v>726</v>
      </c>
      <c r="C628">
        <v>47</v>
      </c>
      <c r="D628" s="1" t="s">
        <v>71</v>
      </c>
      <c r="E628" s="1" t="s">
        <v>112</v>
      </c>
      <c r="F628" s="1" t="s">
        <v>27</v>
      </c>
      <c r="G628" s="1" t="s">
        <v>1477</v>
      </c>
      <c r="H628" s="2">
        <v>45585</v>
      </c>
      <c r="I628" s="1" t="s">
        <v>100</v>
      </c>
      <c r="J628" s="1" t="s">
        <v>115</v>
      </c>
      <c r="K628" s="1" t="s">
        <v>33</v>
      </c>
      <c r="L628" s="1" t="s">
        <v>92</v>
      </c>
      <c r="M628" s="1" t="s">
        <v>183</v>
      </c>
      <c r="N628">
        <v>134953.88</v>
      </c>
      <c r="O628">
        <v>19890.95</v>
      </c>
      <c r="P628">
        <v>24411.63</v>
      </c>
      <c r="Q628">
        <v>1</v>
      </c>
      <c r="R628">
        <v>0</v>
      </c>
      <c r="S628">
        <v>3.9</v>
      </c>
      <c r="T628" s="1" t="s">
        <v>34</v>
      </c>
      <c r="U628" s="1" t="s">
        <v>95</v>
      </c>
      <c r="V628" s="1" t="s">
        <v>75</v>
      </c>
      <c r="W628" s="1" t="s">
        <v>59</v>
      </c>
    </row>
    <row r="629" spans="1:23" x14ac:dyDescent="0.35">
      <c r="A629" s="1" t="s">
        <v>1478</v>
      </c>
      <c r="B629" s="1" t="s">
        <v>353</v>
      </c>
      <c r="C629">
        <v>54</v>
      </c>
      <c r="D629" s="1" t="s">
        <v>78</v>
      </c>
      <c r="E629" s="1" t="s">
        <v>33</v>
      </c>
      <c r="F629" s="1" t="s">
        <v>41</v>
      </c>
      <c r="G629" s="1" t="s">
        <v>1479</v>
      </c>
      <c r="H629" s="2">
        <v>45644</v>
      </c>
      <c r="I629" s="1" t="s">
        <v>159</v>
      </c>
      <c r="J629" s="1" t="s">
        <v>33</v>
      </c>
      <c r="K629" s="1" t="s">
        <v>31</v>
      </c>
      <c r="L629" s="1" t="s">
        <v>92</v>
      </c>
      <c r="M629" s="1" t="s">
        <v>142</v>
      </c>
      <c r="N629">
        <v>334789.53999999998</v>
      </c>
      <c r="O629">
        <v>38108.51</v>
      </c>
      <c r="P629">
        <v>29018.240000000002</v>
      </c>
      <c r="Q629">
        <v>4</v>
      </c>
      <c r="R629">
        <v>157</v>
      </c>
      <c r="S629">
        <v>1.9</v>
      </c>
      <c r="T629" s="1" t="s">
        <v>46</v>
      </c>
      <c r="U629" s="1" t="s">
        <v>67</v>
      </c>
      <c r="V629" s="1" t="s">
        <v>47</v>
      </c>
      <c r="W629" s="1" t="s">
        <v>33</v>
      </c>
    </row>
    <row r="630" spans="1:23" x14ac:dyDescent="0.35">
      <c r="A630" s="1" t="s">
        <v>1480</v>
      </c>
      <c r="B630" s="1" t="s">
        <v>125</v>
      </c>
      <c r="C630">
        <v>21</v>
      </c>
      <c r="D630" s="1" t="s">
        <v>50</v>
      </c>
      <c r="E630" s="1" t="s">
        <v>157</v>
      </c>
      <c r="F630" s="1" t="s">
        <v>120</v>
      </c>
      <c r="G630" s="1" t="s">
        <v>1079</v>
      </c>
      <c r="H630" s="2">
        <v>46094</v>
      </c>
      <c r="I630" s="1" t="s">
        <v>33</v>
      </c>
      <c r="J630" s="1" t="s">
        <v>30</v>
      </c>
      <c r="K630" s="1" t="s">
        <v>148</v>
      </c>
      <c r="L630" s="1" t="s">
        <v>92</v>
      </c>
      <c r="M630" s="1" t="s">
        <v>123</v>
      </c>
      <c r="N630">
        <v>371207.85</v>
      </c>
      <c r="O630">
        <v>53569.71</v>
      </c>
      <c r="P630">
        <v>59619.16</v>
      </c>
      <c r="Q630">
        <v>1</v>
      </c>
      <c r="R630">
        <v>175</v>
      </c>
      <c r="S630">
        <v>2.6</v>
      </c>
      <c r="T630" s="1" t="s">
        <v>94</v>
      </c>
      <c r="U630" s="1" t="s">
        <v>95</v>
      </c>
      <c r="V630" s="1" t="s">
        <v>68</v>
      </c>
      <c r="W630" s="1" t="s">
        <v>12</v>
      </c>
    </row>
    <row r="631" spans="1:23" x14ac:dyDescent="0.35">
      <c r="A631" s="1" t="s">
        <v>1481</v>
      </c>
      <c r="B631" s="1" t="s">
        <v>608</v>
      </c>
      <c r="C631">
        <v>40</v>
      </c>
      <c r="D631" s="1" t="s">
        <v>71</v>
      </c>
      <c r="E631" s="1" t="s">
        <v>33</v>
      </c>
      <c r="F631" s="1" t="s">
        <v>193</v>
      </c>
      <c r="G631" s="1" t="s">
        <v>1482</v>
      </c>
      <c r="H631" s="2">
        <v>45843</v>
      </c>
      <c r="I631" s="1" t="s">
        <v>33</v>
      </c>
      <c r="J631" s="1" t="s">
        <v>242</v>
      </c>
      <c r="K631" s="1" t="s">
        <v>128</v>
      </c>
      <c r="L631" s="1" t="s">
        <v>92</v>
      </c>
      <c r="M631" s="1" t="s">
        <v>169</v>
      </c>
      <c r="N631">
        <v>338563.49</v>
      </c>
      <c r="O631">
        <v>27119.39</v>
      </c>
      <c r="P631">
        <v>33451.71</v>
      </c>
      <c r="Q631">
        <v>4</v>
      </c>
      <c r="R631">
        <v>135</v>
      </c>
      <c r="S631">
        <v>4.8</v>
      </c>
      <c r="T631" s="1" t="s">
        <v>33</v>
      </c>
      <c r="U631" s="1" t="s">
        <v>35</v>
      </c>
      <c r="V631" s="1" t="s">
        <v>33</v>
      </c>
      <c r="W631" s="1" t="s">
        <v>12</v>
      </c>
    </row>
    <row r="632" spans="1:23" x14ac:dyDescent="0.35">
      <c r="A632" s="1" t="s">
        <v>1483</v>
      </c>
      <c r="B632" s="1" t="s">
        <v>415</v>
      </c>
      <c r="C632">
        <v>41</v>
      </c>
      <c r="D632" s="1" t="s">
        <v>71</v>
      </c>
      <c r="E632" s="1" t="s">
        <v>72</v>
      </c>
      <c r="F632" s="1" t="s">
        <v>98</v>
      </c>
      <c r="G632" s="1" t="s">
        <v>1484</v>
      </c>
      <c r="H632" s="2">
        <v>45435</v>
      </c>
      <c r="I632" s="1" t="s">
        <v>53</v>
      </c>
      <c r="J632" s="1" t="s">
        <v>30</v>
      </c>
      <c r="K632" s="1" t="s">
        <v>91</v>
      </c>
      <c r="L632" s="1" t="s">
        <v>44</v>
      </c>
      <c r="M632" s="1" t="s">
        <v>82</v>
      </c>
      <c r="N632">
        <v>71818.31</v>
      </c>
      <c r="O632">
        <v>0</v>
      </c>
      <c r="P632">
        <v>51013.79</v>
      </c>
      <c r="Q632">
        <v>1</v>
      </c>
      <c r="R632">
        <v>140</v>
      </c>
      <c r="S632">
        <v>4</v>
      </c>
      <c r="T632" s="1" t="s">
        <v>154</v>
      </c>
      <c r="U632" s="1" t="s">
        <v>95</v>
      </c>
      <c r="V632" s="1" t="s">
        <v>47</v>
      </c>
      <c r="W632" s="1" t="s">
        <v>131</v>
      </c>
    </row>
    <row r="633" spans="1:23" x14ac:dyDescent="0.35">
      <c r="A633" s="1" t="s">
        <v>1485</v>
      </c>
      <c r="B633" s="1" t="s">
        <v>941</v>
      </c>
      <c r="C633">
        <v>35</v>
      </c>
      <c r="D633" s="1" t="s">
        <v>119</v>
      </c>
      <c r="E633" s="1" t="s">
        <v>157</v>
      </c>
      <c r="F633" s="1" t="s">
        <v>44</v>
      </c>
      <c r="G633" s="1" t="s">
        <v>927</v>
      </c>
      <c r="H633" s="2">
        <v>45570</v>
      </c>
      <c r="I633" s="1" t="s">
        <v>33</v>
      </c>
      <c r="J633" s="1" t="s">
        <v>54</v>
      </c>
      <c r="K633" s="1" t="s">
        <v>31</v>
      </c>
      <c r="L633" s="1" t="s">
        <v>33</v>
      </c>
      <c r="M633" s="1" t="s">
        <v>74</v>
      </c>
      <c r="N633">
        <v>0</v>
      </c>
      <c r="O633">
        <v>64242.53</v>
      </c>
      <c r="P633">
        <v>12418.36</v>
      </c>
      <c r="Q633">
        <v>1</v>
      </c>
      <c r="R633">
        <v>189</v>
      </c>
      <c r="S633">
        <v>4.9000000000000004</v>
      </c>
      <c r="T633" s="1" t="s">
        <v>34</v>
      </c>
      <c r="U633" s="1" t="s">
        <v>33</v>
      </c>
      <c r="V633" s="1" t="s">
        <v>164</v>
      </c>
      <c r="W633" s="1" t="s">
        <v>59</v>
      </c>
    </row>
    <row r="634" spans="1:23" x14ac:dyDescent="0.35">
      <c r="A634" s="1" t="s">
        <v>1486</v>
      </c>
      <c r="B634" s="1" t="s">
        <v>1343</v>
      </c>
      <c r="C634">
        <v>18</v>
      </c>
      <c r="D634" s="1" t="s">
        <v>119</v>
      </c>
      <c r="E634" s="1" t="s">
        <v>33</v>
      </c>
      <c r="F634" s="1" t="s">
        <v>44</v>
      </c>
      <c r="G634" s="1" t="s">
        <v>1487</v>
      </c>
      <c r="H634" s="2">
        <v>45991</v>
      </c>
      <c r="I634" s="1" t="s">
        <v>89</v>
      </c>
      <c r="J634" s="1" t="s">
        <v>43</v>
      </c>
      <c r="K634" s="1" t="s">
        <v>128</v>
      </c>
      <c r="L634" s="1" t="s">
        <v>33</v>
      </c>
      <c r="M634" s="1" t="s">
        <v>45</v>
      </c>
      <c r="N634">
        <v>269051.83</v>
      </c>
      <c r="O634">
        <v>8891.9</v>
      </c>
      <c r="P634">
        <v>48074.54</v>
      </c>
      <c r="Q634">
        <v>1</v>
      </c>
      <c r="R634">
        <v>58</v>
      </c>
      <c r="S634">
        <v>1.4</v>
      </c>
      <c r="T634" s="1" t="s">
        <v>154</v>
      </c>
      <c r="U634" s="1" t="s">
        <v>33</v>
      </c>
      <c r="V634" s="1" t="s">
        <v>102</v>
      </c>
      <c r="W634" s="1" t="s">
        <v>131</v>
      </c>
    </row>
    <row r="635" spans="1:23" x14ac:dyDescent="0.35">
      <c r="A635" s="1" t="s">
        <v>1488</v>
      </c>
      <c r="B635" s="1" t="s">
        <v>49</v>
      </c>
      <c r="C635">
        <v>47</v>
      </c>
      <c r="D635" s="1" t="s">
        <v>119</v>
      </c>
      <c r="E635" s="1" t="s">
        <v>40</v>
      </c>
      <c r="F635" s="1" t="s">
        <v>108</v>
      </c>
      <c r="G635" s="1" t="s">
        <v>1088</v>
      </c>
      <c r="H635" s="2">
        <v>46233</v>
      </c>
      <c r="I635" s="1" t="s">
        <v>221</v>
      </c>
      <c r="J635" s="1" t="s">
        <v>90</v>
      </c>
      <c r="K635" s="1" t="s">
        <v>148</v>
      </c>
      <c r="L635" s="1" t="s">
        <v>32</v>
      </c>
      <c r="M635" s="1" t="s">
        <v>129</v>
      </c>
      <c r="N635">
        <v>141381.92000000001</v>
      </c>
      <c r="O635">
        <v>16172.75</v>
      </c>
      <c r="P635">
        <v>65875.92</v>
      </c>
      <c r="Q635">
        <v>1</v>
      </c>
      <c r="R635">
        <v>183</v>
      </c>
      <c r="S635">
        <v>3.3</v>
      </c>
      <c r="T635" s="1" t="s">
        <v>34</v>
      </c>
      <c r="U635" s="1" t="s">
        <v>95</v>
      </c>
      <c r="V635" s="1" t="s">
        <v>130</v>
      </c>
      <c r="W635" s="1" t="s">
        <v>59</v>
      </c>
    </row>
    <row r="636" spans="1:23" x14ac:dyDescent="0.35">
      <c r="A636" s="1" t="s">
        <v>1489</v>
      </c>
      <c r="B636" s="1" t="s">
        <v>1000</v>
      </c>
      <c r="C636">
        <v>54</v>
      </c>
      <c r="D636" s="1" t="s">
        <v>71</v>
      </c>
      <c r="E636" s="1" t="s">
        <v>107</v>
      </c>
      <c r="F636" s="1" t="s">
        <v>135</v>
      </c>
      <c r="G636" s="1" t="s">
        <v>785</v>
      </c>
      <c r="H636" s="2">
        <v>45964</v>
      </c>
      <c r="I636" s="1" t="s">
        <v>89</v>
      </c>
      <c r="J636" s="1" t="s">
        <v>137</v>
      </c>
      <c r="K636" s="1" t="s">
        <v>116</v>
      </c>
      <c r="L636" s="1" t="s">
        <v>44</v>
      </c>
      <c r="M636" s="1" t="s">
        <v>33</v>
      </c>
      <c r="N636">
        <v>30029.02</v>
      </c>
      <c r="O636">
        <v>35578.83</v>
      </c>
      <c r="P636">
        <v>61556.58</v>
      </c>
      <c r="Q636">
        <v>2</v>
      </c>
      <c r="R636">
        <v>146</v>
      </c>
      <c r="S636">
        <v>1.2</v>
      </c>
      <c r="T636" s="1" t="s">
        <v>46</v>
      </c>
      <c r="U636" s="1" t="s">
        <v>35</v>
      </c>
      <c r="V636" s="1" t="s">
        <v>164</v>
      </c>
      <c r="W636" s="1" t="s">
        <v>33</v>
      </c>
    </row>
    <row r="637" spans="1:23" x14ac:dyDescent="0.35">
      <c r="A637" s="1" t="s">
        <v>1490</v>
      </c>
      <c r="B637" s="1" t="s">
        <v>567</v>
      </c>
      <c r="C637">
        <v>23</v>
      </c>
      <c r="D637" s="1" t="s">
        <v>50</v>
      </c>
      <c r="E637" s="1" t="s">
        <v>219</v>
      </c>
      <c r="F637" s="1" t="s">
        <v>98</v>
      </c>
      <c r="G637" s="1" t="s">
        <v>1491</v>
      </c>
      <c r="H637" s="2">
        <v>46023</v>
      </c>
      <c r="I637" s="1" t="s">
        <v>114</v>
      </c>
      <c r="J637" s="1" t="s">
        <v>33</v>
      </c>
      <c r="K637" s="1" t="s">
        <v>116</v>
      </c>
      <c r="L637" s="1" t="s">
        <v>32</v>
      </c>
      <c r="M637" s="1" t="s">
        <v>123</v>
      </c>
      <c r="N637">
        <v>233984.17</v>
      </c>
      <c r="O637">
        <v>42018.61</v>
      </c>
      <c r="P637">
        <v>89901.31</v>
      </c>
      <c r="Q637">
        <v>1</v>
      </c>
      <c r="R637">
        <v>57</v>
      </c>
      <c r="S637">
        <v>3.1</v>
      </c>
      <c r="T637" s="1" t="s">
        <v>94</v>
      </c>
      <c r="U637" s="1" t="s">
        <v>67</v>
      </c>
      <c r="V637" s="1" t="s">
        <v>75</v>
      </c>
      <c r="W637" s="1" t="s">
        <v>36</v>
      </c>
    </row>
    <row r="638" spans="1:23" x14ac:dyDescent="0.35">
      <c r="A638" s="1" t="s">
        <v>1492</v>
      </c>
      <c r="B638" s="1" t="s">
        <v>1224</v>
      </c>
      <c r="C638">
        <v>49</v>
      </c>
      <c r="D638" s="1" t="s">
        <v>71</v>
      </c>
      <c r="E638" s="1" t="s">
        <v>107</v>
      </c>
      <c r="F638" s="1" t="s">
        <v>27</v>
      </c>
      <c r="G638" s="1" t="s">
        <v>1493</v>
      </c>
      <c r="H638" s="2">
        <v>46160</v>
      </c>
      <c r="I638" s="1" t="s">
        <v>159</v>
      </c>
      <c r="J638" s="1" t="s">
        <v>87</v>
      </c>
      <c r="K638" s="1" t="s">
        <v>122</v>
      </c>
      <c r="L638" s="1" t="s">
        <v>33</v>
      </c>
      <c r="M638" s="1" t="s">
        <v>45</v>
      </c>
      <c r="N638">
        <v>397471.21</v>
      </c>
      <c r="O638">
        <v>37218.199999999997</v>
      </c>
      <c r="P638">
        <v>10286.5</v>
      </c>
      <c r="Q638">
        <v>7</v>
      </c>
      <c r="R638">
        <v>0</v>
      </c>
      <c r="S638">
        <v>1.7</v>
      </c>
      <c r="T638" s="1" t="s">
        <v>34</v>
      </c>
      <c r="U638" s="1" t="s">
        <v>101</v>
      </c>
      <c r="V638" s="1" t="s">
        <v>33</v>
      </c>
      <c r="W638" s="1" t="s">
        <v>33</v>
      </c>
    </row>
    <row r="639" spans="1:23" x14ac:dyDescent="0.35">
      <c r="A639" s="1" t="s">
        <v>1494</v>
      </c>
      <c r="B639" s="1" t="s">
        <v>701</v>
      </c>
      <c r="C639">
        <v>69</v>
      </c>
      <c r="D639" s="1" t="s">
        <v>119</v>
      </c>
      <c r="E639" s="1" t="s">
        <v>263</v>
      </c>
      <c r="F639" s="1" t="s">
        <v>33</v>
      </c>
      <c r="G639" s="1" t="s">
        <v>1495</v>
      </c>
      <c r="H639" s="2">
        <v>45383</v>
      </c>
      <c r="I639" s="1" t="s">
        <v>89</v>
      </c>
      <c r="J639" s="1" t="s">
        <v>137</v>
      </c>
      <c r="K639" s="1" t="s">
        <v>148</v>
      </c>
      <c r="L639" s="1" t="s">
        <v>33</v>
      </c>
      <c r="M639" s="1" t="s">
        <v>129</v>
      </c>
      <c r="N639">
        <v>478910.7</v>
      </c>
      <c r="O639">
        <v>51077.63</v>
      </c>
      <c r="P639">
        <v>79885.16</v>
      </c>
      <c r="Q639">
        <v>5</v>
      </c>
      <c r="R639">
        <v>51</v>
      </c>
      <c r="T639" s="1" t="s">
        <v>46</v>
      </c>
      <c r="U639" s="1" t="s">
        <v>33</v>
      </c>
      <c r="V639" s="1" t="s">
        <v>130</v>
      </c>
      <c r="W639" s="1" t="s">
        <v>59</v>
      </c>
    </row>
    <row r="640" spans="1:23" x14ac:dyDescent="0.35">
      <c r="A640" s="1" t="s">
        <v>1496</v>
      </c>
      <c r="B640" s="1" t="s">
        <v>1497</v>
      </c>
      <c r="C640">
        <v>52</v>
      </c>
      <c r="D640" s="1" t="s">
        <v>106</v>
      </c>
      <c r="E640" s="1" t="s">
        <v>26</v>
      </c>
      <c r="F640" s="1" t="s">
        <v>193</v>
      </c>
      <c r="G640" s="1" t="s">
        <v>1498</v>
      </c>
      <c r="H640" s="2">
        <v>46078</v>
      </c>
      <c r="I640" s="1" t="s">
        <v>235</v>
      </c>
      <c r="J640" s="1" t="s">
        <v>33</v>
      </c>
      <c r="K640" s="1" t="s">
        <v>33</v>
      </c>
      <c r="L640" s="1" t="s">
        <v>66</v>
      </c>
      <c r="M640" s="1" t="s">
        <v>82</v>
      </c>
      <c r="N640">
        <v>235042.21</v>
      </c>
      <c r="O640">
        <v>39684.29</v>
      </c>
      <c r="P640">
        <v>54695.56</v>
      </c>
      <c r="Q640">
        <v>5</v>
      </c>
      <c r="R640">
        <v>191</v>
      </c>
      <c r="S640">
        <v>5</v>
      </c>
      <c r="T640" s="1" t="s">
        <v>154</v>
      </c>
      <c r="U640" s="1" t="s">
        <v>95</v>
      </c>
      <c r="V640" s="1" t="s">
        <v>47</v>
      </c>
      <c r="W640" s="1" t="s">
        <v>179</v>
      </c>
    </row>
    <row r="641" spans="1:23" x14ac:dyDescent="0.35">
      <c r="A641" s="1" t="s">
        <v>1499</v>
      </c>
      <c r="B641" s="1" t="s">
        <v>598</v>
      </c>
      <c r="C641">
        <v>61</v>
      </c>
      <c r="D641" s="1" t="s">
        <v>33</v>
      </c>
      <c r="E641" s="1" t="s">
        <v>134</v>
      </c>
      <c r="F641" s="1" t="s">
        <v>193</v>
      </c>
      <c r="G641" s="1" t="s">
        <v>1500</v>
      </c>
      <c r="H641" s="2">
        <v>46175</v>
      </c>
      <c r="I641" s="1" t="s">
        <v>33</v>
      </c>
      <c r="J641" s="1" t="s">
        <v>242</v>
      </c>
      <c r="K641" s="1" t="s">
        <v>163</v>
      </c>
      <c r="L641" s="1" t="s">
        <v>56</v>
      </c>
      <c r="M641" s="1" t="s">
        <v>142</v>
      </c>
      <c r="N641">
        <v>291968.76</v>
      </c>
      <c r="O641">
        <v>18470.759999999998</v>
      </c>
      <c r="P641">
        <v>67696.94</v>
      </c>
      <c r="Q641">
        <v>4</v>
      </c>
      <c r="R641">
        <v>0</v>
      </c>
      <c r="S641">
        <v>5</v>
      </c>
      <c r="T641" s="1" t="s">
        <v>94</v>
      </c>
      <c r="U641" s="1" t="s">
        <v>101</v>
      </c>
      <c r="V641" s="1" t="s">
        <v>102</v>
      </c>
      <c r="W641" s="1" t="s">
        <v>36</v>
      </c>
    </row>
    <row r="642" spans="1:23" x14ac:dyDescent="0.35">
      <c r="A642" s="1" t="s">
        <v>1501</v>
      </c>
      <c r="B642" s="1" t="s">
        <v>561</v>
      </c>
      <c r="C642">
        <v>49</v>
      </c>
      <c r="D642" s="1" t="s">
        <v>50</v>
      </c>
      <c r="E642" s="1" t="s">
        <v>219</v>
      </c>
      <c r="F642" s="1" t="s">
        <v>63</v>
      </c>
      <c r="G642" s="1" t="s">
        <v>892</v>
      </c>
      <c r="H642" s="2">
        <v>45332</v>
      </c>
      <c r="I642" s="1" t="s">
        <v>29</v>
      </c>
      <c r="J642" s="1" t="s">
        <v>43</v>
      </c>
      <c r="K642" s="1" t="s">
        <v>116</v>
      </c>
      <c r="L642" s="1" t="s">
        <v>33</v>
      </c>
      <c r="M642" s="1" t="s">
        <v>82</v>
      </c>
      <c r="N642">
        <v>101678.45</v>
      </c>
      <c r="O642">
        <v>43834.720000000001</v>
      </c>
      <c r="P642">
        <v>43982.239999999998</v>
      </c>
      <c r="Q642">
        <v>1</v>
      </c>
      <c r="R642">
        <v>0</v>
      </c>
      <c r="S642">
        <v>4.2</v>
      </c>
      <c r="T642" s="1" t="s">
        <v>94</v>
      </c>
      <c r="U642" s="1" t="s">
        <v>35</v>
      </c>
      <c r="V642" s="1" t="s">
        <v>164</v>
      </c>
      <c r="W642" s="1" t="s">
        <v>103</v>
      </c>
    </row>
    <row r="643" spans="1:23" x14ac:dyDescent="0.35">
      <c r="A643" s="1" t="s">
        <v>1502</v>
      </c>
      <c r="B643" s="1" t="s">
        <v>181</v>
      </c>
      <c r="C643">
        <v>62</v>
      </c>
      <c r="D643" s="1" t="s">
        <v>71</v>
      </c>
      <c r="E643" s="1" t="s">
        <v>134</v>
      </c>
      <c r="F643" s="1" t="s">
        <v>44</v>
      </c>
      <c r="G643" s="1" t="s">
        <v>1503</v>
      </c>
      <c r="H643" s="2">
        <v>45785</v>
      </c>
      <c r="I643" s="1" t="s">
        <v>221</v>
      </c>
      <c r="J643" s="1" t="s">
        <v>242</v>
      </c>
      <c r="K643" s="1" t="s">
        <v>81</v>
      </c>
      <c r="L643" s="1" t="s">
        <v>92</v>
      </c>
      <c r="M643" s="1" t="s">
        <v>74</v>
      </c>
      <c r="N643">
        <v>220185.60000000001</v>
      </c>
      <c r="O643">
        <v>39885.519999999997</v>
      </c>
      <c r="P643">
        <v>16272.93</v>
      </c>
      <c r="Q643">
        <v>2</v>
      </c>
      <c r="R643">
        <v>50</v>
      </c>
      <c r="S643">
        <v>3.1</v>
      </c>
      <c r="T643" s="1" t="s">
        <v>94</v>
      </c>
      <c r="U643" s="1" t="s">
        <v>33</v>
      </c>
      <c r="V643" s="1" t="s">
        <v>102</v>
      </c>
      <c r="W643" s="1" t="s">
        <v>12</v>
      </c>
    </row>
    <row r="644" spans="1:23" x14ac:dyDescent="0.35">
      <c r="A644" s="1" t="s">
        <v>1504</v>
      </c>
      <c r="B644" s="1" t="s">
        <v>1505</v>
      </c>
      <c r="C644">
        <v>79</v>
      </c>
      <c r="D644" s="1" t="s">
        <v>119</v>
      </c>
      <c r="E644" s="1" t="s">
        <v>40</v>
      </c>
      <c r="F644" s="1" t="s">
        <v>120</v>
      </c>
      <c r="G644" s="1" t="s">
        <v>1506</v>
      </c>
      <c r="H644" s="2">
        <v>45968</v>
      </c>
      <c r="I644" s="1" t="s">
        <v>53</v>
      </c>
      <c r="J644" s="1" t="s">
        <v>147</v>
      </c>
      <c r="K644" s="1" t="s">
        <v>116</v>
      </c>
      <c r="L644" s="1" t="s">
        <v>92</v>
      </c>
      <c r="M644" s="1" t="s">
        <v>142</v>
      </c>
      <c r="N644">
        <v>107275.95</v>
      </c>
      <c r="O644">
        <v>56921.2</v>
      </c>
      <c r="P644">
        <v>0</v>
      </c>
      <c r="Q644">
        <v>5</v>
      </c>
      <c r="R644">
        <v>5</v>
      </c>
      <c r="T644" s="1" t="s">
        <v>33</v>
      </c>
      <c r="U644" s="1" t="s">
        <v>67</v>
      </c>
      <c r="V644" s="1" t="s">
        <v>130</v>
      </c>
      <c r="W644" s="1" t="s">
        <v>33</v>
      </c>
    </row>
    <row r="645" spans="1:23" x14ac:dyDescent="0.35">
      <c r="A645" s="1" t="s">
        <v>1507</v>
      </c>
      <c r="B645" s="1" t="s">
        <v>1026</v>
      </c>
      <c r="C645">
        <v>8</v>
      </c>
      <c r="D645" s="1" t="s">
        <v>106</v>
      </c>
      <c r="E645" s="1" t="s">
        <v>51</v>
      </c>
      <c r="F645" s="1" t="s">
        <v>193</v>
      </c>
      <c r="G645" s="1" t="s">
        <v>1390</v>
      </c>
      <c r="H645" s="2">
        <v>46158</v>
      </c>
      <c r="I645" s="1" t="s">
        <v>257</v>
      </c>
      <c r="J645" s="1" t="s">
        <v>152</v>
      </c>
      <c r="K645" s="1" t="s">
        <v>55</v>
      </c>
      <c r="L645" s="1" t="s">
        <v>44</v>
      </c>
      <c r="M645" s="1" t="s">
        <v>123</v>
      </c>
      <c r="N645">
        <v>277819.84999999998</v>
      </c>
      <c r="O645">
        <v>24648.31</v>
      </c>
      <c r="P645">
        <v>56382.16</v>
      </c>
      <c r="Q645">
        <v>1</v>
      </c>
      <c r="R645">
        <v>146</v>
      </c>
      <c r="S645">
        <v>4</v>
      </c>
      <c r="T645" s="1" t="s">
        <v>46</v>
      </c>
      <c r="U645" s="1" t="s">
        <v>35</v>
      </c>
      <c r="V645" s="1" t="s">
        <v>75</v>
      </c>
      <c r="W645" s="1" t="s">
        <v>59</v>
      </c>
    </row>
    <row r="646" spans="1:23" x14ac:dyDescent="0.35">
      <c r="A646" s="1" t="s">
        <v>1508</v>
      </c>
      <c r="B646" s="1" t="s">
        <v>1233</v>
      </c>
      <c r="C646">
        <v>41</v>
      </c>
      <c r="D646" s="1" t="s">
        <v>50</v>
      </c>
      <c r="E646" s="1" t="s">
        <v>177</v>
      </c>
      <c r="F646" s="1" t="s">
        <v>44</v>
      </c>
      <c r="G646" s="1" t="s">
        <v>1509</v>
      </c>
      <c r="H646" s="2">
        <v>46193</v>
      </c>
      <c r="I646" s="1" t="s">
        <v>235</v>
      </c>
      <c r="J646" s="1" t="s">
        <v>90</v>
      </c>
      <c r="K646" s="1" t="s">
        <v>33</v>
      </c>
      <c r="L646" s="1" t="s">
        <v>66</v>
      </c>
      <c r="M646" s="1" t="s">
        <v>74</v>
      </c>
      <c r="N646">
        <v>53820.93</v>
      </c>
      <c r="O646">
        <v>56445.35</v>
      </c>
      <c r="P646">
        <v>27326.639999999999</v>
      </c>
      <c r="Q646">
        <v>5</v>
      </c>
      <c r="R646">
        <v>24</v>
      </c>
      <c r="S646">
        <v>3.5</v>
      </c>
      <c r="T646" s="1" t="s">
        <v>33</v>
      </c>
      <c r="U646" s="1" t="s">
        <v>67</v>
      </c>
      <c r="V646" s="1" t="s">
        <v>33</v>
      </c>
      <c r="W646" s="1" t="s">
        <v>12</v>
      </c>
    </row>
    <row r="647" spans="1:23" x14ac:dyDescent="0.35">
      <c r="A647" s="1" t="s">
        <v>1510</v>
      </c>
      <c r="B647" s="1" t="s">
        <v>475</v>
      </c>
      <c r="C647">
        <v>33</v>
      </c>
      <c r="D647" s="1" t="s">
        <v>71</v>
      </c>
      <c r="E647" s="1" t="s">
        <v>72</v>
      </c>
      <c r="F647" s="1" t="s">
        <v>145</v>
      </c>
      <c r="G647" s="1" t="s">
        <v>1511</v>
      </c>
      <c r="H647" s="2">
        <v>45401</v>
      </c>
      <c r="I647" s="1" t="s">
        <v>33</v>
      </c>
      <c r="J647" s="1" t="s">
        <v>43</v>
      </c>
      <c r="K647" s="1" t="s">
        <v>81</v>
      </c>
      <c r="L647" s="1" t="s">
        <v>33</v>
      </c>
      <c r="M647" s="1" t="s">
        <v>74</v>
      </c>
      <c r="N647">
        <v>268167.55</v>
      </c>
      <c r="O647">
        <v>38708.54</v>
      </c>
      <c r="P647">
        <v>18065.099999999999</v>
      </c>
      <c r="Q647">
        <v>1</v>
      </c>
      <c r="R647">
        <v>58</v>
      </c>
      <c r="S647">
        <v>5</v>
      </c>
      <c r="T647" s="1" t="s">
        <v>154</v>
      </c>
      <c r="U647" s="1" t="s">
        <v>33</v>
      </c>
      <c r="V647" s="1" t="s">
        <v>130</v>
      </c>
      <c r="W647" s="1" t="s">
        <v>83</v>
      </c>
    </row>
    <row r="648" spans="1:23" x14ac:dyDescent="0.35">
      <c r="A648" s="1" t="s">
        <v>1512</v>
      </c>
      <c r="B648" s="1" t="s">
        <v>1155</v>
      </c>
      <c r="C648">
        <v>88</v>
      </c>
      <c r="D648" s="1" t="s">
        <v>39</v>
      </c>
      <c r="E648" s="1" t="s">
        <v>157</v>
      </c>
      <c r="F648" s="1" t="s">
        <v>33</v>
      </c>
      <c r="G648" s="1" t="s">
        <v>272</v>
      </c>
      <c r="H648" s="2">
        <v>45941</v>
      </c>
      <c r="I648" s="1" t="s">
        <v>33</v>
      </c>
      <c r="J648" s="1" t="s">
        <v>43</v>
      </c>
      <c r="K648" s="1" t="s">
        <v>148</v>
      </c>
      <c r="L648" s="1" t="s">
        <v>92</v>
      </c>
      <c r="M648" s="1" t="s">
        <v>142</v>
      </c>
      <c r="N648">
        <v>385217.94</v>
      </c>
      <c r="O648">
        <v>58607.33</v>
      </c>
      <c r="P648">
        <v>3363.94</v>
      </c>
      <c r="Q648">
        <v>4</v>
      </c>
      <c r="R648">
        <v>152</v>
      </c>
      <c r="S648">
        <v>3.6</v>
      </c>
      <c r="T648" s="1" t="s">
        <v>46</v>
      </c>
      <c r="U648" s="1" t="s">
        <v>33</v>
      </c>
      <c r="V648" s="1" t="s">
        <v>47</v>
      </c>
      <c r="W648" s="1" t="s">
        <v>12</v>
      </c>
    </row>
    <row r="649" spans="1:23" x14ac:dyDescent="0.35">
      <c r="A649" s="1" t="s">
        <v>1513</v>
      </c>
      <c r="B649" s="1" t="s">
        <v>741</v>
      </c>
      <c r="C649">
        <v>46</v>
      </c>
      <c r="D649" s="1" t="s">
        <v>33</v>
      </c>
      <c r="E649" s="1" t="s">
        <v>72</v>
      </c>
      <c r="F649" s="1" t="s">
        <v>27</v>
      </c>
      <c r="G649" s="1" t="s">
        <v>1514</v>
      </c>
      <c r="H649" s="2">
        <v>45530</v>
      </c>
      <c r="I649" s="1" t="s">
        <v>127</v>
      </c>
      <c r="J649" s="1" t="s">
        <v>80</v>
      </c>
      <c r="K649" s="1" t="s">
        <v>31</v>
      </c>
      <c r="L649" s="1" t="s">
        <v>56</v>
      </c>
      <c r="M649" s="1" t="s">
        <v>33</v>
      </c>
      <c r="N649">
        <v>352329.61</v>
      </c>
      <c r="O649">
        <v>42520.79</v>
      </c>
      <c r="P649">
        <v>18645.79</v>
      </c>
      <c r="Q649">
        <v>2</v>
      </c>
      <c r="R649">
        <v>150</v>
      </c>
      <c r="S649">
        <v>2.9</v>
      </c>
      <c r="T649" s="1" t="s">
        <v>33</v>
      </c>
      <c r="U649" s="1" t="s">
        <v>67</v>
      </c>
      <c r="V649" s="1" t="s">
        <v>75</v>
      </c>
      <c r="W649" s="1" t="s">
        <v>103</v>
      </c>
    </row>
    <row r="650" spans="1:23" x14ac:dyDescent="0.35">
      <c r="A650" s="1" t="s">
        <v>1515</v>
      </c>
      <c r="B650" s="1" t="s">
        <v>85</v>
      </c>
      <c r="C650">
        <v>36</v>
      </c>
      <c r="D650" s="1" t="s">
        <v>71</v>
      </c>
      <c r="E650" s="1" t="s">
        <v>177</v>
      </c>
      <c r="F650" s="1" t="s">
        <v>145</v>
      </c>
      <c r="G650" s="1" t="s">
        <v>1516</v>
      </c>
      <c r="H650" s="2">
        <v>45723</v>
      </c>
      <c r="I650" s="1" t="s">
        <v>257</v>
      </c>
      <c r="J650" s="1" t="s">
        <v>43</v>
      </c>
      <c r="K650" s="1" t="s">
        <v>128</v>
      </c>
      <c r="L650" s="1" t="s">
        <v>33</v>
      </c>
      <c r="M650" s="1" t="s">
        <v>82</v>
      </c>
      <c r="N650">
        <v>189358.72</v>
      </c>
      <c r="O650">
        <v>49156.07</v>
      </c>
      <c r="P650">
        <v>13794.19</v>
      </c>
      <c r="Q650">
        <v>3</v>
      </c>
      <c r="R650">
        <v>240</v>
      </c>
      <c r="S650">
        <v>1.3</v>
      </c>
      <c r="T650" s="1" t="s">
        <v>94</v>
      </c>
      <c r="U650" s="1" t="s">
        <v>149</v>
      </c>
      <c r="V650" s="1" t="s">
        <v>164</v>
      </c>
      <c r="W650" s="1" t="s">
        <v>12</v>
      </c>
    </row>
    <row r="651" spans="1:23" x14ac:dyDescent="0.35">
      <c r="A651" s="1" t="s">
        <v>1517</v>
      </c>
      <c r="B651" s="1" t="s">
        <v>1518</v>
      </c>
      <c r="C651">
        <v>51</v>
      </c>
      <c r="D651" s="1" t="s">
        <v>71</v>
      </c>
      <c r="E651" s="1" t="s">
        <v>192</v>
      </c>
      <c r="F651" s="1" t="s">
        <v>41</v>
      </c>
      <c r="G651" s="1" t="s">
        <v>987</v>
      </c>
      <c r="H651" s="2">
        <v>45941</v>
      </c>
      <c r="I651" s="1" t="s">
        <v>273</v>
      </c>
      <c r="J651" s="1" t="s">
        <v>147</v>
      </c>
      <c r="K651" s="1" t="s">
        <v>55</v>
      </c>
      <c r="L651" s="1" t="s">
        <v>56</v>
      </c>
      <c r="M651" s="1" t="s">
        <v>93</v>
      </c>
      <c r="N651">
        <v>301803.98</v>
      </c>
      <c r="O651">
        <v>27488.11</v>
      </c>
      <c r="P651">
        <v>43278.28</v>
      </c>
      <c r="Q651">
        <v>2</v>
      </c>
      <c r="R651">
        <v>125</v>
      </c>
      <c r="S651">
        <v>3.4</v>
      </c>
      <c r="T651" s="1" t="s">
        <v>34</v>
      </c>
      <c r="U651" s="1" t="s">
        <v>33</v>
      </c>
      <c r="V651" s="1" t="s">
        <v>75</v>
      </c>
      <c r="W651" s="1" t="s">
        <v>83</v>
      </c>
    </row>
    <row r="652" spans="1:23" x14ac:dyDescent="0.35">
      <c r="A652" s="1" t="s">
        <v>1519</v>
      </c>
      <c r="B652" s="1" t="s">
        <v>438</v>
      </c>
      <c r="C652">
        <v>61</v>
      </c>
      <c r="D652" s="1" t="s">
        <v>39</v>
      </c>
      <c r="E652" s="1" t="s">
        <v>134</v>
      </c>
      <c r="F652" s="1" t="s">
        <v>227</v>
      </c>
      <c r="G652" s="1" t="s">
        <v>1088</v>
      </c>
      <c r="H652" s="2">
        <v>46240</v>
      </c>
      <c r="I652" s="1" t="s">
        <v>277</v>
      </c>
      <c r="J652" s="1" t="s">
        <v>115</v>
      </c>
      <c r="K652" s="1" t="s">
        <v>208</v>
      </c>
      <c r="L652" s="1" t="s">
        <v>92</v>
      </c>
      <c r="M652" s="1" t="s">
        <v>183</v>
      </c>
      <c r="N652">
        <v>342195.41</v>
      </c>
      <c r="O652">
        <v>5846.08</v>
      </c>
      <c r="P652">
        <v>42618.35</v>
      </c>
      <c r="Q652">
        <v>8</v>
      </c>
      <c r="R652">
        <v>72</v>
      </c>
      <c r="S652">
        <v>2.4</v>
      </c>
      <c r="T652" s="1" t="s">
        <v>94</v>
      </c>
      <c r="U652" s="1" t="s">
        <v>58</v>
      </c>
      <c r="V652" s="1" t="s">
        <v>75</v>
      </c>
      <c r="W652" s="1" t="s">
        <v>103</v>
      </c>
    </row>
    <row r="653" spans="1:23" x14ac:dyDescent="0.35">
      <c r="A653" s="1" t="s">
        <v>1520</v>
      </c>
      <c r="B653" s="1" t="s">
        <v>1287</v>
      </c>
      <c r="C653">
        <v>31</v>
      </c>
      <c r="D653" s="1" t="s">
        <v>33</v>
      </c>
      <c r="E653" s="1" t="s">
        <v>134</v>
      </c>
      <c r="F653" s="1" t="s">
        <v>56</v>
      </c>
      <c r="G653" s="1" t="s">
        <v>1120</v>
      </c>
      <c r="H653" s="2">
        <v>45659</v>
      </c>
      <c r="I653" s="1" t="s">
        <v>53</v>
      </c>
      <c r="J653" s="1" t="s">
        <v>80</v>
      </c>
      <c r="K653" s="1" t="s">
        <v>33</v>
      </c>
      <c r="L653" s="1" t="s">
        <v>56</v>
      </c>
      <c r="M653" s="1" t="s">
        <v>93</v>
      </c>
      <c r="N653">
        <v>311756.53999999998</v>
      </c>
      <c r="O653">
        <v>3245.21</v>
      </c>
      <c r="P653">
        <v>96571.22</v>
      </c>
      <c r="Q653">
        <v>4</v>
      </c>
      <c r="R653">
        <v>27</v>
      </c>
      <c r="T653" s="1" t="s">
        <v>33</v>
      </c>
      <c r="U653" s="1" t="s">
        <v>33</v>
      </c>
      <c r="V653" s="1" t="s">
        <v>102</v>
      </c>
      <c r="W653" s="1" t="s">
        <v>83</v>
      </c>
    </row>
    <row r="654" spans="1:23" x14ac:dyDescent="0.35">
      <c r="A654" s="1" t="s">
        <v>1521</v>
      </c>
      <c r="B654" s="1" t="s">
        <v>446</v>
      </c>
      <c r="C654">
        <v>30</v>
      </c>
      <c r="D654" s="1" t="s">
        <v>106</v>
      </c>
      <c r="E654" s="1" t="s">
        <v>203</v>
      </c>
      <c r="F654" s="1" t="s">
        <v>87</v>
      </c>
      <c r="G654" s="1" t="s">
        <v>1522</v>
      </c>
      <c r="H654" s="2">
        <v>45904</v>
      </c>
      <c r="I654" s="1" t="s">
        <v>235</v>
      </c>
      <c r="J654" s="1" t="s">
        <v>137</v>
      </c>
      <c r="K654" s="1" t="s">
        <v>163</v>
      </c>
      <c r="L654" s="1" t="s">
        <v>92</v>
      </c>
      <c r="M654" s="1" t="s">
        <v>33</v>
      </c>
      <c r="N654">
        <v>339345.61</v>
      </c>
      <c r="O654">
        <v>0</v>
      </c>
      <c r="P654">
        <v>88563.53</v>
      </c>
      <c r="Q654">
        <v>5</v>
      </c>
      <c r="R654">
        <v>96</v>
      </c>
      <c r="S654">
        <v>2.9</v>
      </c>
      <c r="T654" s="1" t="s">
        <v>94</v>
      </c>
      <c r="U654" s="1" t="s">
        <v>58</v>
      </c>
      <c r="V654" s="1" t="s">
        <v>75</v>
      </c>
      <c r="W654" s="1" t="s">
        <v>59</v>
      </c>
    </row>
    <row r="655" spans="1:23" x14ac:dyDescent="0.35">
      <c r="A655" s="1" t="s">
        <v>1523</v>
      </c>
      <c r="B655" s="1" t="s">
        <v>1287</v>
      </c>
      <c r="C655">
        <v>60</v>
      </c>
      <c r="D655" s="1" t="s">
        <v>39</v>
      </c>
      <c r="E655" s="1" t="s">
        <v>107</v>
      </c>
      <c r="F655" s="1" t="s">
        <v>227</v>
      </c>
      <c r="G655" s="1" t="s">
        <v>1524</v>
      </c>
      <c r="H655" s="2">
        <v>46244</v>
      </c>
      <c r="I655" s="1" t="s">
        <v>89</v>
      </c>
      <c r="J655" s="1" t="s">
        <v>152</v>
      </c>
      <c r="K655" s="1" t="s">
        <v>33</v>
      </c>
      <c r="L655" s="1" t="s">
        <v>32</v>
      </c>
      <c r="M655" s="1" t="s">
        <v>45</v>
      </c>
      <c r="N655">
        <v>138176.26</v>
      </c>
      <c r="O655">
        <v>11266.06</v>
      </c>
      <c r="P655">
        <v>38353.9</v>
      </c>
      <c r="Q655">
        <v>2</v>
      </c>
      <c r="R655">
        <v>6</v>
      </c>
      <c r="S655">
        <v>5</v>
      </c>
      <c r="T655" s="1" t="s">
        <v>94</v>
      </c>
      <c r="U655" s="1" t="s">
        <v>101</v>
      </c>
      <c r="V655" s="1" t="s">
        <v>33</v>
      </c>
      <c r="W655" s="1" t="s">
        <v>33</v>
      </c>
    </row>
    <row r="656" spans="1:23" x14ac:dyDescent="0.35">
      <c r="A656" s="1" t="s">
        <v>1525</v>
      </c>
      <c r="B656" s="1" t="s">
        <v>736</v>
      </c>
      <c r="C656">
        <v>61</v>
      </c>
      <c r="D656" s="1" t="s">
        <v>33</v>
      </c>
      <c r="E656" s="1" t="s">
        <v>203</v>
      </c>
      <c r="F656" s="1" t="s">
        <v>108</v>
      </c>
      <c r="G656" s="1" t="s">
        <v>1526</v>
      </c>
      <c r="H656" s="2">
        <v>45574</v>
      </c>
      <c r="I656" s="1" t="s">
        <v>100</v>
      </c>
      <c r="J656" s="1" t="s">
        <v>242</v>
      </c>
      <c r="K656" s="1" t="s">
        <v>153</v>
      </c>
      <c r="L656" s="1" t="s">
        <v>92</v>
      </c>
      <c r="M656" s="1" t="s">
        <v>57</v>
      </c>
      <c r="N656">
        <v>249325.81</v>
      </c>
      <c r="O656">
        <v>5386.65</v>
      </c>
      <c r="P656">
        <v>44821.36</v>
      </c>
      <c r="Q656">
        <v>2</v>
      </c>
      <c r="R656">
        <v>153</v>
      </c>
      <c r="T656" s="1" t="s">
        <v>46</v>
      </c>
      <c r="U656" s="1" t="s">
        <v>58</v>
      </c>
      <c r="V656" s="1" t="s">
        <v>102</v>
      </c>
      <c r="W656" s="1" t="s">
        <v>131</v>
      </c>
    </row>
    <row r="657" spans="1:23" x14ac:dyDescent="0.35">
      <c r="A657" s="1" t="s">
        <v>1527</v>
      </c>
      <c r="B657" s="1" t="s">
        <v>800</v>
      </c>
      <c r="C657">
        <v>65</v>
      </c>
      <c r="D657" s="1" t="s">
        <v>71</v>
      </c>
      <c r="E657" s="1" t="s">
        <v>26</v>
      </c>
      <c r="F657" s="1" t="s">
        <v>41</v>
      </c>
      <c r="G657" s="1" t="s">
        <v>1528</v>
      </c>
      <c r="H657" s="2">
        <v>46211</v>
      </c>
      <c r="I657" s="1" t="s">
        <v>273</v>
      </c>
      <c r="J657" s="1" t="s">
        <v>152</v>
      </c>
      <c r="K657" s="1" t="s">
        <v>31</v>
      </c>
      <c r="L657" s="1" t="s">
        <v>66</v>
      </c>
      <c r="M657" s="1" t="s">
        <v>82</v>
      </c>
      <c r="N657">
        <v>348648.08</v>
      </c>
      <c r="O657">
        <v>18508.580000000002</v>
      </c>
      <c r="P657">
        <v>12604.73</v>
      </c>
      <c r="Q657">
        <v>7</v>
      </c>
      <c r="R657">
        <v>48</v>
      </c>
      <c r="S657">
        <v>4</v>
      </c>
      <c r="T657" s="1" t="s">
        <v>94</v>
      </c>
      <c r="U657" s="1" t="s">
        <v>33</v>
      </c>
      <c r="V657" s="1" t="s">
        <v>102</v>
      </c>
      <c r="W657" s="1" t="s">
        <v>33</v>
      </c>
    </row>
    <row r="658" spans="1:23" x14ac:dyDescent="0.35">
      <c r="A658" s="1" t="s">
        <v>1529</v>
      </c>
      <c r="B658" s="1" t="s">
        <v>1530</v>
      </c>
      <c r="C658">
        <v>0</v>
      </c>
      <c r="D658" s="1" t="s">
        <v>25</v>
      </c>
      <c r="E658" s="1" t="s">
        <v>177</v>
      </c>
      <c r="F658" s="1" t="s">
        <v>63</v>
      </c>
      <c r="G658" s="1" t="s">
        <v>1531</v>
      </c>
      <c r="H658" s="2">
        <v>45565</v>
      </c>
      <c r="I658" s="1" t="s">
        <v>127</v>
      </c>
      <c r="J658" s="1" t="s">
        <v>152</v>
      </c>
      <c r="K658" s="1" t="s">
        <v>33</v>
      </c>
      <c r="L658" s="1" t="s">
        <v>44</v>
      </c>
      <c r="M658" s="1" t="s">
        <v>33</v>
      </c>
      <c r="N658">
        <v>218864.15</v>
      </c>
      <c r="O658">
        <v>33952.230000000003</v>
      </c>
      <c r="P658">
        <v>36673.67</v>
      </c>
      <c r="Q658">
        <v>4</v>
      </c>
      <c r="R658">
        <v>191</v>
      </c>
      <c r="S658">
        <v>4.2</v>
      </c>
      <c r="T658" s="1" t="s">
        <v>46</v>
      </c>
      <c r="U658" s="1" t="s">
        <v>101</v>
      </c>
      <c r="V658" s="1" t="s">
        <v>75</v>
      </c>
      <c r="W658" s="1" t="s">
        <v>103</v>
      </c>
    </row>
    <row r="659" spans="1:23" x14ac:dyDescent="0.35">
      <c r="A659" s="1" t="s">
        <v>1532</v>
      </c>
      <c r="B659" s="1" t="s">
        <v>650</v>
      </c>
      <c r="C659">
        <v>38</v>
      </c>
      <c r="D659" s="1" t="s">
        <v>106</v>
      </c>
      <c r="E659" s="1" t="s">
        <v>51</v>
      </c>
      <c r="F659" s="1" t="s">
        <v>87</v>
      </c>
      <c r="G659" s="1" t="s">
        <v>1139</v>
      </c>
      <c r="H659" s="2">
        <v>46022</v>
      </c>
      <c r="I659" s="1" t="s">
        <v>127</v>
      </c>
      <c r="J659" s="1" t="s">
        <v>33</v>
      </c>
      <c r="K659" s="1" t="s">
        <v>208</v>
      </c>
      <c r="L659" s="1" t="s">
        <v>33</v>
      </c>
      <c r="M659" s="1" t="s">
        <v>123</v>
      </c>
      <c r="N659">
        <v>351246.85</v>
      </c>
      <c r="O659">
        <v>70876.66</v>
      </c>
      <c r="P659">
        <v>84350.8</v>
      </c>
      <c r="Q659">
        <v>7</v>
      </c>
      <c r="R659">
        <v>13</v>
      </c>
      <c r="S659">
        <v>3.4</v>
      </c>
      <c r="T659" s="1" t="s">
        <v>46</v>
      </c>
      <c r="U659" s="1" t="s">
        <v>101</v>
      </c>
      <c r="V659" s="1" t="s">
        <v>130</v>
      </c>
      <c r="W659" s="1" t="s">
        <v>36</v>
      </c>
    </row>
    <row r="660" spans="1:23" x14ac:dyDescent="0.35">
      <c r="A660" s="1" t="s">
        <v>1533</v>
      </c>
      <c r="B660" s="1" t="s">
        <v>1534</v>
      </c>
      <c r="C660">
        <v>53</v>
      </c>
      <c r="D660" s="1" t="s">
        <v>33</v>
      </c>
      <c r="E660" s="1" t="s">
        <v>192</v>
      </c>
      <c r="F660" s="1" t="s">
        <v>27</v>
      </c>
      <c r="G660" s="1" t="s">
        <v>572</v>
      </c>
      <c r="H660" s="2">
        <v>45449</v>
      </c>
      <c r="I660" s="1" t="s">
        <v>33</v>
      </c>
      <c r="J660" s="1" t="s">
        <v>242</v>
      </c>
      <c r="K660" s="1" t="s">
        <v>163</v>
      </c>
      <c r="L660" s="1" t="s">
        <v>32</v>
      </c>
      <c r="M660" s="1" t="s">
        <v>33</v>
      </c>
      <c r="N660">
        <v>316089.5</v>
      </c>
      <c r="O660">
        <v>9027.68</v>
      </c>
      <c r="P660">
        <v>47035.16</v>
      </c>
      <c r="Q660">
        <v>2</v>
      </c>
      <c r="R660">
        <v>0</v>
      </c>
      <c r="S660">
        <v>5</v>
      </c>
      <c r="T660" s="1" t="s">
        <v>34</v>
      </c>
      <c r="U660" s="1" t="s">
        <v>101</v>
      </c>
      <c r="V660" s="1" t="s">
        <v>130</v>
      </c>
      <c r="W660" s="1" t="s">
        <v>179</v>
      </c>
    </row>
    <row r="661" spans="1:23" x14ac:dyDescent="0.35">
      <c r="A661" s="1" t="s">
        <v>1535</v>
      </c>
      <c r="B661" s="1" t="s">
        <v>540</v>
      </c>
      <c r="C661">
        <v>44</v>
      </c>
      <c r="D661" s="1" t="s">
        <v>39</v>
      </c>
      <c r="E661" s="1" t="s">
        <v>40</v>
      </c>
      <c r="F661" s="1" t="s">
        <v>56</v>
      </c>
      <c r="G661" s="1" t="s">
        <v>512</v>
      </c>
      <c r="H661" s="2">
        <v>45922</v>
      </c>
      <c r="I661" s="1" t="s">
        <v>173</v>
      </c>
      <c r="J661" s="1" t="s">
        <v>137</v>
      </c>
      <c r="K661" s="1" t="s">
        <v>174</v>
      </c>
      <c r="L661" s="1" t="s">
        <v>33</v>
      </c>
      <c r="M661" s="1" t="s">
        <v>45</v>
      </c>
      <c r="N661">
        <v>176649.04</v>
      </c>
      <c r="O661">
        <v>58650.69</v>
      </c>
      <c r="P661">
        <v>0</v>
      </c>
      <c r="Q661">
        <v>2</v>
      </c>
      <c r="R661">
        <v>93</v>
      </c>
      <c r="S661">
        <v>3.6</v>
      </c>
      <c r="T661" s="1" t="s">
        <v>154</v>
      </c>
      <c r="U661" s="1" t="s">
        <v>101</v>
      </c>
      <c r="V661" s="1" t="s">
        <v>164</v>
      </c>
      <c r="W661" s="1" t="s">
        <v>33</v>
      </c>
    </row>
    <row r="662" spans="1:23" x14ac:dyDescent="0.35">
      <c r="A662" s="1" t="s">
        <v>1536</v>
      </c>
      <c r="B662" s="1" t="s">
        <v>125</v>
      </c>
      <c r="C662">
        <v>80</v>
      </c>
      <c r="D662" s="1" t="s">
        <v>50</v>
      </c>
      <c r="E662" s="1" t="s">
        <v>134</v>
      </c>
      <c r="F662" s="1" t="s">
        <v>41</v>
      </c>
      <c r="G662" s="1" t="s">
        <v>1537</v>
      </c>
      <c r="H662" s="2">
        <v>46196</v>
      </c>
      <c r="I662" s="1" t="s">
        <v>235</v>
      </c>
      <c r="J662" s="1" t="s">
        <v>30</v>
      </c>
      <c r="K662" s="1" t="s">
        <v>116</v>
      </c>
      <c r="L662" s="1" t="s">
        <v>56</v>
      </c>
      <c r="M662" s="1" t="s">
        <v>57</v>
      </c>
      <c r="N662">
        <v>95773.88</v>
      </c>
      <c r="O662">
        <v>49294.9</v>
      </c>
      <c r="P662">
        <v>55687.58</v>
      </c>
      <c r="Q662">
        <v>2</v>
      </c>
      <c r="R662">
        <v>189</v>
      </c>
      <c r="S662">
        <v>2.8</v>
      </c>
      <c r="T662" s="1" t="s">
        <v>94</v>
      </c>
      <c r="U662" s="1" t="s">
        <v>33</v>
      </c>
      <c r="V662" s="1" t="s">
        <v>47</v>
      </c>
      <c r="W662" s="1" t="s">
        <v>131</v>
      </c>
    </row>
    <row r="663" spans="1:23" x14ac:dyDescent="0.35">
      <c r="A663" s="1" t="s">
        <v>1538</v>
      </c>
      <c r="B663" s="1" t="s">
        <v>480</v>
      </c>
      <c r="C663">
        <v>67</v>
      </c>
      <c r="D663" s="1" t="s">
        <v>39</v>
      </c>
      <c r="E663" s="1" t="s">
        <v>40</v>
      </c>
      <c r="F663" s="1" t="s">
        <v>44</v>
      </c>
      <c r="G663" s="1" t="s">
        <v>1539</v>
      </c>
      <c r="H663" s="2">
        <v>45908</v>
      </c>
      <c r="I663" s="1" t="s">
        <v>114</v>
      </c>
      <c r="J663" s="1" t="s">
        <v>242</v>
      </c>
      <c r="K663" s="1" t="s">
        <v>174</v>
      </c>
      <c r="L663" s="1" t="s">
        <v>32</v>
      </c>
      <c r="M663" s="1" t="s">
        <v>129</v>
      </c>
      <c r="N663">
        <v>279544.98</v>
      </c>
      <c r="O663">
        <v>0</v>
      </c>
      <c r="P663">
        <v>28820.85</v>
      </c>
      <c r="Q663">
        <v>1</v>
      </c>
      <c r="R663">
        <v>123</v>
      </c>
      <c r="S663">
        <v>4.8</v>
      </c>
      <c r="T663" s="1" t="s">
        <v>154</v>
      </c>
      <c r="U663" s="1" t="s">
        <v>67</v>
      </c>
      <c r="V663" s="1" t="s">
        <v>164</v>
      </c>
      <c r="W663" s="1" t="s">
        <v>103</v>
      </c>
    </row>
    <row r="664" spans="1:23" x14ac:dyDescent="0.35">
      <c r="A664" s="1" t="s">
        <v>1540</v>
      </c>
      <c r="B664" s="1" t="s">
        <v>1177</v>
      </c>
      <c r="C664">
        <v>0</v>
      </c>
      <c r="D664" s="1" t="s">
        <v>71</v>
      </c>
      <c r="E664" s="1" t="s">
        <v>72</v>
      </c>
      <c r="F664" s="1" t="s">
        <v>56</v>
      </c>
      <c r="G664" s="1" t="s">
        <v>1541</v>
      </c>
      <c r="H664" s="2">
        <v>46038</v>
      </c>
      <c r="I664" s="1" t="s">
        <v>53</v>
      </c>
      <c r="J664" s="1" t="s">
        <v>242</v>
      </c>
      <c r="K664" s="1" t="s">
        <v>91</v>
      </c>
      <c r="L664" s="1" t="s">
        <v>56</v>
      </c>
      <c r="M664" s="1" t="s">
        <v>183</v>
      </c>
      <c r="N664">
        <v>293251.25</v>
      </c>
      <c r="O664">
        <v>0</v>
      </c>
      <c r="P664">
        <v>0</v>
      </c>
      <c r="Q664">
        <v>1</v>
      </c>
      <c r="R664">
        <v>0</v>
      </c>
      <c r="T664" s="1" t="s">
        <v>33</v>
      </c>
      <c r="U664" s="1" t="s">
        <v>149</v>
      </c>
      <c r="V664" s="1" t="s">
        <v>68</v>
      </c>
      <c r="W664" s="1" t="s">
        <v>131</v>
      </c>
    </row>
    <row r="665" spans="1:23" x14ac:dyDescent="0.35">
      <c r="A665" s="1" t="s">
        <v>1542</v>
      </c>
      <c r="B665" s="1" t="s">
        <v>176</v>
      </c>
      <c r="C665">
        <v>38</v>
      </c>
      <c r="D665" s="1" t="s">
        <v>25</v>
      </c>
      <c r="E665" s="1" t="s">
        <v>72</v>
      </c>
      <c r="F665" s="1" t="s">
        <v>227</v>
      </c>
      <c r="G665" s="1" t="s">
        <v>802</v>
      </c>
      <c r="H665" s="2">
        <v>45683</v>
      </c>
      <c r="I665" s="1" t="s">
        <v>221</v>
      </c>
      <c r="J665" s="1" t="s">
        <v>65</v>
      </c>
      <c r="K665" s="1" t="s">
        <v>148</v>
      </c>
      <c r="L665" s="1" t="s">
        <v>92</v>
      </c>
      <c r="M665" s="1" t="s">
        <v>183</v>
      </c>
      <c r="N665">
        <v>414463.41</v>
      </c>
      <c r="O665">
        <v>45933.120000000003</v>
      </c>
      <c r="P665">
        <v>93489</v>
      </c>
      <c r="Q665">
        <v>3</v>
      </c>
      <c r="R665">
        <v>0</v>
      </c>
      <c r="S665">
        <v>3.7</v>
      </c>
      <c r="T665" s="1" t="s">
        <v>154</v>
      </c>
      <c r="U665" s="1" t="s">
        <v>101</v>
      </c>
      <c r="V665" s="1" t="s">
        <v>102</v>
      </c>
      <c r="W665" s="1" t="s">
        <v>33</v>
      </c>
    </row>
    <row r="666" spans="1:23" x14ac:dyDescent="0.35">
      <c r="A666" s="1" t="s">
        <v>1543</v>
      </c>
      <c r="B666" s="1" t="s">
        <v>923</v>
      </c>
      <c r="C666">
        <v>37</v>
      </c>
      <c r="D666" s="1" t="s">
        <v>71</v>
      </c>
      <c r="E666" s="1" t="s">
        <v>26</v>
      </c>
      <c r="F666" s="1" t="s">
        <v>44</v>
      </c>
      <c r="G666" s="1" t="s">
        <v>1473</v>
      </c>
      <c r="H666" s="2">
        <v>46043</v>
      </c>
      <c r="I666" s="1" t="s">
        <v>273</v>
      </c>
      <c r="J666" s="1" t="s">
        <v>43</v>
      </c>
      <c r="K666" s="1" t="s">
        <v>174</v>
      </c>
      <c r="L666" s="1" t="s">
        <v>44</v>
      </c>
      <c r="M666" s="1" t="s">
        <v>123</v>
      </c>
      <c r="N666">
        <v>185193.78</v>
      </c>
      <c r="O666">
        <v>45665.34</v>
      </c>
      <c r="P666">
        <v>46366.92</v>
      </c>
      <c r="Q666">
        <v>1</v>
      </c>
      <c r="R666">
        <v>141</v>
      </c>
      <c r="S666">
        <v>4.5999999999999996</v>
      </c>
      <c r="T666" s="1" t="s">
        <v>94</v>
      </c>
      <c r="U666" s="1" t="s">
        <v>33</v>
      </c>
      <c r="V666" s="1" t="s">
        <v>130</v>
      </c>
      <c r="W666" s="1" t="s">
        <v>83</v>
      </c>
    </row>
    <row r="667" spans="1:23" x14ac:dyDescent="0.35">
      <c r="A667" s="1" t="s">
        <v>1544</v>
      </c>
      <c r="B667" s="1" t="s">
        <v>1545</v>
      </c>
      <c r="C667">
        <v>36</v>
      </c>
      <c r="D667" s="1" t="s">
        <v>39</v>
      </c>
      <c r="E667" s="1" t="s">
        <v>62</v>
      </c>
      <c r="F667" s="1" t="s">
        <v>135</v>
      </c>
      <c r="G667" s="1" t="s">
        <v>1546</v>
      </c>
      <c r="H667" s="2">
        <v>45432</v>
      </c>
      <c r="I667" s="1" t="s">
        <v>29</v>
      </c>
      <c r="J667" s="1" t="s">
        <v>33</v>
      </c>
      <c r="K667" s="1" t="s">
        <v>55</v>
      </c>
      <c r="L667" s="1" t="s">
        <v>44</v>
      </c>
      <c r="M667" s="1" t="s">
        <v>57</v>
      </c>
      <c r="N667">
        <v>88256.82</v>
      </c>
      <c r="O667">
        <v>36152.089999999997</v>
      </c>
      <c r="P667">
        <v>20931.599999999999</v>
      </c>
      <c r="Q667">
        <v>14</v>
      </c>
      <c r="R667">
        <v>206</v>
      </c>
      <c r="S667">
        <v>3.3</v>
      </c>
      <c r="T667" s="1" t="s">
        <v>33</v>
      </c>
      <c r="U667" s="1" t="s">
        <v>33</v>
      </c>
      <c r="V667" s="1" t="s">
        <v>130</v>
      </c>
      <c r="W667" s="1" t="s">
        <v>36</v>
      </c>
    </row>
    <row r="668" spans="1:23" x14ac:dyDescent="0.35">
      <c r="A668" s="1" t="s">
        <v>1547</v>
      </c>
      <c r="B668" s="1" t="s">
        <v>1548</v>
      </c>
      <c r="C668">
        <v>32</v>
      </c>
      <c r="D668" s="1" t="s">
        <v>50</v>
      </c>
      <c r="E668" s="1" t="s">
        <v>72</v>
      </c>
      <c r="F668" s="1" t="s">
        <v>87</v>
      </c>
      <c r="G668" s="1" t="s">
        <v>603</v>
      </c>
      <c r="H668" s="2">
        <v>46145</v>
      </c>
      <c r="I668" s="1" t="s">
        <v>33</v>
      </c>
      <c r="J668" s="1" t="s">
        <v>80</v>
      </c>
      <c r="K668" s="1" t="s">
        <v>148</v>
      </c>
      <c r="L668" s="1" t="s">
        <v>66</v>
      </c>
      <c r="M668" s="1" t="s">
        <v>93</v>
      </c>
      <c r="N668">
        <v>320578.44</v>
      </c>
      <c r="O668">
        <v>26056.33</v>
      </c>
      <c r="P668">
        <v>25750</v>
      </c>
      <c r="Q668">
        <v>2</v>
      </c>
      <c r="R668">
        <v>219</v>
      </c>
      <c r="S668">
        <v>2.6</v>
      </c>
      <c r="T668" s="1" t="s">
        <v>33</v>
      </c>
      <c r="U668" s="1" t="s">
        <v>101</v>
      </c>
      <c r="V668" s="1" t="s">
        <v>75</v>
      </c>
      <c r="W668" s="1" t="s">
        <v>12</v>
      </c>
    </row>
    <row r="669" spans="1:23" x14ac:dyDescent="0.35">
      <c r="A669" s="1" t="s">
        <v>1549</v>
      </c>
      <c r="B669" s="1" t="s">
        <v>1413</v>
      </c>
      <c r="C669">
        <v>57</v>
      </c>
      <c r="D669" s="1" t="s">
        <v>33</v>
      </c>
      <c r="E669" s="1" t="s">
        <v>107</v>
      </c>
      <c r="F669" s="1" t="s">
        <v>27</v>
      </c>
      <c r="G669" s="1" t="s">
        <v>1550</v>
      </c>
      <c r="H669" s="2">
        <v>45580</v>
      </c>
      <c r="I669" s="1" t="s">
        <v>33</v>
      </c>
      <c r="J669" s="1" t="s">
        <v>30</v>
      </c>
      <c r="K669" s="1" t="s">
        <v>128</v>
      </c>
      <c r="L669" s="1" t="s">
        <v>44</v>
      </c>
      <c r="M669" s="1" t="s">
        <v>142</v>
      </c>
      <c r="N669">
        <v>0</v>
      </c>
      <c r="O669">
        <v>42006.51</v>
      </c>
      <c r="P669">
        <v>13346.77</v>
      </c>
      <c r="Q669">
        <v>3</v>
      </c>
      <c r="R669">
        <v>156</v>
      </c>
      <c r="S669">
        <v>2.4</v>
      </c>
      <c r="T669" s="1" t="s">
        <v>33</v>
      </c>
      <c r="U669" s="1" t="s">
        <v>33</v>
      </c>
      <c r="V669" s="1" t="s">
        <v>47</v>
      </c>
      <c r="W669" s="1" t="s">
        <v>33</v>
      </c>
    </row>
    <row r="670" spans="1:23" x14ac:dyDescent="0.35">
      <c r="A670" s="1" t="s">
        <v>1551</v>
      </c>
      <c r="B670" s="1" t="s">
        <v>451</v>
      </c>
      <c r="C670">
        <v>67</v>
      </c>
      <c r="D670" s="1" t="s">
        <v>33</v>
      </c>
      <c r="E670" s="1" t="s">
        <v>157</v>
      </c>
      <c r="F670" s="1" t="s">
        <v>56</v>
      </c>
      <c r="G670" s="1" t="s">
        <v>1552</v>
      </c>
      <c r="H670" s="2">
        <v>45675</v>
      </c>
      <c r="I670" s="1" t="s">
        <v>114</v>
      </c>
      <c r="J670" s="1" t="s">
        <v>152</v>
      </c>
      <c r="K670" s="1" t="s">
        <v>163</v>
      </c>
      <c r="L670" s="1" t="s">
        <v>33</v>
      </c>
      <c r="M670" s="1" t="s">
        <v>33</v>
      </c>
      <c r="N670">
        <v>340601.11</v>
      </c>
      <c r="O670">
        <v>36282.92</v>
      </c>
      <c r="P670">
        <v>38060.97</v>
      </c>
      <c r="Q670">
        <v>5</v>
      </c>
      <c r="R670">
        <v>51</v>
      </c>
      <c r="S670">
        <v>5</v>
      </c>
      <c r="T670" s="1" t="s">
        <v>154</v>
      </c>
      <c r="U670" s="1" t="s">
        <v>35</v>
      </c>
      <c r="V670" s="1" t="s">
        <v>102</v>
      </c>
      <c r="W670" s="1" t="s">
        <v>59</v>
      </c>
    </row>
    <row r="671" spans="1:23" x14ac:dyDescent="0.35">
      <c r="A671" s="1" t="s">
        <v>1553</v>
      </c>
      <c r="B671" s="1" t="s">
        <v>438</v>
      </c>
      <c r="C671">
        <v>20</v>
      </c>
      <c r="D671" s="1" t="s">
        <v>71</v>
      </c>
      <c r="E671" s="1" t="s">
        <v>51</v>
      </c>
      <c r="F671" s="1" t="s">
        <v>98</v>
      </c>
      <c r="G671" s="1" t="s">
        <v>1471</v>
      </c>
      <c r="H671" s="2">
        <v>46152</v>
      </c>
      <c r="I671" s="1" t="s">
        <v>33</v>
      </c>
      <c r="J671" s="1" t="s">
        <v>242</v>
      </c>
      <c r="K671" s="1" t="s">
        <v>128</v>
      </c>
      <c r="L671" s="1" t="s">
        <v>66</v>
      </c>
      <c r="M671" s="1" t="s">
        <v>33</v>
      </c>
      <c r="N671">
        <v>313151.65000000002</v>
      </c>
      <c r="O671">
        <v>10096.58</v>
      </c>
      <c r="P671">
        <v>16498.099999999999</v>
      </c>
      <c r="Q671">
        <v>1</v>
      </c>
      <c r="R671">
        <v>0</v>
      </c>
      <c r="S671">
        <v>3.1</v>
      </c>
      <c r="T671" s="1" t="s">
        <v>33</v>
      </c>
      <c r="U671" s="1" t="s">
        <v>149</v>
      </c>
      <c r="V671" s="1" t="s">
        <v>130</v>
      </c>
      <c r="W671" s="1" t="s">
        <v>103</v>
      </c>
    </row>
    <row r="672" spans="1:23" x14ac:dyDescent="0.35">
      <c r="A672" s="1" t="s">
        <v>1554</v>
      </c>
      <c r="B672" s="1" t="s">
        <v>328</v>
      </c>
      <c r="C672">
        <v>48</v>
      </c>
      <c r="D672" s="1" t="s">
        <v>33</v>
      </c>
      <c r="E672" s="1" t="s">
        <v>33</v>
      </c>
      <c r="F672" s="1" t="s">
        <v>227</v>
      </c>
      <c r="G672" s="1" t="s">
        <v>1555</v>
      </c>
      <c r="H672" s="2">
        <v>46107</v>
      </c>
      <c r="I672" s="1" t="s">
        <v>257</v>
      </c>
      <c r="J672" s="1" t="s">
        <v>152</v>
      </c>
      <c r="K672" s="1" t="s">
        <v>91</v>
      </c>
      <c r="L672" s="1" t="s">
        <v>33</v>
      </c>
      <c r="M672" s="1" t="s">
        <v>142</v>
      </c>
      <c r="N672">
        <v>353182.87</v>
      </c>
      <c r="O672">
        <v>43172.45</v>
      </c>
      <c r="P672">
        <v>39273.83</v>
      </c>
      <c r="Q672">
        <v>2</v>
      </c>
      <c r="R672">
        <v>80</v>
      </c>
      <c r="S672">
        <v>4.4000000000000004</v>
      </c>
      <c r="T672" s="1" t="s">
        <v>33</v>
      </c>
      <c r="U672" s="1" t="s">
        <v>35</v>
      </c>
      <c r="V672" s="1" t="s">
        <v>75</v>
      </c>
      <c r="W672" s="1" t="s">
        <v>179</v>
      </c>
    </row>
    <row r="673" spans="1:23" x14ac:dyDescent="0.35">
      <c r="A673" s="1" t="s">
        <v>1556</v>
      </c>
      <c r="B673" s="1" t="s">
        <v>1557</v>
      </c>
      <c r="C673">
        <v>45</v>
      </c>
      <c r="D673" s="1" t="s">
        <v>33</v>
      </c>
      <c r="E673" s="1" t="s">
        <v>157</v>
      </c>
      <c r="F673" s="1" t="s">
        <v>44</v>
      </c>
      <c r="G673" s="1" t="s">
        <v>1558</v>
      </c>
      <c r="H673" s="2">
        <v>45501</v>
      </c>
      <c r="I673" s="1" t="s">
        <v>168</v>
      </c>
      <c r="J673" s="1" t="s">
        <v>137</v>
      </c>
      <c r="K673" s="1" t="s">
        <v>163</v>
      </c>
      <c r="L673" s="1" t="s">
        <v>33</v>
      </c>
      <c r="M673" s="1" t="s">
        <v>123</v>
      </c>
      <c r="N673">
        <v>154321.68</v>
      </c>
      <c r="O673">
        <v>5178.3500000000004</v>
      </c>
      <c r="P673">
        <v>1643.84</v>
      </c>
      <c r="Q673">
        <v>7</v>
      </c>
      <c r="R673">
        <v>144</v>
      </c>
      <c r="S673">
        <v>4.5</v>
      </c>
      <c r="T673" s="1" t="s">
        <v>34</v>
      </c>
      <c r="U673" s="1" t="s">
        <v>149</v>
      </c>
      <c r="V673" s="1" t="s">
        <v>33</v>
      </c>
      <c r="W673" s="1" t="s">
        <v>179</v>
      </c>
    </row>
    <row r="674" spans="1:23" x14ac:dyDescent="0.35">
      <c r="A674" s="1" t="s">
        <v>1559</v>
      </c>
      <c r="B674" s="1" t="s">
        <v>1560</v>
      </c>
      <c r="C674">
        <v>40</v>
      </c>
      <c r="D674" s="1" t="s">
        <v>106</v>
      </c>
      <c r="E674" s="1" t="s">
        <v>219</v>
      </c>
      <c r="F674" s="1" t="s">
        <v>193</v>
      </c>
      <c r="G674" s="1" t="s">
        <v>1561</v>
      </c>
      <c r="H674" s="2">
        <v>45831</v>
      </c>
      <c r="I674" s="1" t="s">
        <v>100</v>
      </c>
      <c r="J674" s="1" t="s">
        <v>147</v>
      </c>
      <c r="K674" s="1" t="s">
        <v>153</v>
      </c>
      <c r="L674" s="1" t="s">
        <v>92</v>
      </c>
      <c r="M674" s="1" t="s">
        <v>33</v>
      </c>
      <c r="N674">
        <v>416970.86</v>
      </c>
      <c r="O674">
        <v>17897.04</v>
      </c>
      <c r="P674">
        <v>73658.080000000002</v>
      </c>
      <c r="Q674">
        <v>4</v>
      </c>
      <c r="R674">
        <v>92</v>
      </c>
      <c r="S674">
        <v>2.9</v>
      </c>
      <c r="T674" s="1" t="s">
        <v>154</v>
      </c>
      <c r="U674" s="1" t="s">
        <v>67</v>
      </c>
      <c r="V674" s="1" t="s">
        <v>164</v>
      </c>
      <c r="W674" s="1" t="s">
        <v>33</v>
      </c>
    </row>
    <row r="675" spans="1:23" x14ac:dyDescent="0.35">
      <c r="A675" s="1" t="s">
        <v>1562</v>
      </c>
      <c r="B675" s="1" t="s">
        <v>833</v>
      </c>
      <c r="C675">
        <v>52</v>
      </c>
      <c r="D675" s="1" t="s">
        <v>33</v>
      </c>
      <c r="E675" s="1" t="s">
        <v>26</v>
      </c>
      <c r="F675" s="1" t="s">
        <v>227</v>
      </c>
      <c r="G675" s="1" t="s">
        <v>1563</v>
      </c>
      <c r="H675" s="2">
        <v>45464</v>
      </c>
      <c r="I675" s="1" t="s">
        <v>168</v>
      </c>
      <c r="J675" s="1" t="s">
        <v>147</v>
      </c>
      <c r="K675" s="1" t="s">
        <v>163</v>
      </c>
      <c r="L675" s="1" t="s">
        <v>56</v>
      </c>
      <c r="M675" s="1" t="s">
        <v>57</v>
      </c>
      <c r="N675">
        <v>269976.19</v>
      </c>
      <c r="O675">
        <v>32031.96</v>
      </c>
      <c r="P675">
        <v>43863.21</v>
      </c>
      <c r="Q675">
        <v>4</v>
      </c>
      <c r="R675">
        <v>274</v>
      </c>
      <c r="S675">
        <v>5</v>
      </c>
      <c r="T675" s="1" t="s">
        <v>33</v>
      </c>
      <c r="U675" s="1" t="s">
        <v>58</v>
      </c>
      <c r="V675" s="1" t="s">
        <v>68</v>
      </c>
      <c r="W675" s="1" t="s">
        <v>59</v>
      </c>
    </row>
    <row r="676" spans="1:23" x14ac:dyDescent="0.35">
      <c r="A676" s="1" t="s">
        <v>1564</v>
      </c>
      <c r="B676" s="1" t="s">
        <v>403</v>
      </c>
      <c r="C676">
        <v>45</v>
      </c>
      <c r="D676" s="1" t="s">
        <v>106</v>
      </c>
      <c r="E676" s="1" t="s">
        <v>40</v>
      </c>
      <c r="F676" s="1" t="s">
        <v>227</v>
      </c>
      <c r="G676" s="1" t="s">
        <v>535</v>
      </c>
      <c r="H676" s="2">
        <v>45365</v>
      </c>
      <c r="I676" s="1" t="s">
        <v>273</v>
      </c>
      <c r="J676" s="1" t="s">
        <v>33</v>
      </c>
      <c r="K676" s="1" t="s">
        <v>31</v>
      </c>
      <c r="L676" s="1" t="s">
        <v>66</v>
      </c>
      <c r="M676" s="1" t="s">
        <v>93</v>
      </c>
      <c r="N676">
        <v>361002.01</v>
      </c>
      <c r="O676">
        <v>42949.87</v>
      </c>
      <c r="P676">
        <v>45786.14</v>
      </c>
      <c r="Q676">
        <v>5</v>
      </c>
      <c r="R676">
        <v>72</v>
      </c>
      <c r="S676">
        <v>3.6</v>
      </c>
      <c r="T676" s="1" t="s">
        <v>33</v>
      </c>
      <c r="U676" s="1" t="s">
        <v>33</v>
      </c>
      <c r="V676" s="1" t="s">
        <v>164</v>
      </c>
      <c r="W676" s="1" t="s">
        <v>103</v>
      </c>
    </row>
    <row r="677" spans="1:23" x14ac:dyDescent="0.35">
      <c r="A677" s="1" t="s">
        <v>1565</v>
      </c>
      <c r="B677" s="1" t="s">
        <v>191</v>
      </c>
      <c r="C677">
        <v>47</v>
      </c>
      <c r="D677" s="1" t="s">
        <v>25</v>
      </c>
      <c r="E677" s="1" t="s">
        <v>112</v>
      </c>
      <c r="F677" s="1" t="s">
        <v>63</v>
      </c>
      <c r="G677" s="1" t="s">
        <v>866</v>
      </c>
      <c r="H677" s="2">
        <v>45449</v>
      </c>
      <c r="I677" s="1" t="s">
        <v>100</v>
      </c>
      <c r="J677" s="1" t="s">
        <v>242</v>
      </c>
      <c r="K677" s="1" t="s">
        <v>81</v>
      </c>
      <c r="L677" s="1" t="s">
        <v>44</v>
      </c>
      <c r="M677" s="1" t="s">
        <v>45</v>
      </c>
      <c r="N677">
        <v>151613.35</v>
      </c>
      <c r="O677">
        <v>69816.75</v>
      </c>
      <c r="P677">
        <v>45580.32</v>
      </c>
      <c r="Q677">
        <v>1</v>
      </c>
      <c r="R677">
        <v>5</v>
      </c>
      <c r="S677">
        <v>3.6</v>
      </c>
      <c r="T677" s="1" t="s">
        <v>33</v>
      </c>
      <c r="U677" s="1" t="s">
        <v>33</v>
      </c>
      <c r="V677" s="1" t="s">
        <v>47</v>
      </c>
      <c r="W677" s="1" t="s">
        <v>12</v>
      </c>
    </row>
    <row r="678" spans="1:23" x14ac:dyDescent="0.35">
      <c r="A678" s="1" t="s">
        <v>1566</v>
      </c>
      <c r="B678" s="1" t="s">
        <v>262</v>
      </c>
      <c r="C678">
        <v>53</v>
      </c>
      <c r="D678" s="1" t="s">
        <v>25</v>
      </c>
      <c r="E678" s="1" t="s">
        <v>177</v>
      </c>
      <c r="F678" s="1" t="s">
        <v>135</v>
      </c>
      <c r="G678" s="1" t="s">
        <v>1567</v>
      </c>
      <c r="H678" s="2">
        <v>45514</v>
      </c>
      <c r="I678" s="1" t="s">
        <v>100</v>
      </c>
      <c r="J678" s="1" t="s">
        <v>137</v>
      </c>
      <c r="K678" s="1" t="s">
        <v>33</v>
      </c>
      <c r="L678" s="1" t="s">
        <v>44</v>
      </c>
      <c r="M678" s="1" t="s">
        <v>74</v>
      </c>
      <c r="N678">
        <v>260732.63</v>
      </c>
      <c r="O678">
        <v>53945.99</v>
      </c>
      <c r="P678">
        <v>21273.55</v>
      </c>
      <c r="Q678">
        <v>1</v>
      </c>
      <c r="R678">
        <v>97</v>
      </c>
      <c r="S678">
        <v>1.9</v>
      </c>
      <c r="T678" s="1" t="s">
        <v>154</v>
      </c>
      <c r="U678" s="1" t="s">
        <v>95</v>
      </c>
      <c r="V678" s="1" t="s">
        <v>102</v>
      </c>
      <c r="W678" s="1" t="s">
        <v>33</v>
      </c>
    </row>
    <row r="679" spans="1:23" x14ac:dyDescent="0.35">
      <c r="A679" s="1" t="s">
        <v>1568</v>
      </c>
      <c r="B679" s="1" t="s">
        <v>333</v>
      </c>
      <c r="C679">
        <v>54</v>
      </c>
      <c r="D679" s="1" t="s">
        <v>39</v>
      </c>
      <c r="E679" s="1" t="s">
        <v>62</v>
      </c>
      <c r="F679" s="1" t="s">
        <v>27</v>
      </c>
      <c r="G679" s="1" t="s">
        <v>1569</v>
      </c>
      <c r="H679" s="2">
        <v>45699</v>
      </c>
      <c r="I679" s="1" t="s">
        <v>33</v>
      </c>
      <c r="J679" s="1" t="s">
        <v>152</v>
      </c>
      <c r="K679" s="1" t="s">
        <v>153</v>
      </c>
      <c r="L679" s="1" t="s">
        <v>33</v>
      </c>
      <c r="M679" s="1" t="s">
        <v>123</v>
      </c>
      <c r="N679">
        <v>289412.7</v>
      </c>
      <c r="O679">
        <v>30040.48</v>
      </c>
      <c r="P679">
        <v>57443.19</v>
      </c>
      <c r="Q679">
        <v>5</v>
      </c>
      <c r="R679">
        <v>215</v>
      </c>
      <c r="S679">
        <v>3.3</v>
      </c>
      <c r="T679" s="1" t="s">
        <v>33</v>
      </c>
      <c r="U679" s="1" t="s">
        <v>35</v>
      </c>
      <c r="V679" s="1" t="s">
        <v>68</v>
      </c>
      <c r="W679" s="1" t="s">
        <v>83</v>
      </c>
    </row>
    <row r="680" spans="1:23" x14ac:dyDescent="0.35">
      <c r="A680" s="1" t="s">
        <v>1570</v>
      </c>
      <c r="B680" s="1" t="s">
        <v>185</v>
      </c>
      <c r="C680">
        <v>19</v>
      </c>
      <c r="D680" s="1" t="s">
        <v>25</v>
      </c>
      <c r="E680" s="1" t="s">
        <v>134</v>
      </c>
      <c r="F680" s="1" t="s">
        <v>56</v>
      </c>
      <c r="G680" s="1" t="s">
        <v>1571</v>
      </c>
      <c r="H680" s="2">
        <v>45551</v>
      </c>
      <c r="I680" s="1" t="s">
        <v>173</v>
      </c>
      <c r="J680" s="1" t="s">
        <v>147</v>
      </c>
      <c r="K680" s="1" t="s">
        <v>148</v>
      </c>
      <c r="L680" s="1" t="s">
        <v>33</v>
      </c>
      <c r="M680" s="1" t="s">
        <v>74</v>
      </c>
      <c r="N680">
        <v>98443.47</v>
      </c>
      <c r="O680">
        <v>32445.33</v>
      </c>
      <c r="P680">
        <v>78118.009999999995</v>
      </c>
      <c r="Q680">
        <v>3</v>
      </c>
      <c r="R680">
        <v>75</v>
      </c>
      <c r="S680">
        <v>3.4</v>
      </c>
      <c r="T680" s="1" t="s">
        <v>46</v>
      </c>
      <c r="U680" s="1" t="s">
        <v>33</v>
      </c>
      <c r="V680" s="1" t="s">
        <v>47</v>
      </c>
      <c r="W680" s="1" t="s">
        <v>179</v>
      </c>
    </row>
    <row r="681" spans="1:23" x14ac:dyDescent="0.35">
      <c r="A681" s="1" t="s">
        <v>1572</v>
      </c>
      <c r="B681" s="1" t="s">
        <v>282</v>
      </c>
      <c r="C681">
        <v>31</v>
      </c>
      <c r="D681" s="1" t="s">
        <v>119</v>
      </c>
      <c r="E681" s="1" t="s">
        <v>112</v>
      </c>
      <c r="F681" s="1" t="s">
        <v>41</v>
      </c>
      <c r="G681" s="1" t="s">
        <v>1573</v>
      </c>
      <c r="H681" s="2">
        <v>46249</v>
      </c>
      <c r="I681" s="1" t="s">
        <v>173</v>
      </c>
      <c r="J681" s="1" t="s">
        <v>54</v>
      </c>
      <c r="K681" s="1" t="s">
        <v>31</v>
      </c>
      <c r="L681" s="1" t="s">
        <v>44</v>
      </c>
      <c r="M681" s="1" t="s">
        <v>82</v>
      </c>
      <c r="N681">
        <v>261296</v>
      </c>
      <c r="O681">
        <v>0</v>
      </c>
      <c r="P681">
        <v>83428.19</v>
      </c>
      <c r="Q681">
        <v>2</v>
      </c>
      <c r="R681">
        <v>45</v>
      </c>
      <c r="S681">
        <v>4.5999999999999996</v>
      </c>
      <c r="T681" s="1" t="s">
        <v>94</v>
      </c>
      <c r="U681" s="1" t="s">
        <v>67</v>
      </c>
      <c r="V681" s="1" t="s">
        <v>75</v>
      </c>
      <c r="W681" s="1" t="s">
        <v>103</v>
      </c>
    </row>
    <row r="682" spans="1:23" x14ac:dyDescent="0.35">
      <c r="A682" s="1" t="s">
        <v>1574</v>
      </c>
      <c r="B682" s="1" t="s">
        <v>97</v>
      </c>
      <c r="C682">
        <v>57</v>
      </c>
      <c r="D682" s="1" t="s">
        <v>119</v>
      </c>
      <c r="E682" s="1" t="s">
        <v>263</v>
      </c>
      <c r="F682" s="1" t="s">
        <v>63</v>
      </c>
      <c r="G682" s="1" t="s">
        <v>581</v>
      </c>
      <c r="H682" s="2">
        <v>45700</v>
      </c>
      <c r="I682" s="1" t="s">
        <v>53</v>
      </c>
      <c r="J682" s="1" t="s">
        <v>90</v>
      </c>
      <c r="K682" s="1" t="s">
        <v>33</v>
      </c>
      <c r="L682" s="1" t="s">
        <v>44</v>
      </c>
      <c r="M682" s="1" t="s">
        <v>33</v>
      </c>
      <c r="N682">
        <v>314072.25</v>
      </c>
      <c r="O682">
        <v>39605.050000000003</v>
      </c>
      <c r="P682">
        <v>15167.14</v>
      </c>
      <c r="Q682">
        <v>1</v>
      </c>
      <c r="R682">
        <v>113</v>
      </c>
      <c r="S682">
        <v>2.2000000000000002</v>
      </c>
      <c r="T682" s="1" t="s">
        <v>154</v>
      </c>
      <c r="U682" s="1" t="s">
        <v>33</v>
      </c>
      <c r="V682" s="1" t="s">
        <v>33</v>
      </c>
      <c r="W682" s="1" t="s">
        <v>83</v>
      </c>
    </row>
    <row r="683" spans="1:23" x14ac:dyDescent="0.35">
      <c r="A683" s="1" t="s">
        <v>1575</v>
      </c>
      <c r="B683" s="1" t="s">
        <v>181</v>
      </c>
      <c r="C683">
        <v>65</v>
      </c>
      <c r="D683" s="1" t="s">
        <v>78</v>
      </c>
      <c r="E683" s="1" t="s">
        <v>177</v>
      </c>
      <c r="F683" s="1" t="s">
        <v>120</v>
      </c>
      <c r="G683" s="1" t="s">
        <v>1576</v>
      </c>
      <c r="H683" s="2">
        <v>46016</v>
      </c>
      <c r="I683" s="1" t="s">
        <v>168</v>
      </c>
      <c r="J683" s="1" t="s">
        <v>33</v>
      </c>
      <c r="K683" s="1" t="s">
        <v>33</v>
      </c>
      <c r="L683" s="1" t="s">
        <v>44</v>
      </c>
      <c r="M683" s="1" t="s">
        <v>169</v>
      </c>
      <c r="N683">
        <v>331538.27</v>
      </c>
      <c r="O683">
        <v>30379.57</v>
      </c>
      <c r="P683">
        <v>15755.8</v>
      </c>
      <c r="Q683">
        <v>2</v>
      </c>
      <c r="R683">
        <v>143</v>
      </c>
      <c r="S683">
        <v>3.7</v>
      </c>
      <c r="T683" s="1" t="s">
        <v>33</v>
      </c>
      <c r="U683" s="1" t="s">
        <v>95</v>
      </c>
      <c r="V683" s="1" t="s">
        <v>47</v>
      </c>
      <c r="W683" s="1" t="s">
        <v>131</v>
      </c>
    </row>
    <row r="684" spans="1:23" x14ac:dyDescent="0.35">
      <c r="A684" s="1" t="s">
        <v>1577</v>
      </c>
      <c r="B684" s="1" t="s">
        <v>118</v>
      </c>
      <c r="C684">
        <v>60</v>
      </c>
      <c r="D684" s="1" t="s">
        <v>106</v>
      </c>
      <c r="E684" s="1" t="s">
        <v>192</v>
      </c>
      <c r="F684" s="1" t="s">
        <v>193</v>
      </c>
      <c r="G684" s="1" t="s">
        <v>204</v>
      </c>
      <c r="H684" s="2">
        <v>46161</v>
      </c>
      <c r="I684" s="1" t="s">
        <v>173</v>
      </c>
      <c r="J684" s="1" t="s">
        <v>54</v>
      </c>
      <c r="K684" s="1" t="s">
        <v>148</v>
      </c>
      <c r="L684" s="1" t="s">
        <v>33</v>
      </c>
      <c r="M684" s="1" t="s">
        <v>129</v>
      </c>
      <c r="N684">
        <v>216607.4</v>
      </c>
      <c r="O684">
        <v>60061.279999999999</v>
      </c>
      <c r="P684">
        <v>12141.88</v>
      </c>
      <c r="Q684">
        <v>1</v>
      </c>
      <c r="R684">
        <v>0</v>
      </c>
      <c r="S684">
        <v>4.0999999999999996</v>
      </c>
      <c r="T684" s="1" t="s">
        <v>33</v>
      </c>
      <c r="U684" s="1" t="s">
        <v>95</v>
      </c>
      <c r="V684" s="1" t="s">
        <v>75</v>
      </c>
      <c r="W684" s="1" t="s">
        <v>59</v>
      </c>
    </row>
    <row r="685" spans="1:23" x14ac:dyDescent="0.35">
      <c r="A685" s="1" t="s">
        <v>1578</v>
      </c>
      <c r="B685" s="1" t="s">
        <v>929</v>
      </c>
      <c r="C685">
        <v>5</v>
      </c>
      <c r="D685" s="1" t="s">
        <v>39</v>
      </c>
      <c r="E685" s="1" t="s">
        <v>192</v>
      </c>
      <c r="F685" s="1" t="s">
        <v>56</v>
      </c>
      <c r="G685" s="1" t="s">
        <v>421</v>
      </c>
      <c r="H685" s="2">
        <v>46000</v>
      </c>
      <c r="I685" s="1" t="s">
        <v>273</v>
      </c>
      <c r="J685" s="1" t="s">
        <v>242</v>
      </c>
      <c r="K685" s="1" t="s">
        <v>153</v>
      </c>
      <c r="L685" s="1" t="s">
        <v>92</v>
      </c>
      <c r="M685" s="1" t="s">
        <v>74</v>
      </c>
      <c r="N685">
        <v>83010.06</v>
      </c>
      <c r="O685">
        <v>98880.44</v>
      </c>
      <c r="P685">
        <v>35831.68</v>
      </c>
      <c r="Q685">
        <v>3</v>
      </c>
      <c r="R685">
        <v>149</v>
      </c>
      <c r="S685">
        <v>2.9</v>
      </c>
      <c r="T685" s="1" t="s">
        <v>33</v>
      </c>
      <c r="U685" s="1" t="s">
        <v>67</v>
      </c>
      <c r="V685" s="1" t="s">
        <v>33</v>
      </c>
      <c r="W685" s="1" t="s">
        <v>131</v>
      </c>
    </row>
    <row r="686" spans="1:23" x14ac:dyDescent="0.35">
      <c r="A686" s="1" t="s">
        <v>1579</v>
      </c>
      <c r="B686" s="1" t="s">
        <v>1100</v>
      </c>
      <c r="C686">
        <v>39</v>
      </c>
      <c r="D686" s="1" t="s">
        <v>119</v>
      </c>
      <c r="E686" s="1" t="s">
        <v>192</v>
      </c>
      <c r="F686" s="1" t="s">
        <v>98</v>
      </c>
      <c r="G686" s="1" t="s">
        <v>1580</v>
      </c>
      <c r="H686" s="2">
        <v>45898</v>
      </c>
      <c r="I686" s="1" t="s">
        <v>273</v>
      </c>
      <c r="J686" s="1" t="s">
        <v>30</v>
      </c>
      <c r="K686" s="1" t="s">
        <v>116</v>
      </c>
      <c r="L686" s="1" t="s">
        <v>66</v>
      </c>
      <c r="M686" s="1" t="s">
        <v>142</v>
      </c>
      <c r="N686">
        <v>182815.35999999999</v>
      </c>
      <c r="O686">
        <v>20003.04</v>
      </c>
      <c r="P686">
        <v>41560.769999999997</v>
      </c>
      <c r="Q686">
        <v>1</v>
      </c>
      <c r="R686">
        <v>114</v>
      </c>
      <c r="S686">
        <v>3.5</v>
      </c>
      <c r="T686" s="1" t="s">
        <v>33</v>
      </c>
      <c r="U686" s="1" t="s">
        <v>101</v>
      </c>
      <c r="V686" s="1" t="s">
        <v>164</v>
      </c>
      <c r="W686" s="1" t="s">
        <v>59</v>
      </c>
    </row>
    <row r="687" spans="1:23" x14ac:dyDescent="0.35">
      <c r="A687" s="1" t="s">
        <v>1581</v>
      </c>
      <c r="B687" s="1" t="s">
        <v>1582</v>
      </c>
      <c r="C687">
        <v>53</v>
      </c>
      <c r="D687" s="1" t="s">
        <v>39</v>
      </c>
      <c r="E687" s="1" t="s">
        <v>40</v>
      </c>
      <c r="F687" s="1" t="s">
        <v>33</v>
      </c>
      <c r="G687" s="1" t="s">
        <v>1583</v>
      </c>
      <c r="H687" s="2">
        <v>45616</v>
      </c>
      <c r="I687" s="1" t="s">
        <v>159</v>
      </c>
      <c r="J687" s="1" t="s">
        <v>242</v>
      </c>
      <c r="K687" s="1" t="s">
        <v>31</v>
      </c>
      <c r="L687" s="1" t="s">
        <v>32</v>
      </c>
      <c r="M687" s="1" t="s">
        <v>93</v>
      </c>
      <c r="N687">
        <v>0</v>
      </c>
      <c r="O687">
        <v>0</v>
      </c>
      <c r="P687">
        <v>67175.41</v>
      </c>
      <c r="Q687">
        <v>1</v>
      </c>
      <c r="R687">
        <v>133</v>
      </c>
      <c r="S687">
        <v>3.6</v>
      </c>
      <c r="T687" s="1" t="s">
        <v>154</v>
      </c>
      <c r="U687" s="1" t="s">
        <v>33</v>
      </c>
      <c r="V687" s="1" t="s">
        <v>164</v>
      </c>
      <c r="W687" s="1" t="s">
        <v>131</v>
      </c>
    </row>
    <row r="688" spans="1:23" x14ac:dyDescent="0.35">
      <c r="A688" s="1" t="s">
        <v>1584</v>
      </c>
      <c r="B688" s="1" t="s">
        <v>300</v>
      </c>
      <c r="C688">
        <v>27</v>
      </c>
      <c r="D688" s="1" t="s">
        <v>78</v>
      </c>
      <c r="E688" s="1" t="s">
        <v>51</v>
      </c>
      <c r="F688" s="1" t="s">
        <v>33</v>
      </c>
      <c r="G688" s="1" t="s">
        <v>1358</v>
      </c>
      <c r="H688" s="2">
        <v>45996</v>
      </c>
      <c r="I688" s="1" t="s">
        <v>89</v>
      </c>
      <c r="J688" s="1" t="s">
        <v>147</v>
      </c>
      <c r="K688" s="1" t="s">
        <v>174</v>
      </c>
      <c r="L688" s="1" t="s">
        <v>92</v>
      </c>
      <c r="M688" s="1" t="s">
        <v>183</v>
      </c>
      <c r="N688">
        <v>183215.46</v>
      </c>
      <c r="O688">
        <v>0</v>
      </c>
      <c r="P688">
        <v>22829.14</v>
      </c>
      <c r="Q688">
        <v>1</v>
      </c>
      <c r="R688">
        <v>143</v>
      </c>
      <c r="S688">
        <v>5</v>
      </c>
      <c r="T688" s="1" t="s">
        <v>46</v>
      </c>
      <c r="U688" s="1" t="s">
        <v>33</v>
      </c>
      <c r="V688" s="1" t="s">
        <v>47</v>
      </c>
      <c r="W688" s="1" t="s">
        <v>12</v>
      </c>
    </row>
    <row r="689" spans="1:23" x14ac:dyDescent="0.35">
      <c r="A689" s="1" t="s">
        <v>1585</v>
      </c>
      <c r="B689" s="1" t="s">
        <v>237</v>
      </c>
      <c r="C689">
        <v>59</v>
      </c>
      <c r="D689" s="1" t="s">
        <v>71</v>
      </c>
      <c r="E689" s="1" t="s">
        <v>263</v>
      </c>
      <c r="F689" s="1" t="s">
        <v>108</v>
      </c>
      <c r="G689" s="1" t="s">
        <v>1586</v>
      </c>
      <c r="H689" s="2">
        <v>45819</v>
      </c>
      <c r="I689" s="1" t="s">
        <v>53</v>
      </c>
      <c r="J689" s="1" t="s">
        <v>242</v>
      </c>
      <c r="K689" s="1" t="s">
        <v>148</v>
      </c>
      <c r="L689" s="1" t="s">
        <v>44</v>
      </c>
      <c r="M689" s="1" t="s">
        <v>123</v>
      </c>
      <c r="N689">
        <v>0</v>
      </c>
      <c r="O689">
        <v>46486.28</v>
      </c>
      <c r="P689">
        <v>20881.55</v>
      </c>
      <c r="Q689">
        <v>2</v>
      </c>
      <c r="R689">
        <v>118</v>
      </c>
      <c r="T689" s="1" t="s">
        <v>154</v>
      </c>
      <c r="U689" s="1" t="s">
        <v>149</v>
      </c>
      <c r="V689" s="1" t="s">
        <v>33</v>
      </c>
      <c r="W689" s="1" t="s">
        <v>83</v>
      </c>
    </row>
    <row r="690" spans="1:23" x14ac:dyDescent="0.35">
      <c r="A690" s="1" t="s">
        <v>1587</v>
      </c>
      <c r="B690" s="1" t="s">
        <v>561</v>
      </c>
      <c r="C690">
        <v>23</v>
      </c>
      <c r="D690" s="1" t="s">
        <v>25</v>
      </c>
      <c r="E690" s="1" t="s">
        <v>219</v>
      </c>
      <c r="F690" s="1" t="s">
        <v>33</v>
      </c>
      <c r="G690" s="1" t="s">
        <v>42</v>
      </c>
      <c r="H690" s="2">
        <v>46017</v>
      </c>
      <c r="I690" s="1" t="s">
        <v>273</v>
      </c>
      <c r="J690" s="1" t="s">
        <v>147</v>
      </c>
      <c r="K690" s="1" t="s">
        <v>128</v>
      </c>
      <c r="L690" s="1" t="s">
        <v>56</v>
      </c>
      <c r="M690" s="1" t="s">
        <v>74</v>
      </c>
      <c r="N690">
        <v>307864.88</v>
      </c>
      <c r="O690">
        <v>23012.31</v>
      </c>
      <c r="P690">
        <v>40250.839999999997</v>
      </c>
      <c r="Q690">
        <v>7</v>
      </c>
      <c r="R690">
        <v>81</v>
      </c>
      <c r="S690">
        <v>2.6</v>
      </c>
      <c r="T690" s="1" t="s">
        <v>94</v>
      </c>
      <c r="U690" s="1" t="s">
        <v>35</v>
      </c>
      <c r="V690" s="1" t="s">
        <v>102</v>
      </c>
      <c r="W690" s="1" t="s">
        <v>103</v>
      </c>
    </row>
    <row r="691" spans="1:23" x14ac:dyDescent="0.35">
      <c r="A691" s="1" t="s">
        <v>1588</v>
      </c>
      <c r="B691" s="1" t="s">
        <v>1589</v>
      </c>
      <c r="C691">
        <v>41</v>
      </c>
      <c r="D691" s="1" t="s">
        <v>39</v>
      </c>
      <c r="E691" s="1" t="s">
        <v>62</v>
      </c>
      <c r="F691" s="1" t="s">
        <v>41</v>
      </c>
      <c r="G691" s="1" t="s">
        <v>1522</v>
      </c>
      <c r="H691" s="2">
        <v>45902</v>
      </c>
      <c r="I691" s="1" t="s">
        <v>257</v>
      </c>
      <c r="J691" s="1" t="s">
        <v>242</v>
      </c>
      <c r="K691" s="1" t="s">
        <v>208</v>
      </c>
      <c r="L691" s="1" t="s">
        <v>66</v>
      </c>
      <c r="M691" s="1" t="s">
        <v>82</v>
      </c>
      <c r="N691">
        <v>253773.63</v>
      </c>
      <c r="O691">
        <v>32112.63</v>
      </c>
      <c r="P691">
        <v>68939.839999999997</v>
      </c>
      <c r="Q691">
        <v>3</v>
      </c>
      <c r="R691">
        <v>164</v>
      </c>
      <c r="S691">
        <v>2.2999999999999998</v>
      </c>
      <c r="T691" s="1" t="s">
        <v>34</v>
      </c>
      <c r="U691" s="1" t="s">
        <v>33</v>
      </c>
      <c r="V691" s="1" t="s">
        <v>33</v>
      </c>
      <c r="W691" s="1" t="s">
        <v>12</v>
      </c>
    </row>
    <row r="692" spans="1:23" x14ac:dyDescent="0.35">
      <c r="A692" s="1" t="s">
        <v>1590</v>
      </c>
      <c r="B692" s="1" t="s">
        <v>488</v>
      </c>
      <c r="C692">
        <v>16</v>
      </c>
      <c r="D692" s="1" t="s">
        <v>39</v>
      </c>
      <c r="E692" s="1" t="s">
        <v>26</v>
      </c>
      <c r="F692" s="1" t="s">
        <v>135</v>
      </c>
      <c r="G692" s="1" t="s">
        <v>1329</v>
      </c>
      <c r="H692" s="2">
        <v>45572</v>
      </c>
      <c r="I692" s="1" t="s">
        <v>33</v>
      </c>
      <c r="J692" s="1" t="s">
        <v>147</v>
      </c>
      <c r="K692" s="1" t="s">
        <v>153</v>
      </c>
      <c r="L692" s="1" t="s">
        <v>92</v>
      </c>
      <c r="M692" s="1" t="s">
        <v>33</v>
      </c>
      <c r="N692">
        <v>302299.82</v>
      </c>
      <c r="O692">
        <v>45493.47</v>
      </c>
      <c r="P692">
        <v>0</v>
      </c>
      <c r="Q692">
        <v>5</v>
      </c>
      <c r="R692">
        <v>101</v>
      </c>
      <c r="S692">
        <v>3.1</v>
      </c>
      <c r="T692" s="1" t="s">
        <v>33</v>
      </c>
      <c r="U692" s="1" t="s">
        <v>101</v>
      </c>
      <c r="V692" s="1" t="s">
        <v>102</v>
      </c>
      <c r="W692" s="1" t="s">
        <v>83</v>
      </c>
    </row>
    <row r="693" spans="1:23" x14ac:dyDescent="0.35">
      <c r="A693" s="1" t="s">
        <v>1591</v>
      </c>
      <c r="B693" s="1" t="s">
        <v>240</v>
      </c>
      <c r="C693">
        <v>72</v>
      </c>
      <c r="D693" s="1" t="s">
        <v>106</v>
      </c>
      <c r="E693" s="1" t="s">
        <v>203</v>
      </c>
      <c r="F693" s="1" t="s">
        <v>87</v>
      </c>
      <c r="G693" s="1" t="s">
        <v>375</v>
      </c>
      <c r="H693" s="2">
        <v>46113</v>
      </c>
      <c r="I693" s="1" t="s">
        <v>100</v>
      </c>
      <c r="J693" s="1" t="s">
        <v>137</v>
      </c>
      <c r="K693" s="1" t="s">
        <v>148</v>
      </c>
      <c r="L693" s="1" t="s">
        <v>33</v>
      </c>
      <c r="M693" s="1" t="s">
        <v>45</v>
      </c>
      <c r="N693">
        <v>128484.92</v>
      </c>
      <c r="O693">
        <v>9840.58</v>
      </c>
      <c r="P693">
        <v>47270.85</v>
      </c>
      <c r="Q693">
        <v>1</v>
      </c>
      <c r="R693">
        <v>146</v>
      </c>
      <c r="S693">
        <v>3.5</v>
      </c>
      <c r="T693" s="1" t="s">
        <v>34</v>
      </c>
      <c r="U693" s="1" t="s">
        <v>149</v>
      </c>
      <c r="V693" s="1" t="s">
        <v>164</v>
      </c>
      <c r="W693" s="1" t="s">
        <v>12</v>
      </c>
    </row>
    <row r="694" spans="1:23" x14ac:dyDescent="0.35">
      <c r="A694" s="1" t="s">
        <v>1592</v>
      </c>
      <c r="B694" s="1" t="s">
        <v>971</v>
      </c>
      <c r="C694">
        <v>54</v>
      </c>
      <c r="D694" s="1" t="s">
        <v>106</v>
      </c>
      <c r="E694" s="1" t="s">
        <v>26</v>
      </c>
      <c r="F694" s="1" t="s">
        <v>41</v>
      </c>
      <c r="G694" s="1" t="s">
        <v>1593</v>
      </c>
      <c r="H694" s="2">
        <v>45867</v>
      </c>
      <c r="I694" s="1" t="s">
        <v>100</v>
      </c>
      <c r="J694" s="1" t="s">
        <v>152</v>
      </c>
      <c r="K694" s="1" t="s">
        <v>55</v>
      </c>
      <c r="L694" s="1" t="s">
        <v>56</v>
      </c>
      <c r="M694" s="1" t="s">
        <v>123</v>
      </c>
      <c r="N694">
        <v>0</v>
      </c>
      <c r="O694">
        <v>16763.330000000002</v>
      </c>
      <c r="P694">
        <v>28144.74</v>
      </c>
      <c r="Q694">
        <v>7</v>
      </c>
      <c r="R694">
        <v>130</v>
      </c>
      <c r="S694">
        <v>0.3</v>
      </c>
      <c r="T694" s="1" t="s">
        <v>33</v>
      </c>
      <c r="U694" s="1" t="s">
        <v>33</v>
      </c>
      <c r="V694" s="1" t="s">
        <v>68</v>
      </c>
      <c r="W694" s="1" t="s">
        <v>33</v>
      </c>
    </row>
    <row r="695" spans="1:23" x14ac:dyDescent="0.35">
      <c r="A695" s="1" t="s">
        <v>1594</v>
      </c>
      <c r="B695" s="1" t="s">
        <v>616</v>
      </c>
      <c r="C695">
        <v>54</v>
      </c>
      <c r="D695" s="1" t="s">
        <v>78</v>
      </c>
      <c r="E695" s="1" t="s">
        <v>62</v>
      </c>
      <c r="F695" s="1" t="s">
        <v>98</v>
      </c>
      <c r="G695" s="1" t="s">
        <v>750</v>
      </c>
      <c r="H695" s="2">
        <v>45635</v>
      </c>
      <c r="I695" s="1" t="s">
        <v>235</v>
      </c>
      <c r="J695" s="1" t="s">
        <v>33</v>
      </c>
      <c r="K695" s="1" t="s">
        <v>153</v>
      </c>
      <c r="L695" s="1" t="s">
        <v>33</v>
      </c>
      <c r="M695" s="1" t="s">
        <v>33</v>
      </c>
      <c r="N695">
        <v>240842.75</v>
      </c>
      <c r="O695">
        <v>59539.19</v>
      </c>
      <c r="P695">
        <v>115309.62</v>
      </c>
      <c r="Q695">
        <v>18</v>
      </c>
      <c r="R695">
        <v>160</v>
      </c>
      <c r="S695">
        <v>4.9000000000000004</v>
      </c>
      <c r="T695" s="1" t="s">
        <v>34</v>
      </c>
      <c r="U695" s="1" t="s">
        <v>33</v>
      </c>
      <c r="V695" s="1" t="s">
        <v>33</v>
      </c>
      <c r="W695" s="1" t="s">
        <v>33</v>
      </c>
    </row>
    <row r="696" spans="1:23" x14ac:dyDescent="0.35">
      <c r="A696" s="1" t="s">
        <v>1595</v>
      </c>
      <c r="B696" s="1" t="s">
        <v>1152</v>
      </c>
      <c r="C696">
        <v>39</v>
      </c>
      <c r="D696" s="1" t="s">
        <v>71</v>
      </c>
      <c r="E696" s="1" t="s">
        <v>219</v>
      </c>
      <c r="F696" s="1" t="s">
        <v>227</v>
      </c>
      <c r="G696" s="1" t="s">
        <v>969</v>
      </c>
      <c r="H696" s="2">
        <v>45477</v>
      </c>
      <c r="I696" s="1" t="s">
        <v>235</v>
      </c>
      <c r="J696" s="1" t="s">
        <v>54</v>
      </c>
      <c r="K696" s="1" t="s">
        <v>33</v>
      </c>
      <c r="L696" s="1" t="s">
        <v>44</v>
      </c>
      <c r="M696" s="1" t="s">
        <v>82</v>
      </c>
      <c r="N696">
        <v>153388.64000000001</v>
      </c>
      <c r="O696">
        <v>9347.2000000000007</v>
      </c>
      <c r="P696">
        <v>24389.58</v>
      </c>
      <c r="Q696">
        <v>3</v>
      </c>
      <c r="R696">
        <v>0</v>
      </c>
      <c r="S696">
        <v>3.6</v>
      </c>
      <c r="T696" s="1" t="s">
        <v>46</v>
      </c>
      <c r="U696" s="1" t="s">
        <v>33</v>
      </c>
      <c r="V696" s="1" t="s">
        <v>75</v>
      </c>
      <c r="W696" s="1" t="s">
        <v>59</v>
      </c>
    </row>
    <row r="697" spans="1:23" x14ac:dyDescent="0.35">
      <c r="A697" s="1" t="s">
        <v>1596</v>
      </c>
      <c r="B697" s="1" t="s">
        <v>713</v>
      </c>
      <c r="C697">
        <v>47</v>
      </c>
      <c r="D697" s="1" t="s">
        <v>39</v>
      </c>
      <c r="E697" s="1" t="s">
        <v>177</v>
      </c>
      <c r="F697" s="1" t="s">
        <v>63</v>
      </c>
      <c r="G697" s="1" t="s">
        <v>1597</v>
      </c>
      <c r="H697" s="2">
        <v>45477</v>
      </c>
      <c r="I697" s="1" t="s">
        <v>114</v>
      </c>
      <c r="J697" s="1" t="s">
        <v>115</v>
      </c>
      <c r="K697" s="1" t="s">
        <v>116</v>
      </c>
      <c r="L697" s="1" t="s">
        <v>33</v>
      </c>
      <c r="M697" s="1" t="s">
        <v>142</v>
      </c>
      <c r="N697">
        <v>214913.71</v>
      </c>
      <c r="O697">
        <v>33673.379999999997</v>
      </c>
      <c r="P697">
        <v>29336.05</v>
      </c>
      <c r="Q697">
        <v>1</v>
      </c>
      <c r="R697">
        <v>325</v>
      </c>
      <c r="S697">
        <v>5</v>
      </c>
      <c r="T697" s="1" t="s">
        <v>46</v>
      </c>
      <c r="U697" s="1" t="s">
        <v>58</v>
      </c>
      <c r="V697" s="1" t="s">
        <v>33</v>
      </c>
      <c r="W697" s="1" t="s">
        <v>83</v>
      </c>
    </row>
    <row r="698" spans="1:23" x14ac:dyDescent="0.35">
      <c r="A698" s="1" t="s">
        <v>1598</v>
      </c>
      <c r="B698" s="1" t="s">
        <v>543</v>
      </c>
      <c r="C698">
        <v>48</v>
      </c>
      <c r="D698" s="1" t="s">
        <v>25</v>
      </c>
      <c r="E698" s="1" t="s">
        <v>62</v>
      </c>
      <c r="F698" s="1" t="s">
        <v>98</v>
      </c>
      <c r="G698" s="1" t="s">
        <v>1473</v>
      </c>
      <c r="H698" s="2">
        <v>46043</v>
      </c>
      <c r="I698" s="1" t="s">
        <v>273</v>
      </c>
      <c r="J698" s="1" t="s">
        <v>147</v>
      </c>
      <c r="K698" s="1" t="s">
        <v>122</v>
      </c>
      <c r="L698" s="1" t="s">
        <v>32</v>
      </c>
      <c r="M698" s="1" t="s">
        <v>82</v>
      </c>
      <c r="N698">
        <v>134879.14000000001</v>
      </c>
      <c r="O698">
        <v>4638.01</v>
      </c>
      <c r="P698">
        <v>4797.84</v>
      </c>
      <c r="Q698">
        <v>1</v>
      </c>
      <c r="R698">
        <v>127</v>
      </c>
      <c r="S698">
        <v>2.8</v>
      </c>
      <c r="T698" s="1" t="s">
        <v>154</v>
      </c>
      <c r="U698" s="1" t="s">
        <v>33</v>
      </c>
      <c r="V698" s="1" t="s">
        <v>33</v>
      </c>
      <c r="W698" s="1" t="s">
        <v>36</v>
      </c>
    </row>
    <row r="699" spans="1:23" x14ac:dyDescent="0.35">
      <c r="A699" s="1" t="s">
        <v>1599</v>
      </c>
      <c r="B699" s="1" t="s">
        <v>971</v>
      </c>
      <c r="C699">
        <v>64</v>
      </c>
      <c r="D699" s="1" t="s">
        <v>33</v>
      </c>
      <c r="E699" s="1" t="s">
        <v>33</v>
      </c>
      <c r="F699" s="1" t="s">
        <v>227</v>
      </c>
      <c r="G699" s="1" t="s">
        <v>52</v>
      </c>
      <c r="H699" s="2">
        <v>45916</v>
      </c>
      <c r="I699" s="1" t="s">
        <v>33</v>
      </c>
      <c r="J699" s="1" t="s">
        <v>80</v>
      </c>
      <c r="K699" s="1" t="s">
        <v>122</v>
      </c>
      <c r="L699" s="1" t="s">
        <v>33</v>
      </c>
      <c r="M699" s="1" t="s">
        <v>123</v>
      </c>
      <c r="N699">
        <v>412348.01</v>
      </c>
      <c r="O699">
        <v>8690.33</v>
      </c>
      <c r="P699">
        <v>59260.97</v>
      </c>
      <c r="Q699">
        <v>6</v>
      </c>
      <c r="R699">
        <v>142</v>
      </c>
      <c r="S699">
        <v>3.1</v>
      </c>
      <c r="T699" s="1" t="s">
        <v>33</v>
      </c>
      <c r="U699" s="1" t="s">
        <v>35</v>
      </c>
      <c r="V699" s="1" t="s">
        <v>102</v>
      </c>
      <c r="W699" s="1" t="s">
        <v>179</v>
      </c>
    </row>
    <row r="700" spans="1:23" x14ac:dyDescent="0.35">
      <c r="A700" s="1" t="s">
        <v>1600</v>
      </c>
      <c r="B700" s="1" t="s">
        <v>1601</v>
      </c>
      <c r="C700">
        <v>78</v>
      </c>
      <c r="D700" s="1" t="s">
        <v>50</v>
      </c>
      <c r="E700" s="1" t="s">
        <v>112</v>
      </c>
      <c r="F700" s="1" t="s">
        <v>145</v>
      </c>
      <c r="G700" s="1" t="s">
        <v>1602</v>
      </c>
      <c r="H700" s="2">
        <v>45897</v>
      </c>
      <c r="I700" s="1" t="s">
        <v>53</v>
      </c>
      <c r="J700" s="1" t="s">
        <v>115</v>
      </c>
      <c r="K700" s="1" t="s">
        <v>148</v>
      </c>
      <c r="L700" s="1" t="s">
        <v>56</v>
      </c>
      <c r="M700" s="1" t="s">
        <v>93</v>
      </c>
      <c r="N700">
        <v>251849.42</v>
      </c>
      <c r="O700">
        <v>45899.19</v>
      </c>
      <c r="P700">
        <v>20337.72</v>
      </c>
      <c r="Q700">
        <v>1</v>
      </c>
      <c r="R700">
        <v>3</v>
      </c>
      <c r="S700">
        <v>3</v>
      </c>
      <c r="T700" s="1" t="s">
        <v>94</v>
      </c>
      <c r="U700" s="1" t="s">
        <v>35</v>
      </c>
      <c r="V700" s="1" t="s">
        <v>33</v>
      </c>
      <c r="W700" s="1" t="s">
        <v>33</v>
      </c>
    </row>
    <row r="701" spans="1:23" x14ac:dyDescent="0.35">
      <c r="A701" s="1" t="s">
        <v>1603</v>
      </c>
      <c r="B701" s="1" t="s">
        <v>244</v>
      </c>
      <c r="C701">
        <v>19</v>
      </c>
      <c r="D701" s="1" t="s">
        <v>119</v>
      </c>
      <c r="E701" s="1" t="s">
        <v>263</v>
      </c>
      <c r="F701" s="1" t="s">
        <v>135</v>
      </c>
      <c r="G701" s="1" t="s">
        <v>224</v>
      </c>
      <c r="H701" s="2">
        <v>46079</v>
      </c>
      <c r="I701" s="1" t="s">
        <v>114</v>
      </c>
      <c r="J701" s="1" t="s">
        <v>152</v>
      </c>
      <c r="K701" s="1" t="s">
        <v>128</v>
      </c>
      <c r="L701" s="1" t="s">
        <v>44</v>
      </c>
      <c r="M701" s="1" t="s">
        <v>142</v>
      </c>
      <c r="N701">
        <v>218621.73</v>
      </c>
      <c r="O701">
        <v>0</v>
      </c>
      <c r="P701">
        <v>11398.58</v>
      </c>
      <c r="Q701">
        <v>2</v>
      </c>
      <c r="R701">
        <v>145</v>
      </c>
      <c r="S701">
        <v>4.5</v>
      </c>
      <c r="T701" s="1" t="s">
        <v>94</v>
      </c>
      <c r="U701" s="1" t="s">
        <v>58</v>
      </c>
      <c r="V701" s="1" t="s">
        <v>130</v>
      </c>
      <c r="W701" s="1" t="s">
        <v>131</v>
      </c>
    </row>
    <row r="702" spans="1:23" x14ac:dyDescent="0.35">
      <c r="A702" s="1" t="s">
        <v>1604</v>
      </c>
      <c r="B702" s="1" t="s">
        <v>508</v>
      </c>
      <c r="C702">
        <v>20</v>
      </c>
      <c r="D702" s="1" t="s">
        <v>78</v>
      </c>
      <c r="E702" s="1" t="s">
        <v>33</v>
      </c>
      <c r="F702" s="1" t="s">
        <v>87</v>
      </c>
      <c r="G702" s="1" t="s">
        <v>324</v>
      </c>
      <c r="H702" s="2">
        <v>46038</v>
      </c>
      <c r="I702" s="1" t="s">
        <v>29</v>
      </c>
      <c r="J702" s="1" t="s">
        <v>152</v>
      </c>
      <c r="K702" s="1" t="s">
        <v>91</v>
      </c>
      <c r="L702" s="1" t="s">
        <v>33</v>
      </c>
      <c r="M702" s="1" t="s">
        <v>82</v>
      </c>
      <c r="N702">
        <v>76163.5</v>
      </c>
      <c r="O702">
        <v>20668.29</v>
      </c>
      <c r="P702">
        <v>64335.55</v>
      </c>
      <c r="Q702">
        <v>2</v>
      </c>
      <c r="R702">
        <v>164</v>
      </c>
      <c r="S702">
        <v>3.1</v>
      </c>
      <c r="T702" s="1" t="s">
        <v>94</v>
      </c>
      <c r="U702" s="1" t="s">
        <v>33</v>
      </c>
      <c r="V702" s="1" t="s">
        <v>130</v>
      </c>
      <c r="W702" s="1" t="s">
        <v>131</v>
      </c>
    </row>
    <row r="703" spans="1:23" x14ac:dyDescent="0.35">
      <c r="A703" s="1" t="s">
        <v>1605</v>
      </c>
      <c r="B703" s="1" t="s">
        <v>505</v>
      </c>
      <c r="C703">
        <v>48</v>
      </c>
      <c r="D703" s="1" t="s">
        <v>25</v>
      </c>
      <c r="E703" s="1" t="s">
        <v>72</v>
      </c>
      <c r="F703" s="1" t="s">
        <v>56</v>
      </c>
      <c r="G703" s="1" t="s">
        <v>1440</v>
      </c>
      <c r="H703" s="2">
        <v>45684</v>
      </c>
      <c r="I703" s="1" t="s">
        <v>114</v>
      </c>
      <c r="J703" s="1" t="s">
        <v>115</v>
      </c>
      <c r="K703" s="1" t="s">
        <v>128</v>
      </c>
      <c r="L703" s="1" t="s">
        <v>44</v>
      </c>
      <c r="M703" s="1" t="s">
        <v>45</v>
      </c>
      <c r="N703">
        <v>104705.1</v>
      </c>
      <c r="O703">
        <v>17043.68</v>
      </c>
      <c r="P703">
        <v>84758.28</v>
      </c>
      <c r="Q703">
        <v>1</v>
      </c>
      <c r="R703">
        <v>-15</v>
      </c>
      <c r="S703">
        <v>3.9</v>
      </c>
      <c r="T703" s="1" t="s">
        <v>34</v>
      </c>
      <c r="U703" s="1" t="s">
        <v>58</v>
      </c>
      <c r="V703" s="1" t="s">
        <v>75</v>
      </c>
      <c r="W703" s="1" t="s">
        <v>179</v>
      </c>
    </row>
    <row r="704" spans="1:23" x14ac:dyDescent="0.35">
      <c r="A704" s="1" t="s">
        <v>1606</v>
      </c>
      <c r="B704" s="1" t="s">
        <v>400</v>
      </c>
      <c r="C704">
        <v>47</v>
      </c>
      <c r="D704" s="1" t="s">
        <v>119</v>
      </c>
      <c r="E704" s="1" t="s">
        <v>219</v>
      </c>
      <c r="F704" s="1" t="s">
        <v>193</v>
      </c>
      <c r="G704" s="1" t="s">
        <v>1607</v>
      </c>
      <c r="H704" s="2">
        <v>45542</v>
      </c>
      <c r="I704" s="1" t="s">
        <v>33</v>
      </c>
      <c r="J704" s="1" t="s">
        <v>30</v>
      </c>
      <c r="K704" s="1" t="s">
        <v>33</v>
      </c>
      <c r="L704" s="1" t="s">
        <v>56</v>
      </c>
      <c r="M704" s="1" t="s">
        <v>93</v>
      </c>
      <c r="N704">
        <v>368772.02</v>
      </c>
      <c r="O704">
        <v>20609.16</v>
      </c>
      <c r="P704">
        <v>85533.42</v>
      </c>
      <c r="Q704">
        <v>1</v>
      </c>
      <c r="R704">
        <v>191</v>
      </c>
      <c r="T704" s="1" t="s">
        <v>33</v>
      </c>
      <c r="U704" s="1" t="s">
        <v>149</v>
      </c>
      <c r="V704" s="1" t="s">
        <v>164</v>
      </c>
      <c r="W704" s="1" t="s">
        <v>33</v>
      </c>
    </row>
    <row r="705" spans="1:23" x14ac:dyDescent="0.35">
      <c r="A705" s="1" t="s">
        <v>1608</v>
      </c>
      <c r="B705" s="1" t="s">
        <v>1609</v>
      </c>
      <c r="C705">
        <v>55</v>
      </c>
      <c r="D705" s="1" t="s">
        <v>119</v>
      </c>
      <c r="E705" s="1" t="s">
        <v>134</v>
      </c>
      <c r="F705" s="1" t="s">
        <v>56</v>
      </c>
      <c r="G705" s="1" t="s">
        <v>1610</v>
      </c>
      <c r="H705" s="2">
        <v>45507</v>
      </c>
      <c r="I705" s="1" t="s">
        <v>277</v>
      </c>
      <c r="J705" s="1" t="s">
        <v>242</v>
      </c>
      <c r="K705" s="1" t="s">
        <v>153</v>
      </c>
      <c r="L705" s="1" t="s">
        <v>56</v>
      </c>
      <c r="M705" s="1" t="s">
        <v>82</v>
      </c>
      <c r="N705">
        <v>417986.22</v>
      </c>
      <c r="O705">
        <v>41184.85</v>
      </c>
      <c r="P705">
        <v>29962.98</v>
      </c>
      <c r="Q705">
        <v>3</v>
      </c>
      <c r="R705">
        <v>61</v>
      </c>
      <c r="S705">
        <v>4</v>
      </c>
      <c r="T705" s="1" t="s">
        <v>46</v>
      </c>
      <c r="U705" s="1" t="s">
        <v>67</v>
      </c>
      <c r="V705" s="1" t="s">
        <v>75</v>
      </c>
      <c r="W705" s="1" t="s">
        <v>59</v>
      </c>
    </row>
    <row r="706" spans="1:23" x14ac:dyDescent="0.35">
      <c r="A706" s="1" t="s">
        <v>1611</v>
      </c>
      <c r="B706" s="1" t="s">
        <v>761</v>
      </c>
      <c r="C706">
        <v>39</v>
      </c>
      <c r="D706" s="1" t="s">
        <v>33</v>
      </c>
      <c r="E706" s="1" t="s">
        <v>134</v>
      </c>
      <c r="F706" s="1" t="s">
        <v>56</v>
      </c>
      <c r="G706" s="1" t="s">
        <v>1612</v>
      </c>
      <c r="H706" s="2">
        <v>46139</v>
      </c>
      <c r="I706" s="1" t="s">
        <v>235</v>
      </c>
      <c r="J706" s="1" t="s">
        <v>54</v>
      </c>
      <c r="K706" s="1" t="s">
        <v>128</v>
      </c>
      <c r="L706" s="1" t="s">
        <v>56</v>
      </c>
      <c r="M706" s="1" t="s">
        <v>123</v>
      </c>
      <c r="N706">
        <v>373516.6</v>
      </c>
      <c r="O706">
        <v>0</v>
      </c>
      <c r="P706">
        <v>91034.46</v>
      </c>
      <c r="Q706">
        <v>1</v>
      </c>
      <c r="R706">
        <v>179</v>
      </c>
      <c r="S706">
        <v>3.1</v>
      </c>
      <c r="T706" s="1" t="s">
        <v>94</v>
      </c>
      <c r="U706" s="1" t="s">
        <v>67</v>
      </c>
      <c r="V706" s="1" t="s">
        <v>47</v>
      </c>
      <c r="W706" s="1" t="s">
        <v>103</v>
      </c>
    </row>
    <row r="707" spans="1:23" x14ac:dyDescent="0.35">
      <c r="A707" s="1" t="s">
        <v>1613</v>
      </c>
      <c r="B707" s="1" t="s">
        <v>1530</v>
      </c>
      <c r="C707">
        <v>43</v>
      </c>
      <c r="D707" s="1" t="s">
        <v>39</v>
      </c>
      <c r="E707" s="1" t="s">
        <v>263</v>
      </c>
      <c r="F707" s="1" t="s">
        <v>87</v>
      </c>
      <c r="G707" s="1" t="s">
        <v>544</v>
      </c>
      <c r="H707" s="2">
        <v>45985</v>
      </c>
      <c r="I707" s="1" t="s">
        <v>53</v>
      </c>
      <c r="J707" s="1" t="s">
        <v>65</v>
      </c>
      <c r="K707" s="1" t="s">
        <v>33</v>
      </c>
      <c r="L707" s="1" t="s">
        <v>92</v>
      </c>
      <c r="M707" s="1" t="s">
        <v>57</v>
      </c>
      <c r="N707">
        <v>392198.65</v>
      </c>
      <c r="O707">
        <v>54567.08</v>
      </c>
      <c r="P707">
        <v>2997.88</v>
      </c>
      <c r="Q707">
        <v>4</v>
      </c>
      <c r="R707">
        <v>139</v>
      </c>
      <c r="S707">
        <v>3.4</v>
      </c>
      <c r="T707" s="1" t="s">
        <v>46</v>
      </c>
      <c r="U707" s="1" t="s">
        <v>33</v>
      </c>
      <c r="V707" s="1" t="s">
        <v>47</v>
      </c>
      <c r="W707" s="1" t="s">
        <v>131</v>
      </c>
    </row>
    <row r="708" spans="1:23" x14ac:dyDescent="0.35">
      <c r="A708" s="1" t="s">
        <v>1614</v>
      </c>
      <c r="B708" s="1" t="s">
        <v>441</v>
      </c>
      <c r="C708">
        <v>26</v>
      </c>
      <c r="D708" s="1" t="s">
        <v>78</v>
      </c>
      <c r="E708" s="1" t="s">
        <v>219</v>
      </c>
      <c r="F708" s="1" t="s">
        <v>193</v>
      </c>
      <c r="G708" s="1" t="s">
        <v>1615</v>
      </c>
      <c r="H708" s="2">
        <v>45454</v>
      </c>
      <c r="I708" s="1" t="s">
        <v>168</v>
      </c>
      <c r="J708" s="1" t="s">
        <v>115</v>
      </c>
      <c r="K708" s="1" t="s">
        <v>33</v>
      </c>
      <c r="L708" s="1" t="s">
        <v>44</v>
      </c>
      <c r="M708" s="1" t="s">
        <v>93</v>
      </c>
      <c r="N708">
        <v>464739.19</v>
      </c>
      <c r="O708">
        <v>56001.55</v>
      </c>
      <c r="P708">
        <v>22806.87</v>
      </c>
      <c r="Q708">
        <v>3</v>
      </c>
      <c r="R708">
        <v>0</v>
      </c>
      <c r="S708">
        <v>3.2</v>
      </c>
      <c r="T708" s="1" t="s">
        <v>33</v>
      </c>
      <c r="U708" s="1" t="s">
        <v>33</v>
      </c>
      <c r="V708" s="1" t="s">
        <v>68</v>
      </c>
      <c r="W708" s="1" t="s">
        <v>179</v>
      </c>
    </row>
    <row r="709" spans="1:23" x14ac:dyDescent="0.35">
      <c r="A709" s="1" t="s">
        <v>1616</v>
      </c>
      <c r="B709" s="1" t="s">
        <v>1617</v>
      </c>
      <c r="C709">
        <v>48</v>
      </c>
      <c r="D709" s="1" t="s">
        <v>50</v>
      </c>
      <c r="E709" s="1" t="s">
        <v>192</v>
      </c>
      <c r="F709" s="1" t="s">
        <v>33</v>
      </c>
      <c r="G709" s="1" t="s">
        <v>1414</v>
      </c>
      <c r="H709" s="2">
        <v>45409</v>
      </c>
      <c r="I709" s="1" t="s">
        <v>100</v>
      </c>
      <c r="J709" s="1" t="s">
        <v>43</v>
      </c>
      <c r="K709" s="1" t="s">
        <v>33</v>
      </c>
      <c r="L709" s="1" t="s">
        <v>33</v>
      </c>
      <c r="M709" s="1" t="s">
        <v>129</v>
      </c>
      <c r="N709">
        <v>395438.6</v>
      </c>
      <c r="O709">
        <v>49747.99</v>
      </c>
      <c r="P709">
        <v>74087.070000000007</v>
      </c>
      <c r="Q709">
        <v>4</v>
      </c>
      <c r="R709">
        <v>119</v>
      </c>
      <c r="S709">
        <v>1.9</v>
      </c>
      <c r="T709" s="1" t="s">
        <v>154</v>
      </c>
      <c r="U709" s="1" t="s">
        <v>33</v>
      </c>
      <c r="V709" s="1" t="s">
        <v>47</v>
      </c>
      <c r="W709" s="1" t="s">
        <v>59</v>
      </c>
    </row>
    <row r="710" spans="1:23" x14ac:dyDescent="0.35">
      <c r="A710" s="1" t="s">
        <v>1618</v>
      </c>
      <c r="B710" s="1" t="s">
        <v>759</v>
      </c>
      <c r="C710">
        <v>66</v>
      </c>
      <c r="D710" s="1" t="s">
        <v>106</v>
      </c>
      <c r="E710" s="1" t="s">
        <v>33</v>
      </c>
      <c r="F710" s="1" t="s">
        <v>145</v>
      </c>
      <c r="G710" s="1" t="s">
        <v>1619</v>
      </c>
      <c r="H710" s="2">
        <v>45942</v>
      </c>
      <c r="I710" s="1" t="s">
        <v>89</v>
      </c>
      <c r="J710" s="1" t="s">
        <v>30</v>
      </c>
      <c r="K710" s="1" t="s">
        <v>33</v>
      </c>
      <c r="L710" s="1" t="s">
        <v>56</v>
      </c>
      <c r="M710" s="1" t="s">
        <v>142</v>
      </c>
      <c r="N710">
        <v>212786.79</v>
      </c>
      <c r="O710">
        <v>42577.26</v>
      </c>
      <c r="P710">
        <v>35437.550000000003</v>
      </c>
      <c r="Q710">
        <v>2</v>
      </c>
      <c r="R710">
        <v>17</v>
      </c>
      <c r="S710">
        <v>3.5</v>
      </c>
      <c r="T710" s="1" t="s">
        <v>46</v>
      </c>
      <c r="U710" s="1" t="s">
        <v>33</v>
      </c>
      <c r="V710" s="1" t="s">
        <v>164</v>
      </c>
      <c r="W710" s="1" t="s">
        <v>33</v>
      </c>
    </row>
    <row r="711" spans="1:23" x14ac:dyDescent="0.35">
      <c r="A711" s="1" t="s">
        <v>1620</v>
      </c>
      <c r="B711" s="1" t="s">
        <v>583</v>
      </c>
      <c r="C711">
        <v>28</v>
      </c>
      <c r="D711" s="1" t="s">
        <v>25</v>
      </c>
      <c r="E711" s="1" t="s">
        <v>62</v>
      </c>
      <c r="F711" s="1" t="s">
        <v>193</v>
      </c>
      <c r="G711" s="1" t="s">
        <v>1621</v>
      </c>
      <c r="H711" s="2">
        <v>45471</v>
      </c>
      <c r="I711" s="1" t="s">
        <v>168</v>
      </c>
      <c r="J711" s="1" t="s">
        <v>115</v>
      </c>
      <c r="K711" s="1" t="s">
        <v>128</v>
      </c>
      <c r="L711" s="1" t="s">
        <v>32</v>
      </c>
      <c r="M711" s="1" t="s">
        <v>33</v>
      </c>
      <c r="N711">
        <v>187000.43</v>
      </c>
      <c r="O711">
        <v>6513.42</v>
      </c>
      <c r="P711">
        <v>78577.350000000006</v>
      </c>
      <c r="Q711">
        <v>3</v>
      </c>
      <c r="R711">
        <v>72</v>
      </c>
      <c r="S711">
        <v>5</v>
      </c>
      <c r="T711" s="1" t="s">
        <v>34</v>
      </c>
      <c r="U711" s="1" t="s">
        <v>101</v>
      </c>
      <c r="V711" s="1" t="s">
        <v>102</v>
      </c>
      <c r="W711" s="1" t="s">
        <v>33</v>
      </c>
    </row>
    <row r="712" spans="1:23" x14ac:dyDescent="0.35">
      <c r="A712" s="1" t="s">
        <v>1622</v>
      </c>
      <c r="B712" s="1" t="s">
        <v>315</v>
      </c>
      <c r="C712">
        <v>41</v>
      </c>
      <c r="D712" s="1" t="s">
        <v>33</v>
      </c>
      <c r="E712" s="1" t="s">
        <v>86</v>
      </c>
      <c r="F712" s="1" t="s">
        <v>227</v>
      </c>
      <c r="G712" s="1" t="s">
        <v>1623</v>
      </c>
      <c r="H712" s="2">
        <v>45883</v>
      </c>
      <c r="I712" s="1" t="s">
        <v>273</v>
      </c>
      <c r="J712" s="1" t="s">
        <v>80</v>
      </c>
      <c r="K712" s="1" t="s">
        <v>81</v>
      </c>
      <c r="L712" s="1" t="s">
        <v>33</v>
      </c>
      <c r="M712" s="1" t="s">
        <v>33</v>
      </c>
      <c r="N712">
        <v>78817.179999999993</v>
      </c>
      <c r="O712">
        <v>0</v>
      </c>
      <c r="P712">
        <v>838.89</v>
      </c>
      <c r="Q712">
        <v>9</v>
      </c>
      <c r="R712">
        <v>0</v>
      </c>
      <c r="S712">
        <v>5</v>
      </c>
      <c r="T712" s="1" t="s">
        <v>94</v>
      </c>
      <c r="U712" s="1" t="s">
        <v>101</v>
      </c>
      <c r="V712" s="1" t="s">
        <v>102</v>
      </c>
      <c r="W712" s="1" t="s">
        <v>33</v>
      </c>
    </row>
    <row r="713" spans="1:23" x14ac:dyDescent="0.35">
      <c r="A713" s="1" t="s">
        <v>1624</v>
      </c>
      <c r="B713" s="1" t="s">
        <v>1625</v>
      </c>
      <c r="C713">
        <v>51</v>
      </c>
      <c r="D713" s="1" t="s">
        <v>119</v>
      </c>
      <c r="E713" s="1" t="s">
        <v>112</v>
      </c>
      <c r="F713" s="1" t="s">
        <v>193</v>
      </c>
      <c r="G713" s="1" t="s">
        <v>1057</v>
      </c>
      <c r="H713" s="2">
        <v>45361</v>
      </c>
      <c r="I713" s="1" t="s">
        <v>53</v>
      </c>
      <c r="J713" s="1" t="s">
        <v>137</v>
      </c>
      <c r="K713" s="1" t="s">
        <v>31</v>
      </c>
      <c r="L713" s="1" t="s">
        <v>33</v>
      </c>
      <c r="M713" s="1" t="s">
        <v>82</v>
      </c>
      <c r="N713">
        <v>0</v>
      </c>
      <c r="O713">
        <v>50.84</v>
      </c>
      <c r="P713">
        <v>71612.39</v>
      </c>
      <c r="Q713">
        <v>3</v>
      </c>
      <c r="R713">
        <v>116</v>
      </c>
      <c r="S713">
        <v>3.5</v>
      </c>
      <c r="T713" s="1" t="s">
        <v>33</v>
      </c>
      <c r="U713" s="1" t="s">
        <v>101</v>
      </c>
      <c r="V713" s="1" t="s">
        <v>102</v>
      </c>
      <c r="W713" s="1" t="s">
        <v>33</v>
      </c>
    </row>
    <row r="714" spans="1:23" x14ac:dyDescent="0.35">
      <c r="A714" s="1" t="s">
        <v>1626</v>
      </c>
      <c r="B714" s="1" t="s">
        <v>787</v>
      </c>
      <c r="C714">
        <v>78</v>
      </c>
      <c r="D714" s="1" t="s">
        <v>25</v>
      </c>
      <c r="E714" s="1" t="s">
        <v>26</v>
      </c>
      <c r="F714" s="1" t="s">
        <v>27</v>
      </c>
      <c r="G714" s="1" t="s">
        <v>1627</v>
      </c>
      <c r="H714" s="2">
        <v>45769</v>
      </c>
      <c r="I714" s="1" t="s">
        <v>53</v>
      </c>
      <c r="J714" s="1" t="s">
        <v>65</v>
      </c>
      <c r="K714" s="1" t="s">
        <v>116</v>
      </c>
      <c r="L714" s="1" t="s">
        <v>56</v>
      </c>
      <c r="M714" s="1" t="s">
        <v>123</v>
      </c>
      <c r="N714">
        <v>189054.06</v>
      </c>
      <c r="O714">
        <v>31734.25</v>
      </c>
      <c r="P714">
        <v>50777.91</v>
      </c>
      <c r="Q714">
        <v>4</v>
      </c>
      <c r="R714">
        <v>274</v>
      </c>
      <c r="S714">
        <v>1</v>
      </c>
      <c r="T714" s="1" t="s">
        <v>94</v>
      </c>
      <c r="U714" s="1" t="s">
        <v>33</v>
      </c>
      <c r="V714" s="1" t="s">
        <v>75</v>
      </c>
      <c r="W714" s="1" t="s">
        <v>179</v>
      </c>
    </row>
    <row r="715" spans="1:23" x14ac:dyDescent="0.35">
      <c r="A715" s="1" t="s">
        <v>1628</v>
      </c>
      <c r="B715" s="1" t="s">
        <v>1629</v>
      </c>
      <c r="C715">
        <v>40</v>
      </c>
      <c r="D715" s="1" t="s">
        <v>33</v>
      </c>
      <c r="E715" s="1" t="s">
        <v>51</v>
      </c>
      <c r="F715" s="1" t="s">
        <v>63</v>
      </c>
      <c r="G715" s="1" t="s">
        <v>1630</v>
      </c>
      <c r="H715" s="2">
        <v>45746</v>
      </c>
      <c r="I715" s="1" t="s">
        <v>89</v>
      </c>
      <c r="J715" s="1" t="s">
        <v>33</v>
      </c>
      <c r="K715" s="1" t="s">
        <v>33</v>
      </c>
      <c r="L715" s="1" t="s">
        <v>33</v>
      </c>
      <c r="M715" s="1" t="s">
        <v>169</v>
      </c>
      <c r="N715">
        <v>299348.03999999998</v>
      </c>
      <c r="O715">
        <v>13565.69</v>
      </c>
      <c r="P715">
        <v>43531.05</v>
      </c>
      <c r="Q715">
        <v>5</v>
      </c>
      <c r="R715">
        <v>148</v>
      </c>
      <c r="S715">
        <v>5</v>
      </c>
      <c r="T715" s="1" t="s">
        <v>34</v>
      </c>
      <c r="U715" s="1" t="s">
        <v>33</v>
      </c>
      <c r="V715" s="1" t="s">
        <v>33</v>
      </c>
      <c r="W715" s="1" t="s">
        <v>179</v>
      </c>
    </row>
    <row r="716" spans="1:23" x14ac:dyDescent="0.35">
      <c r="A716" s="1" t="s">
        <v>1631</v>
      </c>
      <c r="B716" s="1" t="s">
        <v>353</v>
      </c>
      <c r="C716">
        <v>24</v>
      </c>
      <c r="D716" s="1" t="s">
        <v>78</v>
      </c>
      <c r="E716" s="1" t="s">
        <v>219</v>
      </c>
      <c r="F716" s="1" t="s">
        <v>87</v>
      </c>
      <c r="G716" s="1" t="s">
        <v>1632</v>
      </c>
      <c r="H716" s="2">
        <v>46036</v>
      </c>
      <c r="I716" s="1" t="s">
        <v>235</v>
      </c>
      <c r="J716" s="1" t="s">
        <v>147</v>
      </c>
      <c r="K716" s="1" t="s">
        <v>31</v>
      </c>
      <c r="L716" s="1" t="s">
        <v>33</v>
      </c>
      <c r="M716" s="1" t="s">
        <v>142</v>
      </c>
      <c r="N716">
        <v>160673.64000000001</v>
      </c>
      <c r="O716">
        <v>18664.650000000001</v>
      </c>
      <c r="P716">
        <v>0</v>
      </c>
      <c r="Q716">
        <v>5</v>
      </c>
      <c r="R716">
        <v>70</v>
      </c>
      <c r="S716">
        <v>4.7</v>
      </c>
      <c r="T716" s="1" t="s">
        <v>33</v>
      </c>
      <c r="U716" s="1" t="s">
        <v>58</v>
      </c>
      <c r="V716" s="1" t="s">
        <v>75</v>
      </c>
      <c r="W716" s="1" t="s">
        <v>103</v>
      </c>
    </row>
    <row r="717" spans="1:23" x14ac:dyDescent="0.35">
      <c r="A717" s="1" t="s">
        <v>1633</v>
      </c>
      <c r="B717" s="1" t="s">
        <v>923</v>
      </c>
      <c r="C717">
        <v>66</v>
      </c>
      <c r="D717" s="1" t="s">
        <v>33</v>
      </c>
      <c r="E717" s="1" t="s">
        <v>72</v>
      </c>
      <c r="F717" s="1" t="s">
        <v>98</v>
      </c>
      <c r="G717" s="1" t="s">
        <v>298</v>
      </c>
      <c r="H717" s="2">
        <v>45595</v>
      </c>
      <c r="I717" s="1" t="s">
        <v>53</v>
      </c>
      <c r="J717" s="1" t="s">
        <v>80</v>
      </c>
      <c r="K717" s="1" t="s">
        <v>153</v>
      </c>
      <c r="L717" s="1" t="s">
        <v>92</v>
      </c>
      <c r="M717" s="1" t="s">
        <v>93</v>
      </c>
      <c r="N717">
        <v>288288.46999999997</v>
      </c>
      <c r="O717">
        <v>11644.17</v>
      </c>
      <c r="P717">
        <v>40754.11</v>
      </c>
      <c r="Q717">
        <v>1</v>
      </c>
      <c r="R717">
        <v>214</v>
      </c>
      <c r="S717">
        <v>4.7</v>
      </c>
      <c r="T717" s="1" t="s">
        <v>33</v>
      </c>
      <c r="U717" s="1" t="s">
        <v>95</v>
      </c>
      <c r="V717" s="1" t="s">
        <v>102</v>
      </c>
      <c r="W717" s="1" t="s">
        <v>83</v>
      </c>
    </row>
    <row r="718" spans="1:23" x14ac:dyDescent="0.35">
      <c r="A718" s="1" t="s">
        <v>1634</v>
      </c>
      <c r="B718" s="1" t="s">
        <v>776</v>
      </c>
      <c r="C718">
        <v>37</v>
      </c>
      <c r="D718" s="1" t="s">
        <v>78</v>
      </c>
      <c r="E718" s="1" t="s">
        <v>107</v>
      </c>
      <c r="F718" s="1" t="s">
        <v>41</v>
      </c>
      <c r="G718" s="1" t="s">
        <v>1635</v>
      </c>
      <c r="H718" s="2">
        <v>46262</v>
      </c>
      <c r="I718" s="1" t="s">
        <v>53</v>
      </c>
      <c r="J718" s="1" t="s">
        <v>65</v>
      </c>
      <c r="K718" s="1" t="s">
        <v>153</v>
      </c>
      <c r="L718" s="1" t="s">
        <v>32</v>
      </c>
      <c r="M718" s="1" t="s">
        <v>33</v>
      </c>
      <c r="N718">
        <v>230725.27</v>
      </c>
      <c r="O718">
        <v>17205.91</v>
      </c>
      <c r="P718">
        <v>0</v>
      </c>
      <c r="Q718">
        <v>3</v>
      </c>
      <c r="R718">
        <v>248</v>
      </c>
      <c r="S718">
        <v>3.9</v>
      </c>
      <c r="T718" s="1" t="s">
        <v>154</v>
      </c>
      <c r="U718" s="1" t="s">
        <v>149</v>
      </c>
      <c r="V718" s="1" t="s">
        <v>102</v>
      </c>
      <c r="W718" s="1" t="s">
        <v>12</v>
      </c>
    </row>
    <row r="719" spans="1:23" x14ac:dyDescent="0.35">
      <c r="A719" s="1" t="s">
        <v>1636</v>
      </c>
      <c r="B719" s="1" t="s">
        <v>1530</v>
      </c>
      <c r="C719">
        <v>41</v>
      </c>
      <c r="D719" s="1" t="s">
        <v>50</v>
      </c>
      <c r="E719" s="1" t="s">
        <v>219</v>
      </c>
      <c r="F719" s="1" t="s">
        <v>27</v>
      </c>
      <c r="G719" s="1" t="s">
        <v>585</v>
      </c>
      <c r="H719" s="2">
        <v>45308</v>
      </c>
      <c r="I719" s="1" t="s">
        <v>33</v>
      </c>
      <c r="J719" s="1" t="s">
        <v>80</v>
      </c>
      <c r="K719" s="1" t="s">
        <v>33</v>
      </c>
      <c r="L719" s="1" t="s">
        <v>92</v>
      </c>
      <c r="M719" s="1" t="s">
        <v>129</v>
      </c>
      <c r="N719">
        <v>117083.65</v>
      </c>
      <c r="O719">
        <v>25351.89</v>
      </c>
      <c r="P719">
        <v>0</v>
      </c>
      <c r="Q719">
        <v>4</v>
      </c>
      <c r="R719">
        <v>265</v>
      </c>
      <c r="S719">
        <v>2.1</v>
      </c>
      <c r="T719" s="1" t="s">
        <v>33</v>
      </c>
      <c r="U719" s="1" t="s">
        <v>149</v>
      </c>
      <c r="V719" s="1" t="s">
        <v>47</v>
      </c>
      <c r="W719" s="1" t="s">
        <v>83</v>
      </c>
    </row>
    <row r="720" spans="1:23" x14ac:dyDescent="0.35">
      <c r="A720" s="1" t="s">
        <v>1637</v>
      </c>
      <c r="B720" s="1" t="s">
        <v>1638</v>
      </c>
      <c r="C720">
        <v>33</v>
      </c>
      <c r="D720" s="1" t="s">
        <v>33</v>
      </c>
      <c r="E720" s="1" t="s">
        <v>192</v>
      </c>
      <c r="F720" s="1" t="s">
        <v>41</v>
      </c>
      <c r="G720" s="1" t="s">
        <v>1234</v>
      </c>
      <c r="H720" s="2">
        <v>46184</v>
      </c>
      <c r="I720" s="1" t="s">
        <v>89</v>
      </c>
      <c r="J720" s="1" t="s">
        <v>141</v>
      </c>
      <c r="K720" s="1" t="s">
        <v>116</v>
      </c>
      <c r="L720" s="1" t="s">
        <v>44</v>
      </c>
      <c r="M720" s="1" t="s">
        <v>74</v>
      </c>
      <c r="N720">
        <v>400330.6</v>
      </c>
      <c r="O720">
        <v>30362.720000000001</v>
      </c>
      <c r="P720">
        <v>7915.93</v>
      </c>
      <c r="Q720">
        <v>1</v>
      </c>
      <c r="R720">
        <v>189</v>
      </c>
      <c r="S720">
        <v>4.7</v>
      </c>
      <c r="T720" s="1" t="s">
        <v>46</v>
      </c>
      <c r="U720" s="1" t="s">
        <v>58</v>
      </c>
      <c r="V720" s="1" t="s">
        <v>68</v>
      </c>
      <c r="W720" s="1" t="s">
        <v>59</v>
      </c>
    </row>
    <row r="721" spans="1:23" x14ac:dyDescent="0.35">
      <c r="A721" s="1" t="s">
        <v>1639</v>
      </c>
      <c r="B721" s="1" t="s">
        <v>233</v>
      </c>
      <c r="C721">
        <v>58</v>
      </c>
      <c r="D721" s="1" t="s">
        <v>119</v>
      </c>
      <c r="E721" s="1" t="s">
        <v>33</v>
      </c>
      <c r="F721" s="1" t="s">
        <v>108</v>
      </c>
      <c r="G721" s="1" t="s">
        <v>1640</v>
      </c>
      <c r="H721" s="2">
        <v>45766</v>
      </c>
      <c r="I721" s="1" t="s">
        <v>159</v>
      </c>
      <c r="J721" s="1" t="s">
        <v>152</v>
      </c>
      <c r="K721" s="1" t="s">
        <v>116</v>
      </c>
      <c r="L721" s="1" t="s">
        <v>44</v>
      </c>
      <c r="M721" s="1" t="s">
        <v>129</v>
      </c>
      <c r="N721">
        <v>555210.67000000004</v>
      </c>
      <c r="O721">
        <v>84627.37</v>
      </c>
      <c r="P721">
        <v>24398.54</v>
      </c>
      <c r="Q721">
        <v>4</v>
      </c>
      <c r="R721">
        <v>216</v>
      </c>
      <c r="S721">
        <v>4.2</v>
      </c>
      <c r="T721" s="1" t="s">
        <v>34</v>
      </c>
      <c r="U721" s="1" t="s">
        <v>35</v>
      </c>
      <c r="V721" s="1" t="s">
        <v>47</v>
      </c>
      <c r="W721" s="1" t="s">
        <v>33</v>
      </c>
    </row>
    <row r="722" spans="1:23" x14ac:dyDescent="0.35">
      <c r="A722" s="1" t="s">
        <v>1641</v>
      </c>
      <c r="B722" s="1" t="s">
        <v>400</v>
      </c>
      <c r="C722">
        <v>5</v>
      </c>
      <c r="D722" s="1" t="s">
        <v>119</v>
      </c>
      <c r="E722" s="1" t="s">
        <v>203</v>
      </c>
      <c r="F722" s="1" t="s">
        <v>193</v>
      </c>
      <c r="G722" s="1" t="s">
        <v>1003</v>
      </c>
      <c r="H722" s="2">
        <v>46113</v>
      </c>
      <c r="I722" s="1" t="s">
        <v>33</v>
      </c>
      <c r="J722" s="1" t="s">
        <v>30</v>
      </c>
      <c r="K722" s="1" t="s">
        <v>31</v>
      </c>
      <c r="L722" s="1" t="s">
        <v>66</v>
      </c>
      <c r="M722" s="1" t="s">
        <v>33</v>
      </c>
      <c r="N722">
        <v>196145.99</v>
      </c>
      <c r="O722">
        <v>9679.41</v>
      </c>
      <c r="P722">
        <v>69841.759999999995</v>
      </c>
      <c r="Q722">
        <v>4</v>
      </c>
      <c r="R722">
        <v>175</v>
      </c>
      <c r="S722">
        <v>1</v>
      </c>
      <c r="T722" s="1" t="s">
        <v>46</v>
      </c>
      <c r="U722" s="1" t="s">
        <v>101</v>
      </c>
      <c r="V722" s="1" t="s">
        <v>68</v>
      </c>
      <c r="W722" s="1" t="s">
        <v>33</v>
      </c>
    </row>
    <row r="723" spans="1:23" x14ac:dyDescent="0.35">
      <c r="A723" s="1" t="s">
        <v>1642</v>
      </c>
      <c r="B723" s="1" t="s">
        <v>389</v>
      </c>
      <c r="C723">
        <v>67</v>
      </c>
      <c r="D723" s="1" t="s">
        <v>25</v>
      </c>
      <c r="E723" s="1" t="s">
        <v>177</v>
      </c>
      <c r="F723" s="1" t="s">
        <v>145</v>
      </c>
      <c r="G723" s="1" t="s">
        <v>1643</v>
      </c>
      <c r="H723" s="2">
        <v>46234</v>
      </c>
      <c r="I723" s="1" t="s">
        <v>114</v>
      </c>
      <c r="J723" s="1" t="s">
        <v>141</v>
      </c>
      <c r="K723" s="1" t="s">
        <v>31</v>
      </c>
      <c r="L723" s="1" t="s">
        <v>32</v>
      </c>
      <c r="M723" s="1" t="s">
        <v>183</v>
      </c>
      <c r="N723">
        <v>193864.95</v>
      </c>
      <c r="O723">
        <v>48226.59</v>
      </c>
      <c r="P723">
        <v>55534.96</v>
      </c>
      <c r="Q723">
        <v>3</v>
      </c>
      <c r="R723">
        <v>120</v>
      </c>
      <c r="S723">
        <v>3.3</v>
      </c>
      <c r="T723" s="1" t="s">
        <v>33</v>
      </c>
      <c r="U723" s="1" t="s">
        <v>33</v>
      </c>
      <c r="V723" s="1" t="s">
        <v>33</v>
      </c>
      <c r="W723" s="1" t="s">
        <v>131</v>
      </c>
    </row>
    <row r="724" spans="1:23" x14ac:dyDescent="0.35">
      <c r="A724" s="1" t="s">
        <v>1644</v>
      </c>
      <c r="B724" s="1" t="s">
        <v>505</v>
      </c>
      <c r="C724">
        <v>18</v>
      </c>
      <c r="D724" s="1" t="s">
        <v>71</v>
      </c>
      <c r="E724" s="1" t="s">
        <v>157</v>
      </c>
      <c r="F724" s="1" t="s">
        <v>145</v>
      </c>
      <c r="G724" s="1" t="s">
        <v>957</v>
      </c>
      <c r="H724" s="2">
        <v>45780</v>
      </c>
      <c r="I724" s="1" t="s">
        <v>159</v>
      </c>
      <c r="J724" s="1" t="s">
        <v>90</v>
      </c>
      <c r="K724" s="1" t="s">
        <v>91</v>
      </c>
      <c r="L724" s="1" t="s">
        <v>66</v>
      </c>
      <c r="M724" s="1" t="s">
        <v>82</v>
      </c>
      <c r="N724">
        <v>319309.34999999998</v>
      </c>
      <c r="O724">
        <v>30486.46</v>
      </c>
      <c r="P724">
        <v>40844.629999999997</v>
      </c>
      <c r="Q724">
        <v>1</v>
      </c>
      <c r="R724">
        <v>63</v>
      </c>
      <c r="T724" s="1" t="s">
        <v>33</v>
      </c>
      <c r="U724" s="1" t="s">
        <v>33</v>
      </c>
      <c r="V724" s="1" t="s">
        <v>75</v>
      </c>
      <c r="W724" s="1" t="s">
        <v>33</v>
      </c>
    </row>
    <row r="725" spans="1:23" x14ac:dyDescent="0.35">
      <c r="A725" s="1" t="s">
        <v>1645</v>
      </c>
      <c r="B725" s="1" t="s">
        <v>938</v>
      </c>
      <c r="C725">
        <v>35</v>
      </c>
      <c r="D725" s="1" t="s">
        <v>39</v>
      </c>
      <c r="E725" s="1" t="s">
        <v>263</v>
      </c>
      <c r="F725" s="1" t="s">
        <v>41</v>
      </c>
      <c r="G725" s="1" t="s">
        <v>1646</v>
      </c>
      <c r="H725" s="2">
        <v>46070</v>
      </c>
      <c r="I725" s="1" t="s">
        <v>100</v>
      </c>
      <c r="J725" s="1" t="s">
        <v>152</v>
      </c>
      <c r="K725" s="1" t="s">
        <v>174</v>
      </c>
      <c r="L725" s="1" t="s">
        <v>56</v>
      </c>
      <c r="M725" s="1" t="s">
        <v>123</v>
      </c>
      <c r="N725">
        <v>32250.94</v>
      </c>
      <c r="O725">
        <v>48591.29</v>
      </c>
      <c r="P725">
        <v>38853.699999999997</v>
      </c>
      <c r="Q725">
        <v>6</v>
      </c>
      <c r="R725">
        <v>97</v>
      </c>
      <c r="S725">
        <v>5</v>
      </c>
      <c r="T725" s="1" t="s">
        <v>46</v>
      </c>
      <c r="U725" s="1" t="s">
        <v>58</v>
      </c>
      <c r="V725" s="1" t="s">
        <v>164</v>
      </c>
      <c r="W725" s="1" t="s">
        <v>33</v>
      </c>
    </row>
    <row r="726" spans="1:23" x14ac:dyDescent="0.35">
      <c r="A726" s="1" t="s">
        <v>1647</v>
      </c>
      <c r="B726" s="1" t="s">
        <v>1557</v>
      </c>
      <c r="C726">
        <v>49</v>
      </c>
      <c r="D726" s="1" t="s">
        <v>78</v>
      </c>
      <c r="E726" s="1" t="s">
        <v>33</v>
      </c>
      <c r="F726" s="1" t="s">
        <v>44</v>
      </c>
      <c r="G726" s="1" t="s">
        <v>1648</v>
      </c>
      <c r="H726" s="2">
        <v>46069</v>
      </c>
      <c r="I726" s="1" t="s">
        <v>235</v>
      </c>
      <c r="J726" s="1" t="s">
        <v>33</v>
      </c>
      <c r="K726" s="1" t="s">
        <v>174</v>
      </c>
      <c r="L726" s="1" t="s">
        <v>56</v>
      </c>
      <c r="M726" s="1" t="s">
        <v>142</v>
      </c>
      <c r="N726">
        <v>54950.71</v>
      </c>
      <c r="O726">
        <v>24508.26</v>
      </c>
      <c r="P726">
        <v>63285.78</v>
      </c>
      <c r="Q726">
        <v>3</v>
      </c>
      <c r="R726">
        <v>0</v>
      </c>
      <c r="S726">
        <v>4</v>
      </c>
      <c r="T726" s="1" t="s">
        <v>33</v>
      </c>
      <c r="U726" s="1" t="s">
        <v>149</v>
      </c>
      <c r="V726" s="1" t="s">
        <v>75</v>
      </c>
      <c r="W726" s="1" t="s">
        <v>179</v>
      </c>
    </row>
    <row r="727" spans="1:23" x14ac:dyDescent="0.35">
      <c r="A727" s="1" t="s">
        <v>1649</v>
      </c>
      <c r="B727" s="1" t="s">
        <v>505</v>
      </c>
      <c r="C727">
        <v>43</v>
      </c>
      <c r="D727" s="1" t="s">
        <v>71</v>
      </c>
      <c r="E727" s="1" t="s">
        <v>157</v>
      </c>
      <c r="F727" s="1" t="s">
        <v>98</v>
      </c>
      <c r="G727" s="1" t="s">
        <v>1650</v>
      </c>
      <c r="H727" s="2">
        <v>45482</v>
      </c>
      <c r="I727" s="1" t="s">
        <v>257</v>
      </c>
      <c r="J727" s="1" t="s">
        <v>30</v>
      </c>
      <c r="K727" s="1" t="s">
        <v>153</v>
      </c>
      <c r="L727" s="1" t="s">
        <v>92</v>
      </c>
      <c r="M727" s="1" t="s">
        <v>93</v>
      </c>
      <c r="N727">
        <v>365202.25</v>
      </c>
      <c r="O727">
        <v>38360.959999999999</v>
      </c>
      <c r="P727">
        <v>89342.16</v>
      </c>
      <c r="Q727">
        <v>3</v>
      </c>
      <c r="R727">
        <v>20</v>
      </c>
      <c r="S727">
        <v>3.9</v>
      </c>
      <c r="T727" s="1" t="s">
        <v>33</v>
      </c>
      <c r="U727" s="1" t="s">
        <v>33</v>
      </c>
      <c r="V727" s="1" t="s">
        <v>75</v>
      </c>
      <c r="W727" s="1" t="s">
        <v>12</v>
      </c>
    </row>
    <row r="728" spans="1:23" x14ac:dyDescent="0.35">
      <c r="A728" s="1" t="s">
        <v>1651</v>
      </c>
      <c r="B728" s="1" t="s">
        <v>394</v>
      </c>
      <c r="C728">
        <v>19</v>
      </c>
      <c r="D728" s="1" t="s">
        <v>78</v>
      </c>
      <c r="E728" s="1" t="s">
        <v>192</v>
      </c>
      <c r="F728" s="1" t="s">
        <v>227</v>
      </c>
      <c r="G728" s="1" t="s">
        <v>1652</v>
      </c>
      <c r="H728" s="2">
        <v>45470</v>
      </c>
      <c r="I728" s="1" t="s">
        <v>33</v>
      </c>
      <c r="J728" s="1" t="s">
        <v>137</v>
      </c>
      <c r="K728" s="1" t="s">
        <v>116</v>
      </c>
      <c r="L728" s="1" t="s">
        <v>92</v>
      </c>
      <c r="M728" s="1" t="s">
        <v>129</v>
      </c>
      <c r="N728">
        <v>353881.3</v>
      </c>
      <c r="O728">
        <v>88116.83</v>
      </c>
      <c r="P728">
        <v>44489.82</v>
      </c>
      <c r="Q728">
        <v>3</v>
      </c>
      <c r="R728">
        <v>132</v>
      </c>
      <c r="S728">
        <v>3.8</v>
      </c>
      <c r="T728" s="1" t="s">
        <v>154</v>
      </c>
      <c r="U728" s="1" t="s">
        <v>58</v>
      </c>
      <c r="V728" s="1" t="s">
        <v>68</v>
      </c>
      <c r="W728" s="1" t="s">
        <v>12</v>
      </c>
    </row>
    <row r="729" spans="1:23" x14ac:dyDescent="0.35">
      <c r="A729" s="1" t="s">
        <v>1653</v>
      </c>
      <c r="B729" s="1" t="s">
        <v>703</v>
      </c>
      <c r="C729">
        <v>2</v>
      </c>
      <c r="D729" s="1" t="s">
        <v>50</v>
      </c>
      <c r="E729" s="1" t="s">
        <v>134</v>
      </c>
      <c r="F729" s="1" t="s">
        <v>193</v>
      </c>
      <c r="G729" s="1" t="s">
        <v>1654</v>
      </c>
      <c r="H729" s="2">
        <v>45753</v>
      </c>
      <c r="I729" s="1" t="s">
        <v>89</v>
      </c>
      <c r="J729" s="1" t="s">
        <v>43</v>
      </c>
      <c r="K729" s="1" t="s">
        <v>128</v>
      </c>
      <c r="L729" s="1" t="s">
        <v>44</v>
      </c>
      <c r="M729" s="1" t="s">
        <v>129</v>
      </c>
      <c r="N729">
        <v>121191.71</v>
      </c>
      <c r="O729">
        <v>0</v>
      </c>
      <c r="P729">
        <v>96123.06</v>
      </c>
      <c r="Q729">
        <v>1</v>
      </c>
      <c r="R729">
        <v>86</v>
      </c>
      <c r="S729">
        <v>3.3</v>
      </c>
      <c r="T729" s="1" t="s">
        <v>154</v>
      </c>
      <c r="U729" s="1" t="s">
        <v>33</v>
      </c>
      <c r="V729" s="1" t="s">
        <v>47</v>
      </c>
      <c r="W729" s="1" t="s">
        <v>83</v>
      </c>
    </row>
    <row r="730" spans="1:23" x14ac:dyDescent="0.35">
      <c r="A730" s="1" t="s">
        <v>1655</v>
      </c>
      <c r="B730" s="1" t="s">
        <v>598</v>
      </c>
      <c r="C730">
        <v>18</v>
      </c>
      <c r="D730" s="1" t="s">
        <v>106</v>
      </c>
      <c r="E730" s="1" t="s">
        <v>26</v>
      </c>
      <c r="F730" s="1" t="s">
        <v>227</v>
      </c>
      <c r="G730" s="1" t="s">
        <v>1465</v>
      </c>
      <c r="H730" s="2">
        <v>46149</v>
      </c>
      <c r="I730" s="1" t="s">
        <v>168</v>
      </c>
      <c r="J730" s="1" t="s">
        <v>43</v>
      </c>
      <c r="K730" s="1" t="s">
        <v>128</v>
      </c>
      <c r="L730" s="1" t="s">
        <v>66</v>
      </c>
      <c r="M730" s="1" t="s">
        <v>123</v>
      </c>
      <c r="N730">
        <v>112639.03</v>
      </c>
      <c r="O730">
        <v>31701.81</v>
      </c>
      <c r="P730">
        <v>75863.070000000007</v>
      </c>
      <c r="Q730">
        <v>5</v>
      </c>
      <c r="R730">
        <v>132</v>
      </c>
      <c r="S730">
        <v>4</v>
      </c>
      <c r="T730" s="1" t="s">
        <v>154</v>
      </c>
      <c r="U730" s="1" t="s">
        <v>101</v>
      </c>
      <c r="V730" s="1" t="s">
        <v>68</v>
      </c>
      <c r="W730" s="1" t="s">
        <v>33</v>
      </c>
    </row>
    <row r="731" spans="1:23" x14ac:dyDescent="0.35">
      <c r="A731" s="1" t="s">
        <v>1656</v>
      </c>
      <c r="B731" s="1" t="s">
        <v>938</v>
      </c>
      <c r="C731">
        <v>51</v>
      </c>
      <c r="D731" s="1" t="s">
        <v>33</v>
      </c>
      <c r="E731" s="1" t="s">
        <v>51</v>
      </c>
      <c r="F731" s="1" t="s">
        <v>98</v>
      </c>
      <c r="G731" s="1" t="s">
        <v>1522</v>
      </c>
      <c r="H731" s="2">
        <v>45902</v>
      </c>
      <c r="I731" s="1" t="s">
        <v>89</v>
      </c>
      <c r="J731" s="1" t="s">
        <v>80</v>
      </c>
      <c r="K731" s="1" t="s">
        <v>208</v>
      </c>
      <c r="L731" s="1" t="s">
        <v>56</v>
      </c>
      <c r="M731" s="1" t="s">
        <v>183</v>
      </c>
      <c r="N731">
        <v>248231.41</v>
      </c>
      <c r="O731">
        <v>4250.6899999999996</v>
      </c>
      <c r="P731">
        <v>46382.38</v>
      </c>
      <c r="Q731">
        <v>3</v>
      </c>
      <c r="R731">
        <v>14</v>
      </c>
      <c r="S731">
        <v>3.8</v>
      </c>
      <c r="T731" s="1" t="s">
        <v>34</v>
      </c>
      <c r="U731" s="1" t="s">
        <v>33</v>
      </c>
      <c r="V731" s="1" t="s">
        <v>130</v>
      </c>
      <c r="W731" s="1" t="s">
        <v>131</v>
      </c>
    </row>
    <row r="732" spans="1:23" x14ac:dyDescent="0.35">
      <c r="A732" s="1" t="s">
        <v>1657</v>
      </c>
      <c r="B732" s="1" t="s">
        <v>312</v>
      </c>
      <c r="C732">
        <v>92</v>
      </c>
      <c r="D732" s="1" t="s">
        <v>25</v>
      </c>
      <c r="E732" s="1" t="s">
        <v>72</v>
      </c>
      <c r="F732" s="1" t="s">
        <v>98</v>
      </c>
      <c r="G732" s="1" t="s">
        <v>1658</v>
      </c>
      <c r="H732" s="2">
        <v>46195</v>
      </c>
      <c r="I732" s="1" t="s">
        <v>168</v>
      </c>
      <c r="J732" s="1" t="s">
        <v>33</v>
      </c>
      <c r="K732" s="1" t="s">
        <v>163</v>
      </c>
      <c r="L732" s="1" t="s">
        <v>33</v>
      </c>
      <c r="M732" s="1" t="s">
        <v>45</v>
      </c>
      <c r="N732">
        <v>214414.79</v>
      </c>
      <c r="O732">
        <v>0</v>
      </c>
      <c r="P732">
        <v>40974.589999999997</v>
      </c>
      <c r="Q732">
        <v>2</v>
      </c>
      <c r="R732">
        <v>133</v>
      </c>
      <c r="S732">
        <v>5</v>
      </c>
      <c r="T732" s="1" t="s">
        <v>34</v>
      </c>
      <c r="U732" s="1" t="s">
        <v>58</v>
      </c>
      <c r="V732" s="1" t="s">
        <v>68</v>
      </c>
      <c r="W732" s="1" t="s">
        <v>33</v>
      </c>
    </row>
    <row r="733" spans="1:23" x14ac:dyDescent="0.35">
      <c r="A733" s="1" t="s">
        <v>1659</v>
      </c>
      <c r="B733" s="1" t="s">
        <v>976</v>
      </c>
      <c r="C733">
        <v>8</v>
      </c>
      <c r="D733" s="1" t="s">
        <v>50</v>
      </c>
      <c r="E733" s="1" t="s">
        <v>26</v>
      </c>
      <c r="F733" s="1" t="s">
        <v>135</v>
      </c>
      <c r="G733" s="1" t="s">
        <v>864</v>
      </c>
      <c r="H733" s="2">
        <v>46130</v>
      </c>
      <c r="I733" s="1" t="s">
        <v>221</v>
      </c>
      <c r="J733" s="1" t="s">
        <v>33</v>
      </c>
      <c r="K733" s="1" t="s">
        <v>33</v>
      </c>
      <c r="L733" s="1" t="s">
        <v>33</v>
      </c>
      <c r="M733" s="1" t="s">
        <v>33</v>
      </c>
      <c r="N733">
        <v>334357.18</v>
      </c>
      <c r="O733">
        <v>0</v>
      </c>
      <c r="P733">
        <v>31915.34</v>
      </c>
      <c r="Q733">
        <v>2</v>
      </c>
      <c r="R733">
        <v>75</v>
      </c>
      <c r="S733">
        <v>3.6</v>
      </c>
      <c r="T733" s="1" t="s">
        <v>33</v>
      </c>
      <c r="U733" s="1" t="s">
        <v>67</v>
      </c>
      <c r="V733" s="1" t="s">
        <v>47</v>
      </c>
      <c r="W733" s="1" t="s">
        <v>33</v>
      </c>
    </row>
    <row r="734" spans="1:23" x14ac:dyDescent="0.35">
      <c r="A734" s="1" t="s">
        <v>1660</v>
      </c>
      <c r="B734" s="1" t="s">
        <v>1601</v>
      </c>
      <c r="C734">
        <v>27</v>
      </c>
      <c r="D734" s="1" t="s">
        <v>50</v>
      </c>
      <c r="E734" s="1" t="s">
        <v>263</v>
      </c>
      <c r="F734" s="1" t="s">
        <v>193</v>
      </c>
      <c r="G734" s="1" t="s">
        <v>1006</v>
      </c>
      <c r="H734" s="2">
        <v>46017</v>
      </c>
      <c r="I734" s="1" t="s">
        <v>273</v>
      </c>
      <c r="J734" s="1" t="s">
        <v>147</v>
      </c>
      <c r="K734" s="1" t="s">
        <v>55</v>
      </c>
      <c r="L734" s="1" t="s">
        <v>33</v>
      </c>
      <c r="M734" s="1" t="s">
        <v>129</v>
      </c>
      <c r="N734">
        <v>181677.9</v>
      </c>
      <c r="O734">
        <v>29643.24</v>
      </c>
      <c r="P734">
        <v>49487.94</v>
      </c>
      <c r="Q734">
        <v>5</v>
      </c>
      <c r="R734">
        <v>102</v>
      </c>
      <c r="S734">
        <v>4.3</v>
      </c>
      <c r="T734" s="1" t="s">
        <v>33</v>
      </c>
      <c r="U734" s="1" t="s">
        <v>33</v>
      </c>
      <c r="V734" s="1" t="s">
        <v>33</v>
      </c>
      <c r="W734" s="1" t="s">
        <v>36</v>
      </c>
    </row>
    <row r="735" spans="1:23" x14ac:dyDescent="0.35">
      <c r="A735" s="1" t="s">
        <v>1661</v>
      </c>
      <c r="B735" s="1" t="s">
        <v>1200</v>
      </c>
      <c r="C735">
        <v>51</v>
      </c>
      <c r="D735" s="1" t="s">
        <v>106</v>
      </c>
      <c r="E735" s="1" t="s">
        <v>33</v>
      </c>
      <c r="F735" s="1" t="s">
        <v>63</v>
      </c>
      <c r="G735" s="1" t="s">
        <v>1662</v>
      </c>
      <c r="H735" s="2">
        <v>45813</v>
      </c>
      <c r="I735" s="1" t="s">
        <v>235</v>
      </c>
      <c r="J735" s="1" t="s">
        <v>65</v>
      </c>
      <c r="K735" s="1" t="s">
        <v>55</v>
      </c>
      <c r="L735" s="1" t="s">
        <v>33</v>
      </c>
      <c r="M735" s="1" t="s">
        <v>57</v>
      </c>
      <c r="N735">
        <v>283501.96999999997</v>
      </c>
      <c r="O735">
        <v>0</v>
      </c>
      <c r="P735">
        <v>46506.83</v>
      </c>
      <c r="Q735">
        <v>5</v>
      </c>
      <c r="R735">
        <v>130</v>
      </c>
      <c r="S735">
        <v>4.5999999999999996</v>
      </c>
      <c r="T735" s="1" t="s">
        <v>46</v>
      </c>
      <c r="U735" s="1" t="s">
        <v>35</v>
      </c>
      <c r="V735" s="1" t="s">
        <v>75</v>
      </c>
      <c r="W735" s="1" t="s">
        <v>33</v>
      </c>
    </row>
    <row r="736" spans="1:23" x14ac:dyDescent="0.35">
      <c r="A736" s="1" t="s">
        <v>1663</v>
      </c>
      <c r="B736" s="1" t="s">
        <v>237</v>
      </c>
      <c r="C736">
        <v>28</v>
      </c>
      <c r="D736" s="1" t="s">
        <v>25</v>
      </c>
      <c r="E736" s="1" t="s">
        <v>134</v>
      </c>
      <c r="F736" s="1" t="s">
        <v>33</v>
      </c>
      <c r="G736" s="1" t="s">
        <v>1451</v>
      </c>
      <c r="H736" s="2">
        <v>45488</v>
      </c>
      <c r="I736" s="1" t="s">
        <v>29</v>
      </c>
      <c r="J736" s="1" t="s">
        <v>137</v>
      </c>
      <c r="K736" s="1" t="s">
        <v>91</v>
      </c>
      <c r="L736" s="1" t="s">
        <v>33</v>
      </c>
      <c r="M736" s="1" t="s">
        <v>45</v>
      </c>
      <c r="N736">
        <v>139625.91</v>
      </c>
      <c r="O736">
        <v>43410.35</v>
      </c>
      <c r="P736">
        <v>76016.429999999993</v>
      </c>
      <c r="Q736">
        <v>1</v>
      </c>
      <c r="R736">
        <v>64</v>
      </c>
      <c r="S736">
        <v>4.9000000000000004</v>
      </c>
      <c r="T736" s="1" t="s">
        <v>33</v>
      </c>
      <c r="U736" s="1" t="s">
        <v>67</v>
      </c>
      <c r="V736" s="1" t="s">
        <v>75</v>
      </c>
      <c r="W736" s="1" t="s">
        <v>83</v>
      </c>
    </row>
    <row r="737" spans="1:23" x14ac:dyDescent="0.35">
      <c r="A737" s="1" t="s">
        <v>1664</v>
      </c>
      <c r="B737" s="1" t="s">
        <v>1100</v>
      </c>
      <c r="C737">
        <v>40</v>
      </c>
      <c r="D737" s="1" t="s">
        <v>119</v>
      </c>
      <c r="E737" s="1" t="s">
        <v>62</v>
      </c>
      <c r="F737" s="1" t="s">
        <v>193</v>
      </c>
      <c r="G737" s="1" t="s">
        <v>657</v>
      </c>
      <c r="H737" s="2">
        <v>46205</v>
      </c>
      <c r="I737" s="1" t="s">
        <v>114</v>
      </c>
      <c r="J737" s="1" t="s">
        <v>141</v>
      </c>
      <c r="K737" s="1" t="s">
        <v>81</v>
      </c>
      <c r="L737" s="1" t="s">
        <v>33</v>
      </c>
      <c r="M737" s="1" t="s">
        <v>129</v>
      </c>
      <c r="N737">
        <v>190406.21</v>
      </c>
      <c r="O737">
        <v>48665.279999999999</v>
      </c>
      <c r="P737">
        <v>54767.33</v>
      </c>
      <c r="Q737">
        <v>3</v>
      </c>
      <c r="R737">
        <v>265</v>
      </c>
      <c r="S737">
        <v>2.6</v>
      </c>
      <c r="T737" s="1" t="s">
        <v>154</v>
      </c>
      <c r="U737" s="1" t="s">
        <v>95</v>
      </c>
      <c r="V737" s="1" t="s">
        <v>68</v>
      </c>
      <c r="W737" s="1" t="s">
        <v>103</v>
      </c>
    </row>
    <row r="738" spans="1:23" x14ac:dyDescent="0.35">
      <c r="A738" s="1" t="s">
        <v>1665</v>
      </c>
      <c r="B738" s="1" t="s">
        <v>1023</v>
      </c>
      <c r="C738">
        <v>31</v>
      </c>
      <c r="D738" s="1" t="s">
        <v>71</v>
      </c>
      <c r="E738" s="1" t="s">
        <v>219</v>
      </c>
      <c r="F738" s="1" t="s">
        <v>27</v>
      </c>
      <c r="G738" s="1" t="s">
        <v>1666</v>
      </c>
      <c r="H738" s="2">
        <v>45965</v>
      </c>
      <c r="I738" s="1" t="s">
        <v>277</v>
      </c>
      <c r="J738" s="1" t="s">
        <v>30</v>
      </c>
      <c r="K738" s="1" t="s">
        <v>33</v>
      </c>
      <c r="L738" s="1" t="s">
        <v>32</v>
      </c>
      <c r="M738" s="1" t="s">
        <v>183</v>
      </c>
      <c r="N738">
        <v>98299.82</v>
      </c>
      <c r="O738">
        <v>29728.32</v>
      </c>
      <c r="P738">
        <v>49120.57</v>
      </c>
      <c r="Q738">
        <v>4</v>
      </c>
      <c r="R738">
        <v>313</v>
      </c>
      <c r="S738">
        <v>3.5</v>
      </c>
      <c r="T738" s="1" t="s">
        <v>33</v>
      </c>
      <c r="U738" s="1" t="s">
        <v>149</v>
      </c>
      <c r="V738" s="1" t="s">
        <v>75</v>
      </c>
      <c r="W738" s="1" t="s">
        <v>36</v>
      </c>
    </row>
    <row r="739" spans="1:23" x14ac:dyDescent="0.35">
      <c r="A739" s="1" t="s">
        <v>1667</v>
      </c>
      <c r="B739" s="1" t="s">
        <v>726</v>
      </c>
      <c r="C739">
        <v>49</v>
      </c>
      <c r="D739" s="1" t="s">
        <v>106</v>
      </c>
      <c r="E739" s="1" t="s">
        <v>40</v>
      </c>
      <c r="F739" s="1" t="s">
        <v>56</v>
      </c>
      <c r="G739" s="1" t="s">
        <v>1234</v>
      </c>
      <c r="H739" s="2">
        <v>46184</v>
      </c>
      <c r="I739" s="1" t="s">
        <v>159</v>
      </c>
      <c r="J739" s="1" t="s">
        <v>30</v>
      </c>
      <c r="K739" s="1" t="s">
        <v>153</v>
      </c>
      <c r="L739" s="1" t="s">
        <v>32</v>
      </c>
      <c r="M739" s="1" t="s">
        <v>129</v>
      </c>
      <c r="N739">
        <v>0</v>
      </c>
      <c r="O739">
        <v>27701.08</v>
      </c>
      <c r="P739">
        <v>45480.76</v>
      </c>
      <c r="Q739">
        <v>1</v>
      </c>
      <c r="R739">
        <v>154</v>
      </c>
      <c r="S739">
        <v>5</v>
      </c>
      <c r="T739" s="1" t="s">
        <v>34</v>
      </c>
      <c r="U739" s="1" t="s">
        <v>101</v>
      </c>
      <c r="V739" s="1" t="s">
        <v>68</v>
      </c>
      <c r="W739" s="1" t="s">
        <v>103</v>
      </c>
    </row>
    <row r="740" spans="1:23" x14ac:dyDescent="0.35">
      <c r="A740" s="1" t="s">
        <v>1668</v>
      </c>
      <c r="B740" s="1" t="s">
        <v>282</v>
      </c>
      <c r="C740">
        <v>39</v>
      </c>
      <c r="D740" s="1" t="s">
        <v>71</v>
      </c>
      <c r="E740" s="1" t="s">
        <v>62</v>
      </c>
      <c r="F740" s="1" t="s">
        <v>44</v>
      </c>
      <c r="G740" s="1" t="s">
        <v>1166</v>
      </c>
      <c r="H740" s="2">
        <v>45748</v>
      </c>
      <c r="I740" s="1" t="s">
        <v>53</v>
      </c>
      <c r="J740" s="1" t="s">
        <v>137</v>
      </c>
      <c r="K740" s="1" t="s">
        <v>128</v>
      </c>
      <c r="L740" s="1" t="s">
        <v>32</v>
      </c>
      <c r="M740" s="1" t="s">
        <v>183</v>
      </c>
      <c r="N740">
        <v>112743.08</v>
      </c>
      <c r="O740">
        <v>1798.44</v>
      </c>
      <c r="P740">
        <v>54296.84</v>
      </c>
      <c r="Q740">
        <v>2</v>
      </c>
      <c r="R740">
        <v>0</v>
      </c>
      <c r="S740">
        <v>3.2</v>
      </c>
      <c r="T740" s="1" t="s">
        <v>46</v>
      </c>
      <c r="U740" s="1" t="s">
        <v>33</v>
      </c>
      <c r="V740" s="1" t="s">
        <v>75</v>
      </c>
      <c r="W740" s="1" t="s">
        <v>131</v>
      </c>
    </row>
    <row r="741" spans="1:23" x14ac:dyDescent="0.35">
      <c r="A741" s="1" t="s">
        <v>1669</v>
      </c>
      <c r="B741" s="1" t="s">
        <v>1413</v>
      </c>
      <c r="C741">
        <v>55</v>
      </c>
      <c r="D741" s="1" t="s">
        <v>33</v>
      </c>
      <c r="E741" s="1" t="s">
        <v>219</v>
      </c>
      <c r="F741" s="1" t="s">
        <v>27</v>
      </c>
      <c r="G741" s="1" t="s">
        <v>1670</v>
      </c>
      <c r="H741" s="2">
        <v>46256</v>
      </c>
      <c r="I741" s="1" t="s">
        <v>235</v>
      </c>
      <c r="J741" s="1" t="s">
        <v>115</v>
      </c>
      <c r="K741" s="1" t="s">
        <v>31</v>
      </c>
      <c r="L741" s="1" t="s">
        <v>32</v>
      </c>
      <c r="M741" s="1" t="s">
        <v>57</v>
      </c>
      <c r="N741">
        <v>472200.21</v>
      </c>
      <c r="O741">
        <v>0</v>
      </c>
      <c r="P741">
        <v>0</v>
      </c>
      <c r="Q741">
        <v>1</v>
      </c>
      <c r="R741">
        <v>85</v>
      </c>
      <c r="S741">
        <v>3.7</v>
      </c>
      <c r="T741" s="1" t="s">
        <v>33</v>
      </c>
      <c r="U741" s="1" t="s">
        <v>67</v>
      </c>
      <c r="V741" s="1" t="s">
        <v>33</v>
      </c>
      <c r="W741" s="1" t="s">
        <v>12</v>
      </c>
    </row>
    <row r="742" spans="1:23" x14ac:dyDescent="0.35">
      <c r="A742" s="1" t="s">
        <v>1671</v>
      </c>
      <c r="B742" s="1" t="s">
        <v>333</v>
      </c>
      <c r="C742">
        <v>33</v>
      </c>
      <c r="D742" s="1" t="s">
        <v>106</v>
      </c>
      <c r="E742" s="1" t="s">
        <v>219</v>
      </c>
      <c r="F742" s="1" t="s">
        <v>63</v>
      </c>
      <c r="G742" s="1" t="s">
        <v>1672</v>
      </c>
      <c r="H742" s="2">
        <v>45397</v>
      </c>
      <c r="I742" s="1" t="s">
        <v>221</v>
      </c>
      <c r="J742" s="1" t="s">
        <v>115</v>
      </c>
      <c r="K742" s="1" t="s">
        <v>33</v>
      </c>
      <c r="L742" s="1" t="s">
        <v>33</v>
      </c>
      <c r="M742" s="1" t="s">
        <v>93</v>
      </c>
      <c r="N742">
        <v>191910.5</v>
      </c>
      <c r="O742">
        <v>39187.760000000002</v>
      </c>
      <c r="P742">
        <v>76212.929999999993</v>
      </c>
      <c r="Q742">
        <v>3</v>
      </c>
      <c r="R742">
        <v>0</v>
      </c>
      <c r="S742">
        <v>3.2</v>
      </c>
      <c r="T742" s="1" t="s">
        <v>34</v>
      </c>
      <c r="U742" s="1" t="s">
        <v>35</v>
      </c>
      <c r="V742" s="1" t="s">
        <v>33</v>
      </c>
      <c r="W742" s="1" t="s">
        <v>33</v>
      </c>
    </row>
    <row r="743" spans="1:23" x14ac:dyDescent="0.35">
      <c r="A743" s="1" t="s">
        <v>1673</v>
      </c>
      <c r="B743" s="1" t="s">
        <v>522</v>
      </c>
      <c r="C743">
        <v>22</v>
      </c>
      <c r="D743" s="1" t="s">
        <v>119</v>
      </c>
      <c r="E743" s="1" t="s">
        <v>177</v>
      </c>
      <c r="F743" s="1" t="s">
        <v>145</v>
      </c>
      <c r="G743" s="1" t="s">
        <v>1674</v>
      </c>
      <c r="H743" s="2">
        <v>45873</v>
      </c>
      <c r="I743" s="1" t="s">
        <v>277</v>
      </c>
      <c r="J743" s="1" t="s">
        <v>147</v>
      </c>
      <c r="K743" s="1" t="s">
        <v>208</v>
      </c>
      <c r="L743" s="1" t="s">
        <v>56</v>
      </c>
      <c r="M743" s="1" t="s">
        <v>169</v>
      </c>
      <c r="N743">
        <v>462363.75</v>
      </c>
      <c r="O743">
        <v>14114.75</v>
      </c>
      <c r="P743">
        <v>43761.22</v>
      </c>
      <c r="Q743">
        <v>3</v>
      </c>
      <c r="R743">
        <v>136</v>
      </c>
      <c r="S743">
        <v>2.9</v>
      </c>
      <c r="T743" s="1" t="s">
        <v>33</v>
      </c>
      <c r="U743" s="1" t="s">
        <v>101</v>
      </c>
      <c r="V743" s="1" t="s">
        <v>164</v>
      </c>
      <c r="W743" s="1" t="s">
        <v>103</v>
      </c>
    </row>
    <row r="744" spans="1:23" x14ac:dyDescent="0.35">
      <c r="A744" s="1" t="s">
        <v>1675</v>
      </c>
      <c r="B744" s="1" t="s">
        <v>377</v>
      </c>
      <c r="C744">
        <v>33</v>
      </c>
      <c r="D744" s="1" t="s">
        <v>78</v>
      </c>
      <c r="E744" s="1" t="s">
        <v>219</v>
      </c>
      <c r="F744" s="1" t="s">
        <v>120</v>
      </c>
      <c r="G744" s="1" t="s">
        <v>1676</v>
      </c>
      <c r="H744" s="2">
        <v>46052</v>
      </c>
      <c r="I744" s="1" t="s">
        <v>100</v>
      </c>
      <c r="J744" s="1" t="s">
        <v>141</v>
      </c>
      <c r="K744" s="1" t="s">
        <v>91</v>
      </c>
      <c r="L744" s="1" t="s">
        <v>32</v>
      </c>
      <c r="M744" s="1" t="s">
        <v>93</v>
      </c>
      <c r="N744">
        <v>364121.68</v>
      </c>
      <c r="O744">
        <v>21577.62</v>
      </c>
      <c r="P744">
        <v>19606.97</v>
      </c>
      <c r="Q744">
        <v>1</v>
      </c>
      <c r="R744">
        <v>164</v>
      </c>
      <c r="S744">
        <v>3.3</v>
      </c>
      <c r="T744" s="1" t="s">
        <v>34</v>
      </c>
      <c r="U744" s="1" t="s">
        <v>67</v>
      </c>
      <c r="V744" s="1" t="s">
        <v>164</v>
      </c>
      <c r="W744" s="1" t="s">
        <v>103</v>
      </c>
    </row>
    <row r="745" spans="1:23" x14ac:dyDescent="0.35">
      <c r="A745" s="1" t="s">
        <v>1677</v>
      </c>
      <c r="B745" s="1" t="s">
        <v>1413</v>
      </c>
      <c r="C745">
        <v>46</v>
      </c>
      <c r="D745" s="1" t="s">
        <v>119</v>
      </c>
      <c r="E745" s="1" t="s">
        <v>62</v>
      </c>
      <c r="F745" s="1" t="s">
        <v>98</v>
      </c>
      <c r="G745" s="1" t="s">
        <v>211</v>
      </c>
      <c r="H745" s="2">
        <v>45711</v>
      </c>
      <c r="I745" s="1" t="s">
        <v>33</v>
      </c>
      <c r="J745" s="1" t="s">
        <v>147</v>
      </c>
      <c r="K745" s="1" t="s">
        <v>163</v>
      </c>
      <c r="L745" s="1" t="s">
        <v>44</v>
      </c>
      <c r="M745" s="1" t="s">
        <v>169</v>
      </c>
      <c r="N745">
        <v>327905.03000000003</v>
      </c>
      <c r="O745">
        <v>89542.84</v>
      </c>
      <c r="P745">
        <v>69817.08</v>
      </c>
      <c r="Q745">
        <v>2</v>
      </c>
      <c r="R745">
        <v>181</v>
      </c>
      <c r="S745">
        <v>3</v>
      </c>
      <c r="T745" s="1" t="s">
        <v>34</v>
      </c>
      <c r="U745" s="1" t="s">
        <v>101</v>
      </c>
      <c r="V745" s="1" t="s">
        <v>75</v>
      </c>
      <c r="W745" s="1" t="s">
        <v>179</v>
      </c>
    </row>
    <row r="746" spans="1:23" x14ac:dyDescent="0.35">
      <c r="A746" s="1" t="s">
        <v>1678</v>
      </c>
      <c r="B746" s="1" t="s">
        <v>451</v>
      </c>
      <c r="C746">
        <v>44</v>
      </c>
      <c r="D746" s="1" t="s">
        <v>119</v>
      </c>
      <c r="E746" s="1" t="s">
        <v>107</v>
      </c>
      <c r="F746" s="1" t="s">
        <v>41</v>
      </c>
      <c r="G746" s="1" t="s">
        <v>1679</v>
      </c>
      <c r="H746" s="2">
        <v>46170</v>
      </c>
      <c r="I746" s="1" t="s">
        <v>33</v>
      </c>
      <c r="J746" s="1" t="s">
        <v>33</v>
      </c>
      <c r="K746" s="1" t="s">
        <v>153</v>
      </c>
      <c r="L746" s="1" t="s">
        <v>32</v>
      </c>
      <c r="M746" s="1" t="s">
        <v>74</v>
      </c>
      <c r="N746">
        <v>235003.79</v>
      </c>
      <c r="O746">
        <v>3037.18</v>
      </c>
      <c r="P746">
        <v>39741.160000000003</v>
      </c>
      <c r="Q746">
        <v>1</v>
      </c>
      <c r="R746">
        <v>124</v>
      </c>
      <c r="S746">
        <v>4.2</v>
      </c>
      <c r="T746" s="1" t="s">
        <v>154</v>
      </c>
      <c r="U746" s="1" t="s">
        <v>67</v>
      </c>
      <c r="V746" s="1" t="s">
        <v>75</v>
      </c>
      <c r="W746" s="1" t="s">
        <v>33</v>
      </c>
    </row>
    <row r="747" spans="1:23" x14ac:dyDescent="0.35">
      <c r="A747" s="1" t="s">
        <v>1680</v>
      </c>
      <c r="B747" s="1" t="s">
        <v>1681</v>
      </c>
      <c r="C747">
        <v>49</v>
      </c>
      <c r="D747" s="1" t="s">
        <v>25</v>
      </c>
      <c r="E747" s="1" t="s">
        <v>157</v>
      </c>
      <c r="F747" s="1" t="s">
        <v>27</v>
      </c>
      <c r="G747" s="1" t="s">
        <v>1682</v>
      </c>
      <c r="H747" s="2">
        <v>45971</v>
      </c>
      <c r="I747" s="1" t="s">
        <v>89</v>
      </c>
      <c r="J747" s="1" t="s">
        <v>242</v>
      </c>
      <c r="K747" s="1" t="s">
        <v>81</v>
      </c>
      <c r="L747" s="1" t="s">
        <v>44</v>
      </c>
      <c r="M747" s="1" t="s">
        <v>183</v>
      </c>
      <c r="N747">
        <v>149018.79</v>
      </c>
      <c r="O747">
        <v>17152.48</v>
      </c>
      <c r="P747">
        <v>9031.4599999999991</v>
      </c>
      <c r="Q747">
        <v>4</v>
      </c>
      <c r="R747">
        <v>228</v>
      </c>
      <c r="S747">
        <v>3.7</v>
      </c>
      <c r="T747" s="1" t="s">
        <v>94</v>
      </c>
      <c r="U747" s="1" t="s">
        <v>58</v>
      </c>
      <c r="V747" s="1" t="s">
        <v>102</v>
      </c>
      <c r="W747" s="1" t="s">
        <v>12</v>
      </c>
    </row>
    <row r="748" spans="1:23" x14ac:dyDescent="0.35">
      <c r="A748" s="1" t="s">
        <v>1683</v>
      </c>
      <c r="B748" s="1" t="s">
        <v>456</v>
      </c>
      <c r="C748">
        <v>22</v>
      </c>
      <c r="D748" s="1" t="s">
        <v>78</v>
      </c>
      <c r="E748" s="1" t="s">
        <v>72</v>
      </c>
      <c r="F748" s="1" t="s">
        <v>87</v>
      </c>
      <c r="G748" s="1" t="s">
        <v>1684</v>
      </c>
      <c r="H748" s="2">
        <v>46215</v>
      </c>
      <c r="I748" s="1" t="s">
        <v>173</v>
      </c>
      <c r="J748" s="1" t="s">
        <v>65</v>
      </c>
      <c r="K748" s="1" t="s">
        <v>163</v>
      </c>
      <c r="L748" s="1" t="s">
        <v>92</v>
      </c>
      <c r="M748" s="1" t="s">
        <v>33</v>
      </c>
      <c r="N748">
        <v>630992.11</v>
      </c>
      <c r="O748">
        <v>3166.8</v>
      </c>
      <c r="P748">
        <v>32134.560000000001</v>
      </c>
      <c r="Q748">
        <v>2</v>
      </c>
      <c r="R748">
        <v>126</v>
      </c>
      <c r="S748">
        <v>4.5</v>
      </c>
      <c r="T748" s="1" t="s">
        <v>46</v>
      </c>
      <c r="U748" s="1" t="s">
        <v>95</v>
      </c>
      <c r="V748" s="1" t="s">
        <v>33</v>
      </c>
      <c r="W748" s="1" t="s">
        <v>36</v>
      </c>
    </row>
    <row r="749" spans="1:23" x14ac:dyDescent="0.35">
      <c r="A749" s="1" t="s">
        <v>1685</v>
      </c>
      <c r="B749" s="1" t="s">
        <v>233</v>
      </c>
      <c r="C749">
        <v>82</v>
      </c>
      <c r="D749" s="1" t="s">
        <v>119</v>
      </c>
      <c r="E749" s="1" t="s">
        <v>33</v>
      </c>
      <c r="F749" s="1" t="s">
        <v>41</v>
      </c>
      <c r="G749" s="1" t="s">
        <v>1686</v>
      </c>
      <c r="H749" s="2">
        <v>45628</v>
      </c>
      <c r="I749" s="1" t="s">
        <v>173</v>
      </c>
      <c r="J749" s="1" t="s">
        <v>30</v>
      </c>
      <c r="K749" s="1" t="s">
        <v>116</v>
      </c>
      <c r="L749" s="1" t="s">
        <v>33</v>
      </c>
      <c r="M749" s="1" t="s">
        <v>82</v>
      </c>
      <c r="N749">
        <v>290862.07</v>
      </c>
      <c r="O749">
        <v>3599.23</v>
      </c>
      <c r="P749">
        <v>37291.65</v>
      </c>
      <c r="Q749">
        <v>6</v>
      </c>
      <c r="R749">
        <v>118</v>
      </c>
      <c r="S749">
        <v>5</v>
      </c>
      <c r="T749" s="1" t="s">
        <v>33</v>
      </c>
      <c r="U749" s="1" t="s">
        <v>33</v>
      </c>
      <c r="V749" s="1" t="s">
        <v>68</v>
      </c>
      <c r="W749" s="1" t="s">
        <v>33</v>
      </c>
    </row>
    <row r="750" spans="1:23" x14ac:dyDescent="0.35">
      <c r="A750" s="1" t="s">
        <v>1687</v>
      </c>
      <c r="B750" s="1" t="s">
        <v>904</v>
      </c>
      <c r="C750">
        <v>69</v>
      </c>
      <c r="D750" s="1" t="s">
        <v>106</v>
      </c>
      <c r="E750" s="1" t="s">
        <v>192</v>
      </c>
      <c r="F750" s="1" t="s">
        <v>63</v>
      </c>
      <c r="G750" s="1" t="s">
        <v>1688</v>
      </c>
      <c r="H750" s="2">
        <v>45638</v>
      </c>
      <c r="I750" s="1" t="s">
        <v>235</v>
      </c>
      <c r="J750" s="1" t="s">
        <v>43</v>
      </c>
      <c r="K750" s="1" t="s">
        <v>33</v>
      </c>
      <c r="L750" s="1" t="s">
        <v>56</v>
      </c>
      <c r="M750" s="1" t="s">
        <v>123</v>
      </c>
      <c r="N750">
        <v>245188.01</v>
      </c>
      <c r="O750">
        <v>50945.760000000002</v>
      </c>
      <c r="P750">
        <v>41940.160000000003</v>
      </c>
      <c r="Q750">
        <v>1</v>
      </c>
      <c r="R750">
        <v>31</v>
      </c>
      <c r="S750">
        <v>4.7</v>
      </c>
      <c r="T750" s="1" t="s">
        <v>94</v>
      </c>
      <c r="U750" s="1" t="s">
        <v>35</v>
      </c>
      <c r="V750" s="1" t="s">
        <v>47</v>
      </c>
      <c r="W750" s="1" t="s">
        <v>33</v>
      </c>
    </row>
    <row r="751" spans="1:23" x14ac:dyDescent="0.35">
      <c r="A751" s="1" t="s">
        <v>1689</v>
      </c>
      <c r="B751" s="1" t="s">
        <v>971</v>
      </c>
      <c r="C751">
        <v>64</v>
      </c>
      <c r="D751" s="1" t="s">
        <v>33</v>
      </c>
      <c r="E751" s="1" t="s">
        <v>157</v>
      </c>
      <c r="F751" s="1" t="s">
        <v>120</v>
      </c>
      <c r="G751" s="1" t="s">
        <v>1690</v>
      </c>
      <c r="H751" s="2">
        <v>45528</v>
      </c>
      <c r="I751" s="1" t="s">
        <v>114</v>
      </c>
      <c r="J751" s="1" t="s">
        <v>147</v>
      </c>
      <c r="K751" s="1" t="s">
        <v>33</v>
      </c>
      <c r="L751" s="1" t="s">
        <v>66</v>
      </c>
      <c r="M751" s="1" t="s">
        <v>93</v>
      </c>
      <c r="N751">
        <v>218137.35</v>
      </c>
      <c r="O751">
        <v>15004.45</v>
      </c>
      <c r="P751">
        <v>0</v>
      </c>
      <c r="Q751">
        <v>4</v>
      </c>
      <c r="R751">
        <v>156</v>
      </c>
      <c r="S751">
        <v>4.3</v>
      </c>
      <c r="T751" s="1" t="s">
        <v>46</v>
      </c>
      <c r="U751" s="1" t="s">
        <v>33</v>
      </c>
      <c r="V751" s="1" t="s">
        <v>75</v>
      </c>
      <c r="W751" s="1" t="s">
        <v>33</v>
      </c>
    </row>
    <row r="752" spans="1:23" x14ac:dyDescent="0.35">
      <c r="A752" s="1" t="s">
        <v>1691</v>
      </c>
      <c r="B752" s="1" t="s">
        <v>729</v>
      </c>
      <c r="C752">
        <v>31</v>
      </c>
      <c r="D752" s="1" t="s">
        <v>119</v>
      </c>
      <c r="E752" s="1" t="s">
        <v>112</v>
      </c>
      <c r="F752" s="1" t="s">
        <v>27</v>
      </c>
      <c r="G752" s="1" t="s">
        <v>378</v>
      </c>
      <c r="H752" s="2">
        <v>45520</v>
      </c>
      <c r="I752" s="1" t="s">
        <v>173</v>
      </c>
      <c r="J752" s="1" t="s">
        <v>54</v>
      </c>
      <c r="K752" s="1" t="s">
        <v>81</v>
      </c>
      <c r="L752" s="1" t="s">
        <v>33</v>
      </c>
      <c r="M752" s="1" t="s">
        <v>45</v>
      </c>
      <c r="N752">
        <v>154653.76999999999</v>
      </c>
      <c r="O752">
        <v>0</v>
      </c>
      <c r="P752">
        <v>20469.53</v>
      </c>
      <c r="Q752">
        <v>1</v>
      </c>
      <c r="R752">
        <v>9</v>
      </c>
      <c r="S752">
        <v>3.2</v>
      </c>
      <c r="T752" s="1" t="s">
        <v>46</v>
      </c>
      <c r="U752" s="1" t="s">
        <v>95</v>
      </c>
      <c r="V752" s="1" t="s">
        <v>47</v>
      </c>
      <c r="W752" s="1" t="s">
        <v>33</v>
      </c>
    </row>
    <row r="753" spans="1:23" x14ac:dyDescent="0.35">
      <c r="A753" s="1" t="s">
        <v>1692</v>
      </c>
      <c r="B753" s="1" t="s">
        <v>494</v>
      </c>
      <c r="C753">
        <v>7</v>
      </c>
      <c r="D753" s="1" t="s">
        <v>71</v>
      </c>
      <c r="E753" s="1" t="s">
        <v>177</v>
      </c>
      <c r="F753" s="1" t="s">
        <v>145</v>
      </c>
      <c r="G753" s="1" t="s">
        <v>707</v>
      </c>
      <c r="H753" s="2">
        <v>45926</v>
      </c>
      <c r="I753" s="1" t="s">
        <v>168</v>
      </c>
      <c r="J753" s="1" t="s">
        <v>33</v>
      </c>
      <c r="K753" s="1" t="s">
        <v>31</v>
      </c>
      <c r="L753" s="1" t="s">
        <v>66</v>
      </c>
      <c r="M753" s="1" t="s">
        <v>169</v>
      </c>
      <c r="N753">
        <v>503162.63</v>
      </c>
      <c r="O753">
        <v>61313.52</v>
      </c>
      <c r="P753">
        <v>21629.42</v>
      </c>
      <c r="Q753">
        <v>1</v>
      </c>
      <c r="R753">
        <v>115</v>
      </c>
      <c r="S753">
        <v>4.2</v>
      </c>
      <c r="T753" s="1" t="s">
        <v>154</v>
      </c>
      <c r="U753" s="1" t="s">
        <v>58</v>
      </c>
      <c r="V753" s="1" t="s">
        <v>33</v>
      </c>
      <c r="W753" s="1" t="s">
        <v>33</v>
      </c>
    </row>
    <row r="754" spans="1:23" x14ac:dyDescent="0.35">
      <c r="A754" s="1" t="s">
        <v>1693</v>
      </c>
      <c r="B754" s="1" t="s">
        <v>723</v>
      </c>
      <c r="C754">
        <v>24</v>
      </c>
      <c r="D754" s="1" t="s">
        <v>50</v>
      </c>
      <c r="E754" s="1" t="s">
        <v>112</v>
      </c>
      <c r="F754" s="1" t="s">
        <v>27</v>
      </c>
      <c r="G754" s="1" t="s">
        <v>1141</v>
      </c>
      <c r="H754" s="2">
        <v>46024</v>
      </c>
      <c r="I754" s="1" t="s">
        <v>221</v>
      </c>
      <c r="J754" s="1" t="s">
        <v>141</v>
      </c>
      <c r="K754" s="1" t="s">
        <v>33</v>
      </c>
      <c r="L754" s="1" t="s">
        <v>56</v>
      </c>
      <c r="M754" s="1" t="s">
        <v>45</v>
      </c>
      <c r="N754">
        <v>372894.95</v>
      </c>
      <c r="O754">
        <v>16302.37</v>
      </c>
      <c r="P754">
        <v>4924.13</v>
      </c>
      <c r="Q754">
        <v>7</v>
      </c>
      <c r="R754">
        <v>149</v>
      </c>
      <c r="S754">
        <v>5</v>
      </c>
      <c r="T754" s="1" t="s">
        <v>154</v>
      </c>
      <c r="U754" s="1" t="s">
        <v>33</v>
      </c>
      <c r="V754" s="1" t="s">
        <v>102</v>
      </c>
      <c r="W754" s="1" t="s">
        <v>59</v>
      </c>
    </row>
    <row r="755" spans="1:23" x14ac:dyDescent="0.35">
      <c r="A755" s="1" t="s">
        <v>1694</v>
      </c>
      <c r="B755" s="1" t="s">
        <v>587</v>
      </c>
      <c r="C755">
        <v>16</v>
      </c>
      <c r="D755" s="1" t="s">
        <v>50</v>
      </c>
      <c r="E755" s="1" t="s">
        <v>177</v>
      </c>
      <c r="F755" s="1" t="s">
        <v>87</v>
      </c>
      <c r="G755" s="1" t="s">
        <v>1695</v>
      </c>
      <c r="H755" s="2">
        <v>45542</v>
      </c>
      <c r="I755" s="1" t="s">
        <v>127</v>
      </c>
      <c r="J755" s="1" t="s">
        <v>80</v>
      </c>
      <c r="K755" s="1" t="s">
        <v>208</v>
      </c>
      <c r="L755" s="1" t="s">
        <v>92</v>
      </c>
      <c r="M755" s="1" t="s">
        <v>33</v>
      </c>
      <c r="N755">
        <v>317848.76</v>
      </c>
      <c r="O755">
        <v>19754.97</v>
      </c>
      <c r="P755">
        <v>68500.759999999995</v>
      </c>
      <c r="Q755">
        <v>19</v>
      </c>
      <c r="R755">
        <v>0</v>
      </c>
      <c r="S755">
        <v>2.1</v>
      </c>
      <c r="T755" s="1" t="s">
        <v>33</v>
      </c>
      <c r="U755" s="1" t="s">
        <v>101</v>
      </c>
      <c r="V755" s="1" t="s">
        <v>33</v>
      </c>
      <c r="W755" s="1" t="s">
        <v>83</v>
      </c>
    </row>
    <row r="756" spans="1:23" x14ac:dyDescent="0.35">
      <c r="A756" s="1" t="s">
        <v>1696</v>
      </c>
      <c r="B756" s="1" t="s">
        <v>275</v>
      </c>
      <c r="C756">
        <v>44</v>
      </c>
      <c r="D756" s="1" t="s">
        <v>33</v>
      </c>
      <c r="E756" s="1" t="s">
        <v>40</v>
      </c>
      <c r="F756" s="1" t="s">
        <v>56</v>
      </c>
      <c r="G756" s="1" t="s">
        <v>1697</v>
      </c>
      <c r="H756" s="2">
        <v>46083</v>
      </c>
      <c r="I756" s="1" t="s">
        <v>53</v>
      </c>
      <c r="J756" s="1" t="s">
        <v>242</v>
      </c>
      <c r="K756" s="1" t="s">
        <v>33</v>
      </c>
      <c r="L756" s="1" t="s">
        <v>44</v>
      </c>
      <c r="M756" s="1" t="s">
        <v>123</v>
      </c>
      <c r="N756">
        <v>130248.62</v>
      </c>
      <c r="O756">
        <v>46476.36</v>
      </c>
      <c r="P756">
        <v>75806.84</v>
      </c>
      <c r="Q756">
        <v>1</v>
      </c>
      <c r="R756">
        <v>139</v>
      </c>
      <c r="S756">
        <v>5</v>
      </c>
      <c r="T756" s="1" t="s">
        <v>33</v>
      </c>
      <c r="U756" s="1" t="s">
        <v>33</v>
      </c>
      <c r="V756" s="1" t="s">
        <v>102</v>
      </c>
      <c r="W756" s="1" t="s">
        <v>131</v>
      </c>
    </row>
    <row r="757" spans="1:23" x14ac:dyDescent="0.35">
      <c r="A757" s="1" t="s">
        <v>1698</v>
      </c>
      <c r="B757" s="1" t="s">
        <v>605</v>
      </c>
      <c r="C757">
        <v>16</v>
      </c>
      <c r="D757" s="1" t="s">
        <v>33</v>
      </c>
      <c r="E757" s="1" t="s">
        <v>134</v>
      </c>
      <c r="F757" s="1" t="s">
        <v>193</v>
      </c>
      <c r="G757" s="1" t="s">
        <v>1108</v>
      </c>
      <c r="H757" s="2">
        <v>45411</v>
      </c>
      <c r="I757" s="1" t="s">
        <v>100</v>
      </c>
      <c r="J757" s="1" t="s">
        <v>33</v>
      </c>
      <c r="K757" s="1" t="s">
        <v>208</v>
      </c>
      <c r="L757" s="1" t="s">
        <v>33</v>
      </c>
      <c r="M757" s="1" t="s">
        <v>142</v>
      </c>
      <c r="N757">
        <v>410872.71</v>
      </c>
      <c r="O757">
        <v>14871.09</v>
      </c>
      <c r="P757">
        <v>72312.55</v>
      </c>
      <c r="Q757">
        <v>4</v>
      </c>
      <c r="R757">
        <v>213</v>
      </c>
      <c r="S757">
        <v>4.3</v>
      </c>
      <c r="T757" s="1" t="s">
        <v>34</v>
      </c>
      <c r="U757" s="1" t="s">
        <v>58</v>
      </c>
      <c r="V757" s="1" t="s">
        <v>68</v>
      </c>
      <c r="W757" s="1" t="s">
        <v>33</v>
      </c>
    </row>
    <row r="758" spans="1:23" x14ac:dyDescent="0.35">
      <c r="A758" s="1" t="s">
        <v>1699</v>
      </c>
      <c r="B758" s="1" t="s">
        <v>262</v>
      </c>
      <c r="C758">
        <v>22</v>
      </c>
      <c r="D758" s="1" t="s">
        <v>33</v>
      </c>
      <c r="E758" s="1" t="s">
        <v>134</v>
      </c>
      <c r="F758" s="1" t="s">
        <v>87</v>
      </c>
      <c r="G758" s="1" t="s">
        <v>1700</v>
      </c>
      <c r="H758" s="2">
        <v>45973</v>
      </c>
      <c r="I758" s="1" t="s">
        <v>53</v>
      </c>
      <c r="J758" s="1" t="s">
        <v>65</v>
      </c>
      <c r="K758" s="1" t="s">
        <v>55</v>
      </c>
      <c r="L758" s="1" t="s">
        <v>33</v>
      </c>
      <c r="M758" s="1" t="s">
        <v>93</v>
      </c>
      <c r="N758">
        <v>405184.23</v>
      </c>
      <c r="O758">
        <v>25771.93</v>
      </c>
      <c r="P758">
        <v>47387.21</v>
      </c>
      <c r="Q758">
        <v>1</v>
      </c>
      <c r="R758">
        <v>151</v>
      </c>
      <c r="S758">
        <v>4.5999999999999996</v>
      </c>
      <c r="T758" s="1" t="s">
        <v>94</v>
      </c>
      <c r="U758" s="1" t="s">
        <v>58</v>
      </c>
      <c r="V758" s="1" t="s">
        <v>164</v>
      </c>
      <c r="W758" s="1" t="s">
        <v>33</v>
      </c>
    </row>
    <row r="759" spans="1:23" x14ac:dyDescent="0.35">
      <c r="A759" s="1" t="s">
        <v>1701</v>
      </c>
      <c r="B759" s="1" t="s">
        <v>860</v>
      </c>
      <c r="C759">
        <v>38</v>
      </c>
      <c r="D759" s="1" t="s">
        <v>33</v>
      </c>
      <c r="E759" s="1" t="s">
        <v>40</v>
      </c>
      <c r="F759" s="1" t="s">
        <v>193</v>
      </c>
      <c r="G759" s="1" t="s">
        <v>1702</v>
      </c>
      <c r="H759" s="2">
        <v>46120</v>
      </c>
      <c r="I759" s="1" t="s">
        <v>33</v>
      </c>
      <c r="J759" s="1" t="s">
        <v>30</v>
      </c>
      <c r="K759" s="1" t="s">
        <v>81</v>
      </c>
      <c r="L759" s="1" t="s">
        <v>56</v>
      </c>
      <c r="M759" s="1" t="s">
        <v>33</v>
      </c>
      <c r="N759">
        <v>176226.42</v>
      </c>
      <c r="O759">
        <v>51447.47</v>
      </c>
      <c r="P759">
        <v>61607.09</v>
      </c>
      <c r="Q759">
        <v>3</v>
      </c>
      <c r="R759">
        <v>75</v>
      </c>
      <c r="T759" s="1" t="s">
        <v>33</v>
      </c>
      <c r="U759" s="1" t="s">
        <v>35</v>
      </c>
      <c r="V759" s="1" t="s">
        <v>33</v>
      </c>
      <c r="W759" s="1" t="s">
        <v>33</v>
      </c>
    </row>
    <row r="760" spans="1:23" x14ac:dyDescent="0.35">
      <c r="A760" s="1" t="s">
        <v>1703</v>
      </c>
      <c r="B760" s="1" t="s">
        <v>156</v>
      </c>
      <c r="C760">
        <v>24</v>
      </c>
      <c r="D760" s="1" t="s">
        <v>25</v>
      </c>
      <c r="E760" s="1" t="s">
        <v>157</v>
      </c>
      <c r="F760" s="1" t="s">
        <v>120</v>
      </c>
      <c r="G760" s="1" t="s">
        <v>1704</v>
      </c>
      <c r="H760" s="2">
        <v>45404</v>
      </c>
      <c r="I760" s="1" t="s">
        <v>257</v>
      </c>
      <c r="J760" s="1" t="s">
        <v>152</v>
      </c>
      <c r="K760" s="1" t="s">
        <v>81</v>
      </c>
      <c r="L760" s="1" t="s">
        <v>33</v>
      </c>
      <c r="M760" s="1" t="s">
        <v>33</v>
      </c>
      <c r="N760">
        <v>113744.1</v>
      </c>
      <c r="O760">
        <v>5531.48</v>
      </c>
      <c r="P760">
        <v>36827.699999999997</v>
      </c>
      <c r="Q760">
        <v>2</v>
      </c>
      <c r="R760">
        <v>187</v>
      </c>
      <c r="S760">
        <v>2.7</v>
      </c>
      <c r="T760" s="1" t="s">
        <v>94</v>
      </c>
      <c r="U760" s="1" t="s">
        <v>33</v>
      </c>
      <c r="V760" s="1" t="s">
        <v>33</v>
      </c>
      <c r="W760" s="1" t="s">
        <v>36</v>
      </c>
    </row>
    <row r="761" spans="1:23" x14ac:dyDescent="0.35">
      <c r="A761" s="1" t="s">
        <v>1705</v>
      </c>
      <c r="B761" s="1" t="s">
        <v>660</v>
      </c>
      <c r="C761">
        <v>28</v>
      </c>
      <c r="D761" s="1" t="s">
        <v>39</v>
      </c>
      <c r="E761" s="1" t="s">
        <v>26</v>
      </c>
      <c r="F761" s="1" t="s">
        <v>108</v>
      </c>
      <c r="G761" s="1" t="s">
        <v>1706</v>
      </c>
      <c r="H761" s="2">
        <v>46119</v>
      </c>
      <c r="I761" s="1" t="s">
        <v>100</v>
      </c>
      <c r="J761" s="1" t="s">
        <v>141</v>
      </c>
      <c r="K761" s="1" t="s">
        <v>116</v>
      </c>
      <c r="L761" s="1" t="s">
        <v>66</v>
      </c>
      <c r="M761" s="1" t="s">
        <v>57</v>
      </c>
      <c r="N761">
        <v>183556.73</v>
      </c>
      <c r="O761">
        <v>0</v>
      </c>
      <c r="P761">
        <v>38383.85</v>
      </c>
      <c r="Q761">
        <v>3</v>
      </c>
      <c r="R761">
        <v>80</v>
      </c>
      <c r="S761">
        <v>4.4000000000000004</v>
      </c>
      <c r="T761" s="1" t="s">
        <v>94</v>
      </c>
      <c r="U761" s="1" t="s">
        <v>33</v>
      </c>
      <c r="V761" s="1" t="s">
        <v>130</v>
      </c>
      <c r="W761" s="1" t="s">
        <v>33</v>
      </c>
    </row>
    <row r="762" spans="1:23" x14ac:dyDescent="0.35">
      <c r="A762" s="1" t="s">
        <v>1707</v>
      </c>
      <c r="B762" s="1" t="s">
        <v>1090</v>
      </c>
      <c r="C762">
        <v>16</v>
      </c>
      <c r="D762" s="1" t="s">
        <v>119</v>
      </c>
      <c r="E762" s="1" t="s">
        <v>72</v>
      </c>
      <c r="F762" s="1" t="s">
        <v>41</v>
      </c>
      <c r="G762" s="1" t="s">
        <v>372</v>
      </c>
      <c r="H762" s="2">
        <v>46097</v>
      </c>
      <c r="I762" s="1" t="s">
        <v>29</v>
      </c>
      <c r="J762" s="1" t="s">
        <v>43</v>
      </c>
      <c r="K762" s="1" t="s">
        <v>33</v>
      </c>
      <c r="L762" s="1" t="s">
        <v>32</v>
      </c>
      <c r="M762" s="1" t="s">
        <v>183</v>
      </c>
      <c r="N762">
        <v>371787.75</v>
      </c>
      <c r="O762">
        <v>35257.58</v>
      </c>
      <c r="P762">
        <v>50951.81</v>
      </c>
      <c r="Q762">
        <v>3</v>
      </c>
      <c r="R762">
        <v>94</v>
      </c>
      <c r="S762">
        <v>3</v>
      </c>
      <c r="T762" s="1" t="s">
        <v>46</v>
      </c>
      <c r="U762" s="1" t="s">
        <v>67</v>
      </c>
      <c r="V762" s="1" t="s">
        <v>33</v>
      </c>
      <c r="W762" s="1" t="s">
        <v>103</v>
      </c>
    </row>
    <row r="763" spans="1:23" x14ac:dyDescent="0.35">
      <c r="A763" s="1" t="s">
        <v>1708</v>
      </c>
      <c r="B763" s="1" t="s">
        <v>446</v>
      </c>
      <c r="C763">
        <v>53</v>
      </c>
      <c r="D763" s="1" t="s">
        <v>106</v>
      </c>
      <c r="E763" s="1" t="s">
        <v>107</v>
      </c>
      <c r="F763" s="1" t="s">
        <v>120</v>
      </c>
      <c r="G763" s="1" t="s">
        <v>1709</v>
      </c>
      <c r="H763" s="2">
        <v>45528</v>
      </c>
      <c r="I763" s="1" t="s">
        <v>221</v>
      </c>
      <c r="J763" s="1" t="s">
        <v>65</v>
      </c>
      <c r="K763" s="1" t="s">
        <v>128</v>
      </c>
      <c r="L763" s="1" t="s">
        <v>66</v>
      </c>
      <c r="M763" s="1" t="s">
        <v>82</v>
      </c>
      <c r="N763">
        <v>0</v>
      </c>
      <c r="O763">
        <v>16530.98</v>
      </c>
      <c r="P763">
        <v>37351.589999999997</v>
      </c>
      <c r="Q763">
        <v>3</v>
      </c>
      <c r="R763">
        <v>114</v>
      </c>
      <c r="S763">
        <v>5</v>
      </c>
      <c r="T763" s="1" t="s">
        <v>94</v>
      </c>
      <c r="U763" s="1" t="s">
        <v>149</v>
      </c>
      <c r="V763" s="1" t="s">
        <v>33</v>
      </c>
      <c r="W763" s="1" t="s">
        <v>59</v>
      </c>
    </row>
    <row r="764" spans="1:23" x14ac:dyDescent="0.35">
      <c r="A764" s="1" t="s">
        <v>1710</v>
      </c>
      <c r="B764" s="1" t="s">
        <v>24</v>
      </c>
      <c r="C764">
        <v>32</v>
      </c>
      <c r="D764" s="1" t="s">
        <v>106</v>
      </c>
      <c r="E764" s="1" t="s">
        <v>26</v>
      </c>
      <c r="F764" s="1" t="s">
        <v>120</v>
      </c>
      <c r="G764" s="1" t="s">
        <v>678</v>
      </c>
      <c r="H764" s="2">
        <v>45465</v>
      </c>
      <c r="I764" s="1" t="s">
        <v>159</v>
      </c>
      <c r="J764" s="1" t="s">
        <v>90</v>
      </c>
      <c r="K764" s="1" t="s">
        <v>153</v>
      </c>
      <c r="L764" s="1" t="s">
        <v>92</v>
      </c>
      <c r="M764" s="1" t="s">
        <v>33</v>
      </c>
      <c r="N764">
        <v>148245.22</v>
      </c>
      <c r="O764">
        <v>9961.81</v>
      </c>
      <c r="P764">
        <v>34584.410000000003</v>
      </c>
      <c r="Q764">
        <v>1</v>
      </c>
      <c r="R764">
        <v>152</v>
      </c>
      <c r="S764">
        <v>2.2999999999999998</v>
      </c>
      <c r="T764" s="1" t="s">
        <v>33</v>
      </c>
      <c r="U764" s="1" t="s">
        <v>58</v>
      </c>
      <c r="V764" s="1" t="s">
        <v>102</v>
      </c>
      <c r="W764" s="1" t="s">
        <v>179</v>
      </c>
    </row>
    <row r="765" spans="1:23" x14ac:dyDescent="0.35">
      <c r="A765" s="1" t="s">
        <v>1711</v>
      </c>
      <c r="B765" s="1" t="s">
        <v>291</v>
      </c>
      <c r="C765">
        <v>5</v>
      </c>
      <c r="D765" s="1" t="s">
        <v>50</v>
      </c>
      <c r="E765" s="1" t="s">
        <v>177</v>
      </c>
      <c r="F765" s="1" t="s">
        <v>27</v>
      </c>
      <c r="G765" s="1" t="s">
        <v>748</v>
      </c>
      <c r="H765" s="2">
        <v>46168</v>
      </c>
      <c r="I765" s="1" t="s">
        <v>235</v>
      </c>
      <c r="J765" s="1" t="s">
        <v>54</v>
      </c>
      <c r="K765" s="1" t="s">
        <v>122</v>
      </c>
      <c r="L765" s="1" t="s">
        <v>56</v>
      </c>
      <c r="M765" s="1" t="s">
        <v>45</v>
      </c>
      <c r="N765">
        <v>141412.68</v>
      </c>
      <c r="O765">
        <v>21762.77</v>
      </c>
      <c r="P765">
        <v>95245.79</v>
      </c>
      <c r="Q765">
        <v>4</v>
      </c>
      <c r="R765">
        <v>74</v>
      </c>
      <c r="S765">
        <v>0.8</v>
      </c>
      <c r="T765" s="1" t="s">
        <v>94</v>
      </c>
      <c r="U765" s="1" t="s">
        <v>35</v>
      </c>
      <c r="V765" s="1" t="s">
        <v>164</v>
      </c>
      <c r="W765" s="1" t="s">
        <v>131</v>
      </c>
    </row>
    <row r="766" spans="1:23" x14ac:dyDescent="0.35">
      <c r="A766" s="1" t="s">
        <v>1712</v>
      </c>
      <c r="B766" s="1" t="s">
        <v>1505</v>
      </c>
      <c r="C766">
        <v>43</v>
      </c>
      <c r="D766" s="1" t="s">
        <v>33</v>
      </c>
      <c r="E766" s="1" t="s">
        <v>40</v>
      </c>
      <c r="F766" s="1" t="s">
        <v>33</v>
      </c>
      <c r="G766" s="1" t="s">
        <v>1713</v>
      </c>
      <c r="H766" s="2">
        <v>45319</v>
      </c>
      <c r="I766" s="1" t="s">
        <v>257</v>
      </c>
      <c r="J766" s="1" t="s">
        <v>30</v>
      </c>
      <c r="K766" s="1" t="s">
        <v>31</v>
      </c>
      <c r="L766" s="1" t="s">
        <v>56</v>
      </c>
      <c r="M766" s="1" t="s">
        <v>33</v>
      </c>
      <c r="N766">
        <v>305927.92</v>
      </c>
      <c r="O766">
        <v>39386.400000000001</v>
      </c>
      <c r="P766">
        <v>50027.1</v>
      </c>
      <c r="Q766">
        <v>1</v>
      </c>
      <c r="R766">
        <v>182</v>
      </c>
      <c r="S766">
        <v>3</v>
      </c>
      <c r="T766" s="1" t="s">
        <v>94</v>
      </c>
      <c r="U766" s="1" t="s">
        <v>101</v>
      </c>
      <c r="V766" s="1" t="s">
        <v>102</v>
      </c>
      <c r="W766" s="1" t="s">
        <v>36</v>
      </c>
    </row>
    <row r="767" spans="1:23" x14ac:dyDescent="0.35">
      <c r="A767" s="1" t="s">
        <v>1714</v>
      </c>
      <c r="B767" s="1" t="s">
        <v>840</v>
      </c>
      <c r="C767">
        <v>7</v>
      </c>
      <c r="D767" s="1" t="s">
        <v>71</v>
      </c>
      <c r="E767" s="1" t="s">
        <v>134</v>
      </c>
      <c r="F767" s="1" t="s">
        <v>135</v>
      </c>
      <c r="G767" s="1" t="s">
        <v>1715</v>
      </c>
      <c r="H767" s="2">
        <v>45878</v>
      </c>
      <c r="I767" s="1" t="s">
        <v>33</v>
      </c>
      <c r="J767" s="1" t="s">
        <v>90</v>
      </c>
      <c r="K767" s="1" t="s">
        <v>128</v>
      </c>
      <c r="L767" s="1" t="s">
        <v>33</v>
      </c>
      <c r="M767" s="1" t="s">
        <v>82</v>
      </c>
      <c r="N767">
        <v>93307.3</v>
      </c>
      <c r="O767">
        <v>0</v>
      </c>
      <c r="P767">
        <v>36754.639999999999</v>
      </c>
      <c r="Q767">
        <v>5</v>
      </c>
      <c r="R767">
        <v>91</v>
      </c>
      <c r="S767">
        <v>3.8</v>
      </c>
      <c r="T767" s="1" t="s">
        <v>154</v>
      </c>
      <c r="U767" s="1" t="s">
        <v>58</v>
      </c>
      <c r="V767" s="1" t="s">
        <v>47</v>
      </c>
      <c r="W767" s="1" t="s">
        <v>12</v>
      </c>
    </row>
    <row r="768" spans="1:23" x14ac:dyDescent="0.35">
      <c r="A768" s="1" t="s">
        <v>1716</v>
      </c>
      <c r="B768" s="1" t="s">
        <v>491</v>
      </c>
      <c r="C768">
        <v>22</v>
      </c>
      <c r="D768" s="1" t="s">
        <v>78</v>
      </c>
      <c r="E768" s="1" t="s">
        <v>72</v>
      </c>
      <c r="F768" s="1" t="s">
        <v>33</v>
      </c>
      <c r="G768" s="1" t="s">
        <v>1378</v>
      </c>
      <c r="H768" s="2">
        <v>46004</v>
      </c>
      <c r="I768" s="1" t="s">
        <v>257</v>
      </c>
      <c r="J768" s="1" t="s">
        <v>43</v>
      </c>
      <c r="K768" s="1" t="s">
        <v>174</v>
      </c>
      <c r="L768" s="1" t="s">
        <v>92</v>
      </c>
      <c r="M768" s="1" t="s">
        <v>45</v>
      </c>
      <c r="N768">
        <v>193366.28</v>
      </c>
      <c r="O768">
        <v>0</v>
      </c>
      <c r="P768">
        <v>85896.87</v>
      </c>
      <c r="Q768">
        <v>3</v>
      </c>
      <c r="R768">
        <v>72</v>
      </c>
      <c r="S768">
        <v>3.1</v>
      </c>
      <c r="T768" s="1" t="s">
        <v>33</v>
      </c>
      <c r="U768" s="1" t="s">
        <v>33</v>
      </c>
      <c r="V768" s="1" t="s">
        <v>47</v>
      </c>
      <c r="W768" s="1" t="s">
        <v>131</v>
      </c>
    </row>
    <row r="769" spans="1:23" x14ac:dyDescent="0.35">
      <c r="A769" s="1" t="s">
        <v>1717</v>
      </c>
      <c r="B769" s="1" t="s">
        <v>1718</v>
      </c>
      <c r="C769">
        <v>15</v>
      </c>
      <c r="D769" s="1" t="s">
        <v>33</v>
      </c>
      <c r="E769" s="1" t="s">
        <v>263</v>
      </c>
      <c r="F769" s="1" t="s">
        <v>193</v>
      </c>
      <c r="G769" s="1" t="s">
        <v>1095</v>
      </c>
      <c r="H769" s="2">
        <v>45530</v>
      </c>
      <c r="I769" s="1" t="s">
        <v>53</v>
      </c>
      <c r="J769" s="1" t="s">
        <v>137</v>
      </c>
      <c r="K769" s="1" t="s">
        <v>81</v>
      </c>
      <c r="L769" s="1" t="s">
        <v>56</v>
      </c>
      <c r="M769" s="1" t="s">
        <v>142</v>
      </c>
      <c r="N769">
        <v>62417.8</v>
      </c>
      <c r="O769">
        <v>2594.4899999999998</v>
      </c>
      <c r="P769">
        <v>42963.86</v>
      </c>
      <c r="Q769">
        <v>9</v>
      </c>
      <c r="R769">
        <v>127</v>
      </c>
      <c r="S769">
        <v>4.7</v>
      </c>
      <c r="T769" s="1" t="s">
        <v>34</v>
      </c>
      <c r="U769" s="1" t="s">
        <v>33</v>
      </c>
      <c r="V769" s="1" t="s">
        <v>75</v>
      </c>
      <c r="W769" s="1" t="s">
        <v>83</v>
      </c>
    </row>
    <row r="770" spans="1:23" x14ac:dyDescent="0.35">
      <c r="A770" s="1" t="s">
        <v>1719</v>
      </c>
      <c r="B770" s="1" t="s">
        <v>1720</v>
      </c>
      <c r="C770">
        <v>0</v>
      </c>
      <c r="D770" s="1" t="s">
        <v>25</v>
      </c>
      <c r="E770" s="1" t="s">
        <v>219</v>
      </c>
      <c r="F770" s="1" t="s">
        <v>120</v>
      </c>
      <c r="G770" s="1" t="s">
        <v>1029</v>
      </c>
      <c r="H770" s="2">
        <v>45462</v>
      </c>
      <c r="I770" s="1" t="s">
        <v>29</v>
      </c>
      <c r="J770" s="1" t="s">
        <v>90</v>
      </c>
      <c r="K770" s="1" t="s">
        <v>153</v>
      </c>
      <c r="L770" s="1" t="s">
        <v>33</v>
      </c>
      <c r="M770" s="1" t="s">
        <v>169</v>
      </c>
      <c r="N770">
        <v>305222.98</v>
      </c>
      <c r="O770">
        <v>16071.74</v>
      </c>
      <c r="P770">
        <v>27407.55</v>
      </c>
      <c r="Q770">
        <v>19</v>
      </c>
      <c r="R770">
        <v>48</v>
      </c>
      <c r="S770">
        <v>2.5</v>
      </c>
      <c r="T770" s="1" t="s">
        <v>154</v>
      </c>
      <c r="U770" s="1" t="s">
        <v>33</v>
      </c>
      <c r="V770" s="1" t="s">
        <v>33</v>
      </c>
      <c r="W770" s="1" t="s">
        <v>83</v>
      </c>
    </row>
    <row r="771" spans="1:23" x14ac:dyDescent="0.35">
      <c r="A771" s="1" t="s">
        <v>1721</v>
      </c>
      <c r="B771" s="1" t="s">
        <v>580</v>
      </c>
      <c r="C771">
        <v>61</v>
      </c>
      <c r="D771" s="1" t="s">
        <v>39</v>
      </c>
      <c r="E771" s="1" t="s">
        <v>177</v>
      </c>
      <c r="F771" s="1" t="s">
        <v>98</v>
      </c>
      <c r="G771" s="1" t="s">
        <v>1722</v>
      </c>
      <c r="H771" s="2">
        <v>45885</v>
      </c>
      <c r="I771" s="1" t="s">
        <v>235</v>
      </c>
      <c r="J771" s="1" t="s">
        <v>33</v>
      </c>
      <c r="K771" s="1" t="s">
        <v>148</v>
      </c>
      <c r="L771" s="1" t="s">
        <v>92</v>
      </c>
      <c r="M771" s="1" t="s">
        <v>169</v>
      </c>
      <c r="N771">
        <v>223247.44</v>
      </c>
      <c r="O771">
        <v>63775.39</v>
      </c>
      <c r="P771">
        <v>0</v>
      </c>
      <c r="Q771">
        <v>10</v>
      </c>
      <c r="R771">
        <v>0</v>
      </c>
      <c r="S771">
        <v>0.9</v>
      </c>
      <c r="T771" s="1" t="s">
        <v>33</v>
      </c>
      <c r="U771" s="1" t="s">
        <v>67</v>
      </c>
      <c r="V771" s="1" t="s">
        <v>75</v>
      </c>
      <c r="W771" s="1" t="s">
        <v>131</v>
      </c>
    </row>
    <row r="772" spans="1:23" x14ac:dyDescent="0.35">
      <c r="A772" s="1" t="s">
        <v>1723</v>
      </c>
      <c r="B772" s="1" t="s">
        <v>709</v>
      </c>
      <c r="C772">
        <v>46</v>
      </c>
      <c r="D772" s="1" t="s">
        <v>78</v>
      </c>
      <c r="E772" s="1" t="s">
        <v>192</v>
      </c>
      <c r="F772" s="1" t="s">
        <v>44</v>
      </c>
      <c r="G772" s="1" t="s">
        <v>1395</v>
      </c>
      <c r="H772" s="2">
        <v>46085</v>
      </c>
      <c r="I772" s="1" t="s">
        <v>33</v>
      </c>
      <c r="J772" s="1" t="s">
        <v>80</v>
      </c>
      <c r="K772" s="1" t="s">
        <v>55</v>
      </c>
      <c r="L772" s="1" t="s">
        <v>66</v>
      </c>
      <c r="M772" s="1" t="s">
        <v>57</v>
      </c>
      <c r="N772">
        <v>234400.2</v>
      </c>
      <c r="O772">
        <v>33733.550000000003</v>
      </c>
      <c r="P772">
        <v>2668.3</v>
      </c>
      <c r="Q772">
        <v>1</v>
      </c>
      <c r="R772">
        <v>155</v>
      </c>
      <c r="S772">
        <v>4</v>
      </c>
      <c r="T772" s="1" t="s">
        <v>154</v>
      </c>
      <c r="U772" s="1" t="s">
        <v>33</v>
      </c>
      <c r="V772" s="1" t="s">
        <v>33</v>
      </c>
      <c r="W772" s="1" t="s">
        <v>179</v>
      </c>
    </row>
    <row r="773" spans="1:23" x14ac:dyDescent="0.35">
      <c r="A773" s="1" t="s">
        <v>1724</v>
      </c>
      <c r="B773" s="1" t="s">
        <v>768</v>
      </c>
      <c r="C773">
        <v>1</v>
      </c>
      <c r="D773" s="1" t="s">
        <v>50</v>
      </c>
      <c r="E773" s="1" t="s">
        <v>33</v>
      </c>
      <c r="F773" s="1" t="s">
        <v>120</v>
      </c>
      <c r="G773" s="1" t="s">
        <v>1725</v>
      </c>
      <c r="H773" s="2">
        <v>45737</v>
      </c>
      <c r="I773" s="1" t="s">
        <v>100</v>
      </c>
      <c r="J773" s="1" t="s">
        <v>242</v>
      </c>
      <c r="K773" s="1" t="s">
        <v>128</v>
      </c>
      <c r="L773" s="1" t="s">
        <v>32</v>
      </c>
      <c r="M773" s="1" t="s">
        <v>183</v>
      </c>
      <c r="N773">
        <v>263608.71999999997</v>
      </c>
      <c r="O773">
        <v>305.87</v>
      </c>
      <c r="P773">
        <v>33080.300000000003</v>
      </c>
      <c r="Q773">
        <v>5</v>
      </c>
      <c r="R773">
        <v>135</v>
      </c>
      <c r="S773">
        <v>3.8</v>
      </c>
      <c r="T773" s="1" t="s">
        <v>34</v>
      </c>
      <c r="U773" s="1" t="s">
        <v>35</v>
      </c>
      <c r="V773" s="1" t="s">
        <v>47</v>
      </c>
      <c r="W773" s="1" t="s">
        <v>33</v>
      </c>
    </row>
    <row r="774" spans="1:23" x14ac:dyDescent="0.35">
      <c r="A774" s="1" t="s">
        <v>1726</v>
      </c>
      <c r="B774" s="1" t="s">
        <v>1720</v>
      </c>
      <c r="C774">
        <v>43</v>
      </c>
      <c r="D774" s="1" t="s">
        <v>25</v>
      </c>
      <c r="E774" s="1" t="s">
        <v>192</v>
      </c>
      <c r="F774" s="1" t="s">
        <v>44</v>
      </c>
      <c r="G774" s="1" t="s">
        <v>872</v>
      </c>
      <c r="H774" s="2">
        <v>45675</v>
      </c>
      <c r="I774" s="1" t="s">
        <v>33</v>
      </c>
      <c r="J774" s="1" t="s">
        <v>141</v>
      </c>
      <c r="K774" s="1" t="s">
        <v>148</v>
      </c>
      <c r="L774" s="1" t="s">
        <v>66</v>
      </c>
      <c r="M774" s="1" t="s">
        <v>129</v>
      </c>
      <c r="N774">
        <v>5585.06</v>
      </c>
      <c r="O774">
        <v>58756.68</v>
      </c>
      <c r="P774">
        <v>38841.480000000003</v>
      </c>
      <c r="Q774">
        <v>1</v>
      </c>
      <c r="R774">
        <v>178</v>
      </c>
      <c r="S774">
        <v>3</v>
      </c>
      <c r="T774" s="1" t="s">
        <v>46</v>
      </c>
      <c r="U774" s="1" t="s">
        <v>95</v>
      </c>
      <c r="V774" s="1" t="s">
        <v>47</v>
      </c>
      <c r="W774" s="1" t="s">
        <v>131</v>
      </c>
    </row>
    <row r="775" spans="1:23" x14ac:dyDescent="0.35">
      <c r="A775" s="1" t="s">
        <v>1727</v>
      </c>
      <c r="B775" s="1" t="s">
        <v>1601</v>
      </c>
      <c r="C775">
        <v>26</v>
      </c>
      <c r="D775" s="1" t="s">
        <v>78</v>
      </c>
      <c r="E775" s="1" t="s">
        <v>219</v>
      </c>
      <c r="F775" s="1" t="s">
        <v>193</v>
      </c>
      <c r="G775" s="1" t="s">
        <v>444</v>
      </c>
      <c r="H775" s="2">
        <v>46187</v>
      </c>
      <c r="I775" s="1" t="s">
        <v>100</v>
      </c>
      <c r="J775" s="1" t="s">
        <v>33</v>
      </c>
      <c r="K775" s="1" t="s">
        <v>91</v>
      </c>
      <c r="L775" s="1" t="s">
        <v>33</v>
      </c>
      <c r="M775" s="1" t="s">
        <v>45</v>
      </c>
      <c r="N775">
        <v>342664.35</v>
      </c>
      <c r="O775">
        <v>12264.22</v>
      </c>
      <c r="P775">
        <v>64337.86</v>
      </c>
      <c r="Q775">
        <v>2</v>
      </c>
      <c r="R775">
        <v>66</v>
      </c>
      <c r="S775">
        <v>1.1000000000000001</v>
      </c>
      <c r="T775" s="1" t="s">
        <v>33</v>
      </c>
      <c r="U775" s="1" t="s">
        <v>149</v>
      </c>
      <c r="V775" s="1" t="s">
        <v>33</v>
      </c>
      <c r="W775" s="1" t="s">
        <v>36</v>
      </c>
    </row>
    <row r="776" spans="1:23" x14ac:dyDescent="0.35">
      <c r="A776" s="1" t="s">
        <v>1728</v>
      </c>
      <c r="B776" s="1" t="s">
        <v>736</v>
      </c>
      <c r="C776">
        <v>17</v>
      </c>
      <c r="D776" s="1" t="s">
        <v>50</v>
      </c>
      <c r="E776" s="1" t="s">
        <v>157</v>
      </c>
      <c r="F776" s="1" t="s">
        <v>227</v>
      </c>
      <c r="G776" s="1" t="s">
        <v>1729</v>
      </c>
      <c r="H776" s="2">
        <v>45613</v>
      </c>
      <c r="I776" s="1" t="s">
        <v>100</v>
      </c>
      <c r="J776" s="1" t="s">
        <v>90</v>
      </c>
      <c r="K776" s="1" t="s">
        <v>174</v>
      </c>
      <c r="L776" s="1" t="s">
        <v>32</v>
      </c>
      <c r="M776" s="1" t="s">
        <v>57</v>
      </c>
      <c r="N776">
        <v>224746.38</v>
      </c>
      <c r="O776">
        <v>239.81</v>
      </c>
      <c r="P776">
        <v>72779.25</v>
      </c>
      <c r="Q776">
        <v>2</v>
      </c>
      <c r="R776">
        <v>88</v>
      </c>
      <c r="S776">
        <v>3.5</v>
      </c>
      <c r="T776" s="1" t="s">
        <v>154</v>
      </c>
      <c r="U776" s="1" t="s">
        <v>101</v>
      </c>
      <c r="V776" s="1" t="s">
        <v>102</v>
      </c>
      <c r="W776" s="1" t="s">
        <v>103</v>
      </c>
    </row>
    <row r="777" spans="1:23" x14ac:dyDescent="0.35">
      <c r="A777" s="1" t="s">
        <v>1730</v>
      </c>
      <c r="B777" s="1" t="s">
        <v>577</v>
      </c>
      <c r="C777">
        <v>64</v>
      </c>
      <c r="D777" s="1" t="s">
        <v>71</v>
      </c>
      <c r="E777" s="1" t="s">
        <v>219</v>
      </c>
      <c r="F777" s="1" t="s">
        <v>135</v>
      </c>
      <c r="G777" s="1" t="s">
        <v>1731</v>
      </c>
      <c r="H777" s="2">
        <v>45642</v>
      </c>
      <c r="I777" s="1" t="s">
        <v>257</v>
      </c>
      <c r="J777" s="1" t="s">
        <v>33</v>
      </c>
      <c r="K777" s="1" t="s">
        <v>91</v>
      </c>
      <c r="L777" s="1" t="s">
        <v>32</v>
      </c>
      <c r="M777" s="1" t="s">
        <v>129</v>
      </c>
      <c r="N777">
        <v>217186.17</v>
      </c>
      <c r="O777">
        <v>10719.99</v>
      </c>
      <c r="P777">
        <v>0</v>
      </c>
      <c r="Q777">
        <v>4</v>
      </c>
      <c r="R777">
        <v>43</v>
      </c>
      <c r="S777">
        <v>2.9</v>
      </c>
      <c r="T777" s="1" t="s">
        <v>33</v>
      </c>
      <c r="U777" s="1" t="s">
        <v>67</v>
      </c>
      <c r="V777" s="1" t="s">
        <v>130</v>
      </c>
      <c r="W777" s="1" t="s">
        <v>33</v>
      </c>
    </row>
    <row r="778" spans="1:23" x14ac:dyDescent="0.35">
      <c r="A778" s="1" t="s">
        <v>1732</v>
      </c>
      <c r="B778" s="1" t="s">
        <v>353</v>
      </c>
      <c r="C778">
        <v>35</v>
      </c>
      <c r="D778" s="1" t="s">
        <v>39</v>
      </c>
      <c r="E778" s="1" t="s">
        <v>112</v>
      </c>
      <c r="F778" s="1" t="s">
        <v>63</v>
      </c>
      <c r="G778" s="1" t="s">
        <v>1733</v>
      </c>
      <c r="H778" s="2">
        <v>45871</v>
      </c>
      <c r="I778" s="1" t="s">
        <v>235</v>
      </c>
      <c r="J778" s="1" t="s">
        <v>147</v>
      </c>
      <c r="K778" s="1" t="s">
        <v>91</v>
      </c>
      <c r="L778" s="1" t="s">
        <v>33</v>
      </c>
      <c r="M778" s="1" t="s">
        <v>183</v>
      </c>
      <c r="N778">
        <v>316310.62</v>
      </c>
      <c r="O778">
        <v>14675.42</v>
      </c>
      <c r="P778">
        <v>43288.76</v>
      </c>
      <c r="Q778">
        <v>3</v>
      </c>
      <c r="R778">
        <v>183</v>
      </c>
      <c r="S778">
        <v>4.0999999999999996</v>
      </c>
      <c r="T778" s="1" t="s">
        <v>154</v>
      </c>
      <c r="U778" s="1" t="s">
        <v>33</v>
      </c>
      <c r="V778" s="1" t="s">
        <v>33</v>
      </c>
      <c r="W778" s="1" t="s">
        <v>179</v>
      </c>
    </row>
    <row r="779" spans="1:23" x14ac:dyDescent="0.35">
      <c r="A779" s="1" t="s">
        <v>1734</v>
      </c>
      <c r="B779" s="1" t="s">
        <v>244</v>
      </c>
      <c r="C779">
        <v>29</v>
      </c>
      <c r="D779" s="1" t="s">
        <v>33</v>
      </c>
      <c r="E779" s="1" t="s">
        <v>107</v>
      </c>
      <c r="F779" s="1" t="s">
        <v>98</v>
      </c>
      <c r="G779" s="1" t="s">
        <v>1735</v>
      </c>
      <c r="H779" s="2">
        <v>45608</v>
      </c>
      <c r="I779" s="1" t="s">
        <v>53</v>
      </c>
      <c r="J779" s="1" t="s">
        <v>54</v>
      </c>
      <c r="K779" s="1" t="s">
        <v>33</v>
      </c>
      <c r="L779" s="1" t="s">
        <v>44</v>
      </c>
      <c r="M779" s="1" t="s">
        <v>183</v>
      </c>
      <c r="N779">
        <v>131347.6</v>
      </c>
      <c r="O779">
        <v>8734.67</v>
      </c>
      <c r="P779">
        <v>28769.79</v>
      </c>
      <c r="Q779">
        <v>3</v>
      </c>
      <c r="R779">
        <v>151</v>
      </c>
      <c r="S779">
        <v>3.4</v>
      </c>
      <c r="T779" s="1" t="s">
        <v>33</v>
      </c>
      <c r="U779" s="1" t="s">
        <v>58</v>
      </c>
      <c r="V779" s="1" t="s">
        <v>102</v>
      </c>
      <c r="W779" s="1" t="s">
        <v>103</v>
      </c>
    </row>
    <row r="780" spans="1:23" x14ac:dyDescent="0.35">
      <c r="A780" s="1" t="s">
        <v>1736</v>
      </c>
      <c r="B780" s="1" t="s">
        <v>1737</v>
      </c>
      <c r="C780">
        <v>81</v>
      </c>
      <c r="D780" s="1" t="s">
        <v>119</v>
      </c>
      <c r="E780" s="1" t="s">
        <v>134</v>
      </c>
      <c r="F780" s="1" t="s">
        <v>27</v>
      </c>
      <c r="G780" s="1" t="s">
        <v>546</v>
      </c>
      <c r="H780" s="2">
        <v>45843</v>
      </c>
      <c r="I780" s="1" t="s">
        <v>33</v>
      </c>
      <c r="J780" s="1" t="s">
        <v>54</v>
      </c>
      <c r="K780" s="1" t="s">
        <v>33</v>
      </c>
      <c r="L780" s="1" t="s">
        <v>32</v>
      </c>
      <c r="M780" s="1" t="s">
        <v>123</v>
      </c>
      <c r="N780">
        <v>264795.13</v>
      </c>
      <c r="O780">
        <v>0</v>
      </c>
      <c r="P780">
        <v>31744.53</v>
      </c>
      <c r="Q780">
        <v>1</v>
      </c>
      <c r="R780">
        <v>103</v>
      </c>
      <c r="S780">
        <v>5</v>
      </c>
      <c r="T780" s="1" t="s">
        <v>154</v>
      </c>
      <c r="U780" s="1" t="s">
        <v>95</v>
      </c>
      <c r="V780" s="1" t="s">
        <v>68</v>
      </c>
      <c r="W780" s="1" t="s">
        <v>131</v>
      </c>
    </row>
    <row r="781" spans="1:23" x14ac:dyDescent="0.35">
      <c r="A781" s="1" t="s">
        <v>1738</v>
      </c>
      <c r="B781" s="1" t="s">
        <v>781</v>
      </c>
      <c r="C781">
        <v>64</v>
      </c>
      <c r="D781" s="1" t="s">
        <v>119</v>
      </c>
      <c r="E781" s="1" t="s">
        <v>51</v>
      </c>
      <c r="F781" s="1" t="s">
        <v>87</v>
      </c>
      <c r="G781" s="1" t="s">
        <v>1739</v>
      </c>
      <c r="H781" s="2">
        <v>45877</v>
      </c>
      <c r="I781" s="1" t="s">
        <v>159</v>
      </c>
      <c r="J781" s="1" t="s">
        <v>33</v>
      </c>
      <c r="K781" s="1" t="s">
        <v>208</v>
      </c>
      <c r="L781" s="1" t="s">
        <v>44</v>
      </c>
      <c r="M781" s="1" t="s">
        <v>93</v>
      </c>
      <c r="N781">
        <v>415928.1</v>
      </c>
      <c r="O781">
        <v>14283.64</v>
      </c>
      <c r="P781">
        <v>36674.589999999997</v>
      </c>
      <c r="Q781">
        <v>1</v>
      </c>
      <c r="R781">
        <v>17</v>
      </c>
      <c r="S781">
        <v>3.4</v>
      </c>
      <c r="T781" s="1" t="s">
        <v>154</v>
      </c>
      <c r="U781" s="1" t="s">
        <v>101</v>
      </c>
      <c r="V781" s="1" t="s">
        <v>47</v>
      </c>
      <c r="W781" s="1" t="s">
        <v>83</v>
      </c>
    </row>
    <row r="782" spans="1:23" x14ac:dyDescent="0.35">
      <c r="A782" s="1" t="s">
        <v>1740</v>
      </c>
      <c r="B782" s="1" t="s">
        <v>181</v>
      </c>
      <c r="C782">
        <v>57</v>
      </c>
      <c r="D782" s="1" t="s">
        <v>50</v>
      </c>
      <c r="E782" s="1" t="s">
        <v>134</v>
      </c>
      <c r="F782" s="1" t="s">
        <v>56</v>
      </c>
      <c r="G782" s="1" t="s">
        <v>1741</v>
      </c>
      <c r="H782" s="2">
        <v>45931</v>
      </c>
      <c r="I782" s="1" t="s">
        <v>114</v>
      </c>
      <c r="J782" s="1" t="s">
        <v>30</v>
      </c>
      <c r="K782" s="1" t="s">
        <v>116</v>
      </c>
      <c r="L782" s="1" t="s">
        <v>33</v>
      </c>
      <c r="M782" s="1" t="s">
        <v>93</v>
      </c>
      <c r="N782">
        <v>372625.69</v>
      </c>
      <c r="O782">
        <v>11297.6</v>
      </c>
      <c r="P782">
        <v>0</v>
      </c>
      <c r="Q782">
        <v>3</v>
      </c>
      <c r="R782">
        <v>93</v>
      </c>
      <c r="S782">
        <v>4.0999999999999996</v>
      </c>
      <c r="T782" s="1" t="s">
        <v>154</v>
      </c>
      <c r="U782" s="1" t="s">
        <v>95</v>
      </c>
      <c r="V782" s="1" t="s">
        <v>33</v>
      </c>
      <c r="W782" s="1" t="s">
        <v>179</v>
      </c>
    </row>
    <row r="783" spans="1:23" x14ac:dyDescent="0.35">
      <c r="A783" s="1" t="s">
        <v>1742</v>
      </c>
      <c r="B783" s="1" t="s">
        <v>945</v>
      </c>
      <c r="C783">
        <v>35</v>
      </c>
      <c r="D783" s="1" t="s">
        <v>39</v>
      </c>
      <c r="E783" s="1" t="s">
        <v>51</v>
      </c>
      <c r="F783" s="1" t="s">
        <v>27</v>
      </c>
      <c r="G783" s="1" t="s">
        <v>1743</v>
      </c>
      <c r="H783" s="2">
        <v>45936</v>
      </c>
      <c r="I783" s="1" t="s">
        <v>53</v>
      </c>
      <c r="J783" s="1" t="s">
        <v>147</v>
      </c>
      <c r="K783" s="1" t="s">
        <v>116</v>
      </c>
      <c r="L783" s="1" t="s">
        <v>33</v>
      </c>
      <c r="M783" s="1" t="s">
        <v>183</v>
      </c>
      <c r="N783">
        <v>237465.29</v>
      </c>
      <c r="O783">
        <v>67886.12</v>
      </c>
      <c r="P783">
        <v>56452.03</v>
      </c>
      <c r="Q783">
        <v>3</v>
      </c>
      <c r="R783">
        <v>66</v>
      </c>
      <c r="S783">
        <v>3</v>
      </c>
      <c r="T783" s="1" t="s">
        <v>154</v>
      </c>
      <c r="U783" s="1" t="s">
        <v>35</v>
      </c>
      <c r="V783" s="1" t="s">
        <v>75</v>
      </c>
      <c r="W783" s="1" t="s">
        <v>83</v>
      </c>
    </row>
    <row r="784" spans="1:23" x14ac:dyDescent="0.35">
      <c r="A784" s="1" t="s">
        <v>1744</v>
      </c>
      <c r="B784" s="1" t="s">
        <v>736</v>
      </c>
      <c r="C784">
        <v>79</v>
      </c>
      <c r="D784" s="1" t="s">
        <v>39</v>
      </c>
      <c r="E784" s="1" t="s">
        <v>107</v>
      </c>
      <c r="F784" s="1" t="s">
        <v>145</v>
      </c>
      <c r="G784" s="1" t="s">
        <v>1745</v>
      </c>
      <c r="H784" s="2">
        <v>46026</v>
      </c>
      <c r="I784" s="1" t="s">
        <v>114</v>
      </c>
      <c r="J784" s="1" t="s">
        <v>242</v>
      </c>
      <c r="K784" s="1" t="s">
        <v>33</v>
      </c>
      <c r="L784" s="1" t="s">
        <v>92</v>
      </c>
      <c r="M784" s="1" t="s">
        <v>93</v>
      </c>
      <c r="N784">
        <v>194337.9</v>
      </c>
      <c r="O784">
        <v>29505.14</v>
      </c>
      <c r="P784">
        <v>30530.59</v>
      </c>
      <c r="Q784">
        <v>2</v>
      </c>
      <c r="R784">
        <v>177</v>
      </c>
      <c r="S784">
        <v>5</v>
      </c>
      <c r="T784" s="1" t="s">
        <v>34</v>
      </c>
      <c r="U784" s="1" t="s">
        <v>35</v>
      </c>
      <c r="V784" s="1" t="s">
        <v>33</v>
      </c>
      <c r="W784" s="1" t="s">
        <v>59</v>
      </c>
    </row>
    <row r="785" spans="1:23" x14ac:dyDescent="0.35">
      <c r="A785" s="1" t="s">
        <v>1746</v>
      </c>
      <c r="B785" s="1" t="s">
        <v>616</v>
      </c>
      <c r="C785">
        <v>44</v>
      </c>
      <c r="D785" s="1" t="s">
        <v>25</v>
      </c>
      <c r="E785" s="1" t="s">
        <v>40</v>
      </c>
      <c r="F785" s="1" t="s">
        <v>44</v>
      </c>
      <c r="G785" s="1" t="s">
        <v>1747</v>
      </c>
      <c r="H785" s="2">
        <v>45407</v>
      </c>
      <c r="I785" s="1" t="s">
        <v>89</v>
      </c>
      <c r="J785" s="1" t="s">
        <v>147</v>
      </c>
      <c r="K785" s="1" t="s">
        <v>55</v>
      </c>
      <c r="L785" s="1" t="s">
        <v>33</v>
      </c>
      <c r="M785" s="1" t="s">
        <v>33</v>
      </c>
      <c r="N785">
        <v>225149.6</v>
      </c>
      <c r="O785">
        <v>0</v>
      </c>
      <c r="P785">
        <v>67354.53</v>
      </c>
      <c r="Q785">
        <v>4</v>
      </c>
      <c r="R785">
        <v>105</v>
      </c>
      <c r="S785">
        <v>4.3</v>
      </c>
      <c r="T785" s="1" t="s">
        <v>33</v>
      </c>
      <c r="U785" s="1" t="s">
        <v>35</v>
      </c>
      <c r="V785" s="1" t="s">
        <v>68</v>
      </c>
      <c r="W785" s="1" t="s">
        <v>179</v>
      </c>
    </row>
    <row r="786" spans="1:23" x14ac:dyDescent="0.35">
      <c r="A786" s="1" t="s">
        <v>1748</v>
      </c>
      <c r="B786" s="1" t="s">
        <v>1560</v>
      </c>
      <c r="C786">
        <v>34</v>
      </c>
      <c r="D786" s="1" t="s">
        <v>71</v>
      </c>
      <c r="E786" s="1" t="s">
        <v>112</v>
      </c>
      <c r="F786" s="1" t="s">
        <v>27</v>
      </c>
      <c r="G786" s="1" t="s">
        <v>1749</v>
      </c>
      <c r="H786" s="2">
        <v>45808</v>
      </c>
      <c r="I786" s="1" t="s">
        <v>235</v>
      </c>
      <c r="J786" s="1" t="s">
        <v>141</v>
      </c>
      <c r="K786" s="1" t="s">
        <v>81</v>
      </c>
      <c r="L786" s="1" t="s">
        <v>44</v>
      </c>
      <c r="M786" s="1" t="s">
        <v>45</v>
      </c>
      <c r="N786">
        <v>162456.51</v>
      </c>
      <c r="O786">
        <v>55540.57</v>
      </c>
      <c r="P786">
        <v>33637.199999999997</v>
      </c>
      <c r="Q786">
        <v>1</v>
      </c>
      <c r="R786">
        <v>251</v>
      </c>
      <c r="S786">
        <v>4.3</v>
      </c>
      <c r="T786" s="1" t="s">
        <v>154</v>
      </c>
      <c r="U786" s="1" t="s">
        <v>58</v>
      </c>
      <c r="V786" s="1" t="s">
        <v>102</v>
      </c>
      <c r="W786" s="1" t="s">
        <v>103</v>
      </c>
    </row>
    <row r="787" spans="1:23" x14ac:dyDescent="0.35">
      <c r="A787" s="1" t="s">
        <v>1750</v>
      </c>
      <c r="B787" s="1" t="s">
        <v>768</v>
      </c>
      <c r="C787">
        <v>40</v>
      </c>
      <c r="D787" s="1" t="s">
        <v>71</v>
      </c>
      <c r="E787" s="1" t="s">
        <v>192</v>
      </c>
      <c r="F787" s="1" t="s">
        <v>56</v>
      </c>
      <c r="G787" s="1" t="s">
        <v>670</v>
      </c>
      <c r="H787" s="2">
        <v>45358</v>
      </c>
      <c r="I787" s="1" t="s">
        <v>159</v>
      </c>
      <c r="J787" s="1" t="s">
        <v>152</v>
      </c>
      <c r="K787" s="1" t="s">
        <v>116</v>
      </c>
      <c r="L787" s="1" t="s">
        <v>33</v>
      </c>
      <c r="M787" s="1" t="s">
        <v>142</v>
      </c>
      <c r="N787">
        <v>128765.48</v>
      </c>
      <c r="O787">
        <v>0</v>
      </c>
      <c r="P787">
        <v>92984.13</v>
      </c>
      <c r="Q787">
        <v>1</v>
      </c>
      <c r="R787">
        <v>147</v>
      </c>
      <c r="S787">
        <v>4.4000000000000004</v>
      </c>
      <c r="T787" s="1" t="s">
        <v>33</v>
      </c>
      <c r="U787" s="1" t="s">
        <v>33</v>
      </c>
      <c r="V787" s="1" t="s">
        <v>75</v>
      </c>
      <c r="W787" s="1" t="s">
        <v>59</v>
      </c>
    </row>
    <row r="788" spans="1:23" x14ac:dyDescent="0.35">
      <c r="A788" s="1" t="s">
        <v>1751</v>
      </c>
      <c r="B788" s="1" t="s">
        <v>1505</v>
      </c>
      <c r="C788">
        <v>12</v>
      </c>
      <c r="D788" s="1" t="s">
        <v>25</v>
      </c>
      <c r="E788" s="1" t="s">
        <v>134</v>
      </c>
      <c r="F788" s="1" t="s">
        <v>145</v>
      </c>
      <c r="G788" s="1" t="s">
        <v>549</v>
      </c>
      <c r="H788" s="2">
        <v>45996</v>
      </c>
      <c r="I788" s="1" t="s">
        <v>273</v>
      </c>
      <c r="J788" s="1" t="s">
        <v>90</v>
      </c>
      <c r="K788" s="1" t="s">
        <v>208</v>
      </c>
      <c r="L788" s="1" t="s">
        <v>32</v>
      </c>
      <c r="M788" s="1" t="s">
        <v>33</v>
      </c>
      <c r="N788">
        <v>152293.6</v>
      </c>
      <c r="O788">
        <v>51044.52</v>
      </c>
      <c r="P788">
        <v>13463.4</v>
      </c>
      <c r="Q788">
        <v>3</v>
      </c>
      <c r="R788">
        <v>0</v>
      </c>
      <c r="S788">
        <v>3.4</v>
      </c>
      <c r="T788" s="1" t="s">
        <v>34</v>
      </c>
      <c r="U788" s="1" t="s">
        <v>67</v>
      </c>
      <c r="V788" s="1" t="s">
        <v>130</v>
      </c>
      <c r="W788" s="1" t="s">
        <v>83</v>
      </c>
    </row>
    <row r="789" spans="1:23" x14ac:dyDescent="0.35">
      <c r="A789" s="1" t="s">
        <v>1752</v>
      </c>
      <c r="B789" s="1" t="s">
        <v>255</v>
      </c>
      <c r="C789">
        <v>45</v>
      </c>
      <c r="D789" s="1" t="s">
        <v>71</v>
      </c>
      <c r="E789" s="1" t="s">
        <v>51</v>
      </c>
      <c r="F789" s="1" t="s">
        <v>193</v>
      </c>
      <c r="G789" s="1" t="s">
        <v>1753</v>
      </c>
      <c r="H789" s="2">
        <v>45416</v>
      </c>
      <c r="I789" s="1" t="s">
        <v>221</v>
      </c>
      <c r="J789" s="1" t="s">
        <v>141</v>
      </c>
      <c r="K789" s="1" t="s">
        <v>116</v>
      </c>
      <c r="L789" s="1" t="s">
        <v>33</v>
      </c>
      <c r="M789" s="1" t="s">
        <v>142</v>
      </c>
      <c r="N789">
        <v>321992.61</v>
      </c>
      <c r="O789">
        <v>45940.15</v>
      </c>
      <c r="P789">
        <v>52763.09</v>
      </c>
      <c r="Q789">
        <v>2</v>
      </c>
      <c r="R789">
        <v>184</v>
      </c>
      <c r="S789">
        <v>1.7</v>
      </c>
      <c r="T789" s="1" t="s">
        <v>154</v>
      </c>
      <c r="U789" s="1" t="s">
        <v>33</v>
      </c>
      <c r="V789" s="1" t="s">
        <v>164</v>
      </c>
      <c r="W789" s="1" t="s">
        <v>179</v>
      </c>
    </row>
    <row r="790" spans="1:23" x14ac:dyDescent="0.35">
      <c r="A790" s="1" t="s">
        <v>1754</v>
      </c>
      <c r="B790" s="1" t="s">
        <v>406</v>
      </c>
      <c r="C790">
        <v>56</v>
      </c>
      <c r="D790" s="1" t="s">
        <v>78</v>
      </c>
      <c r="E790" s="1" t="s">
        <v>203</v>
      </c>
      <c r="F790" s="1" t="s">
        <v>145</v>
      </c>
      <c r="G790" s="1" t="s">
        <v>1755</v>
      </c>
      <c r="H790" s="2">
        <v>45786</v>
      </c>
      <c r="I790" s="1" t="s">
        <v>173</v>
      </c>
      <c r="J790" s="1" t="s">
        <v>30</v>
      </c>
      <c r="K790" s="1" t="s">
        <v>163</v>
      </c>
      <c r="L790" s="1" t="s">
        <v>66</v>
      </c>
      <c r="M790" s="1" t="s">
        <v>33</v>
      </c>
      <c r="N790">
        <v>46461.279999999999</v>
      </c>
      <c r="O790">
        <v>0</v>
      </c>
      <c r="P790">
        <v>22621.74</v>
      </c>
      <c r="Q790">
        <v>4</v>
      </c>
      <c r="R790">
        <v>45</v>
      </c>
      <c r="S790">
        <v>4.7</v>
      </c>
      <c r="T790" s="1" t="s">
        <v>46</v>
      </c>
      <c r="U790" s="1" t="s">
        <v>149</v>
      </c>
      <c r="V790" s="1" t="s">
        <v>33</v>
      </c>
      <c r="W790" s="1" t="s">
        <v>12</v>
      </c>
    </row>
    <row r="791" spans="1:23" x14ac:dyDescent="0.35">
      <c r="A791" s="1" t="s">
        <v>1756</v>
      </c>
      <c r="B791" s="1" t="s">
        <v>840</v>
      </c>
      <c r="C791">
        <v>24</v>
      </c>
      <c r="D791" s="1" t="s">
        <v>71</v>
      </c>
      <c r="E791" s="1" t="s">
        <v>62</v>
      </c>
      <c r="F791" s="1" t="s">
        <v>135</v>
      </c>
      <c r="G791" s="1" t="s">
        <v>1388</v>
      </c>
      <c r="H791" s="2">
        <v>46021</v>
      </c>
      <c r="I791" s="1" t="s">
        <v>173</v>
      </c>
      <c r="J791" s="1" t="s">
        <v>30</v>
      </c>
      <c r="K791" s="1" t="s">
        <v>128</v>
      </c>
      <c r="L791" s="1" t="s">
        <v>56</v>
      </c>
      <c r="M791" s="1" t="s">
        <v>129</v>
      </c>
      <c r="N791">
        <v>134371.28</v>
      </c>
      <c r="O791">
        <v>57965.81</v>
      </c>
      <c r="P791">
        <v>45391.3</v>
      </c>
      <c r="Q791">
        <v>2</v>
      </c>
      <c r="R791">
        <v>81</v>
      </c>
      <c r="S791">
        <v>3.6</v>
      </c>
      <c r="T791" s="1" t="s">
        <v>154</v>
      </c>
      <c r="U791" s="1" t="s">
        <v>33</v>
      </c>
      <c r="V791" s="1" t="s">
        <v>33</v>
      </c>
      <c r="W791" s="1" t="s">
        <v>179</v>
      </c>
    </row>
    <row r="792" spans="1:23" x14ac:dyDescent="0.35">
      <c r="A792" s="1" t="s">
        <v>1757</v>
      </c>
      <c r="B792" s="1" t="s">
        <v>77</v>
      </c>
      <c r="C792">
        <v>26</v>
      </c>
      <c r="D792" s="1" t="s">
        <v>71</v>
      </c>
      <c r="E792" s="1" t="s">
        <v>112</v>
      </c>
      <c r="F792" s="1" t="s">
        <v>33</v>
      </c>
      <c r="G792" s="1" t="s">
        <v>861</v>
      </c>
      <c r="H792" s="2">
        <v>45521</v>
      </c>
      <c r="I792" s="1" t="s">
        <v>173</v>
      </c>
      <c r="J792" s="1" t="s">
        <v>33</v>
      </c>
      <c r="K792" s="1" t="s">
        <v>91</v>
      </c>
      <c r="L792" s="1" t="s">
        <v>92</v>
      </c>
      <c r="M792" s="1" t="s">
        <v>129</v>
      </c>
      <c r="N792">
        <v>404171.16</v>
      </c>
      <c r="O792">
        <v>35262.410000000003</v>
      </c>
      <c r="P792">
        <v>40187.42</v>
      </c>
      <c r="Q792">
        <v>7</v>
      </c>
      <c r="R792">
        <v>282</v>
      </c>
      <c r="S792">
        <v>2.2999999999999998</v>
      </c>
      <c r="T792" s="1" t="s">
        <v>46</v>
      </c>
      <c r="U792" s="1" t="s">
        <v>58</v>
      </c>
      <c r="V792" s="1" t="s">
        <v>68</v>
      </c>
      <c r="W792" s="1" t="s">
        <v>179</v>
      </c>
    </row>
    <row r="793" spans="1:23" x14ac:dyDescent="0.35">
      <c r="A793" s="1" t="s">
        <v>1758</v>
      </c>
      <c r="B793" s="1" t="s">
        <v>294</v>
      </c>
      <c r="C793">
        <v>15</v>
      </c>
      <c r="D793" s="1" t="s">
        <v>39</v>
      </c>
      <c r="E793" s="1" t="s">
        <v>51</v>
      </c>
      <c r="F793" s="1" t="s">
        <v>108</v>
      </c>
      <c r="G793" s="1" t="s">
        <v>1759</v>
      </c>
      <c r="H793" s="2">
        <v>46184</v>
      </c>
      <c r="I793" s="1" t="s">
        <v>159</v>
      </c>
      <c r="J793" s="1" t="s">
        <v>152</v>
      </c>
      <c r="K793" s="1" t="s">
        <v>174</v>
      </c>
      <c r="L793" s="1" t="s">
        <v>32</v>
      </c>
      <c r="M793" s="1" t="s">
        <v>33</v>
      </c>
      <c r="N793">
        <v>353344.68</v>
      </c>
      <c r="O793">
        <v>72229.72</v>
      </c>
      <c r="P793">
        <v>95097.68</v>
      </c>
      <c r="Q793">
        <v>2</v>
      </c>
      <c r="R793">
        <v>186</v>
      </c>
      <c r="S793">
        <v>3.4</v>
      </c>
      <c r="T793" s="1" t="s">
        <v>34</v>
      </c>
      <c r="U793" s="1" t="s">
        <v>33</v>
      </c>
      <c r="V793" s="1" t="s">
        <v>102</v>
      </c>
      <c r="W793" s="1" t="s">
        <v>33</v>
      </c>
    </row>
    <row r="794" spans="1:23" x14ac:dyDescent="0.35">
      <c r="A794" s="1" t="s">
        <v>1760</v>
      </c>
      <c r="B794" s="1" t="s">
        <v>185</v>
      </c>
      <c r="C794">
        <v>6</v>
      </c>
      <c r="D794" s="1" t="s">
        <v>78</v>
      </c>
      <c r="E794" s="1" t="s">
        <v>62</v>
      </c>
      <c r="F794" s="1" t="s">
        <v>193</v>
      </c>
      <c r="G794" s="1" t="s">
        <v>967</v>
      </c>
      <c r="H794" s="2">
        <v>46081</v>
      </c>
      <c r="I794" s="1" t="s">
        <v>159</v>
      </c>
      <c r="J794" s="1" t="s">
        <v>147</v>
      </c>
      <c r="K794" s="1" t="s">
        <v>128</v>
      </c>
      <c r="L794" s="1" t="s">
        <v>66</v>
      </c>
      <c r="M794" s="1" t="s">
        <v>142</v>
      </c>
      <c r="N794">
        <v>505022.29</v>
      </c>
      <c r="O794">
        <v>41724.449999999997</v>
      </c>
      <c r="P794">
        <v>30241.29</v>
      </c>
      <c r="Q794">
        <v>2</v>
      </c>
      <c r="R794">
        <v>194</v>
      </c>
      <c r="S794">
        <v>2.4</v>
      </c>
      <c r="T794" s="1" t="s">
        <v>33</v>
      </c>
      <c r="U794" s="1" t="s">
        <v>149</v>
      </c>
      <c r="V794" s="1" t="s">
        <v>33</v>
      </c>
      <c r="W794" s="1" t="s">
        <v>103</v>
      </c>
    </row>
    <row r="795" spans="1:23" x14ac:dyDescent="0.35">
      <c r="A795" s="1" t="s">
        <v>1761</v>
      </c>
      <c r="B795" s="1" t="s">
        <v>111</v>
      </c>
      <c r="C795">
        <v>39</v>
      </c>
      <c r="D795" s="1" t="s">
        <v>119</v>
      </c>
      <c r="E795" s="1" t="s">
        <v>26</v>
      </c>
      <c r="F795" s="1" t="s">
        <v>33</v>
      </c>
      <c r="G795" s="1" t="s">
        <v>1225</v>
      </c>
      <c r="H795" s="2">
        <v>45383</v>
      </c>
      <c r="I795" s="1" t="s">
        <v>53</v>
      </c>
      <c r="J795" s="1" t="s">
        <v>152</v>
      </c>
      <c r="K795" s="1" t="s">
        <v>33</v>
      </c>
      <c r="L795" s="1" t="s">
        <v>44</v>
      </c>
      <c r="M795" s="1" t="s">
        <v>74</v>
      </c>
      <c r="N795">
        <v>309414.8</v>
      </c>
      <c r="O795">
        <v>28410.66</v>
      </c>
      <c r="P795">
        <v>1472.16</v>
      </c>
      <c r="Q795">
        <v>4</v>
      </c>
      <c r="R795">
        <v>100</v>
      </c>
      <c r="S795">
        <v>5</v>
      </c>
      <c r="T795" s="1" t="s">
        <v>94</v>
      </c>
      <c r="U795" s="1" t="s">
        <v>101</v>
      </c>
      <c r="V795" s="1" t="s">
        <v>102</v>
      </c>
      <c r="W795" s="1" t="s">
        <v>59</v>
      </c>
    </row>
    <row r="796" spans="1:23" x14ac:dyDescent="0.35">
      <c r="A796" s="1" t="s">
        <v>1762</v>
      </c>
      <c r="B796" s="1" t="s">
        <v>1763</v>
      </c>
      <c r="C796">
        <v>60</v>
      </c>
      <c r="D796" s="1" t="s">
        <v>78</v>
      </c>
      <c r="E796" s="1" t="s">
        <v>107</v>
      </c>
      <c r="F796" s="1" t="s">
        <v>63</v>
      </c>
      <c r="G796" s="1" t="s">
        <v>1731</v>
      </c>
      <c r="H796" s="2">
        <v>45641</v>
      </c>
      <c r="I796" s="1" t="s">
        <v>127</v>
      </c>
      <c r="J796" s="1" t="s">
        <v>43</v>
      </c>
      <c r="K796" s="1" t="s">
        <v>174</v>
      </c>
      <c r="L796" s="1" t="s">
        <v>32</v>
      </c>
      <c r="M796" s="1" t="s">
        <v>45</v>
      </c>
      <c r="N796">
        <v>73625.87</v>
      </c>
      <c r="O796">
        <v>29343.48</v>
      </c>
      <c r="P796">
        <v>26264.69</v>
      </c>
      <c r="Q796">
        <v>3</v>
      </c>
      <c r="R796">
        <v>151</v>
      </c>
      <c r="S796">
        <v>3.7</v>
      </c>
      <c r="T796" s="1" t="s">
        <v>33</v>
      </c>
      <c r="U796" s="1" t="s">
        <v>33</v>
      </c>
      <c r="V796" s="1" t="s">
        <v>75</v>
      </c>
      <c r="W796" s="1" t="s">
        <v>33</v>
      </c>
    </row>
    <row r="797" spans="1:23" x14ac:dyDescent="0.35">
      <c r="A797" s="1" t="s">
        <v>1764</v>
      </c>
      <c r="B797" s="1" t="s">
        <v>199</v>
      </c>
      <c r="C797">
        <v>66</v>
      </c>
      <c r="D797" s="1" t="s">
        <v>71</v>
      </c>
      <c r="E797" s="1" t="s">
        <v>157</v>
      </c>
      <c r="F797" s="1" t="s">
        <v>56</v>
      </c>
      <c r="G797" s="1" t="s">
        <v>1765</v>
      </c>
      <c r="H797" s="2">
        <v>46165</v>
      </c>
      <c r="I797" s="1" t="s">
        <v>277</v>
      </c>
      <c r="J797" s="1" t="s">
        <v>33</v>
      </c>
      <c r="K797" s="1" t="s">
        <v>91</v>
      </c>
      <c r="L797" s="1" t="s">
        <v>44</v>
      </c>
      <c r="M797" s="1" t="s">
        <v>169</v>
      </c>
      <c r="N797">
        <v>316826.59999999998</v>
      </c>
      <c r="O797">
        <v>36827.96</v>
      </c>
      <c r="P797">
        <v>15053.63</v>
      </c>
      <c r="Q797">
        <v>5</v>
      </c>
      <c r="R797">
        <v>94</v>
      </c>
      <c r="S797">
        <v>3</v>
      </c>
      <c r="T797" s="1" t="s">
        <v>154</v>
      </c>
      <c r="U797" s="1" t="s">
        <v>33</v>
      </c>
      <c r="V797" s="1" t="s">
        <v>33</v>
      </c>
      <c r="W797" s="1" t="s">
        <v>179</v>
      </c>
    </row>
    <row r="798" spans="1:23" x14ac:dyDescent="0.35">
      <c r="A798" s="1" t="s">
        <v>1766</v>
      </c>
      <c r="B798" s="1" t="s">
        <v>1617</v>
      </c>
      <c r="C798">
        <v>34</v>
      </c>
      <c r="D798" s="1" t="s">
        <v>78</v>
      </c>
      <c r="E798" s="1" t="s">
        <v>203</v>
      </c>
      <c r="F798" s="1" t="s">
        <v>44</v>
      </c>
      <c r="G798" s="1" t="s">
        <v>1767</v>
      </c>
      <c r="H798" s="2">
        <v>45892</v>
      </c>
      <c r="I798" s="1" t="s">
        <v>33</v>
      </c>
      <c r="J798" s="1" t="s">
        <v>65</v>
      </c>
      <c r="K798" s="1" t="s">
        <v>81</v>
      </c>
      <c r="L798" s="1" t="s">
        <v>66</v>
      </c>
      <c r="M798" s="1" t="s">
        <v>74</v>
      </c>
      <c r="N798">
        <v>82810.42</v>
      </c>
      <c r="O798">
        <v>0</v>
      </c>
      <c r="P798">
        <v>24955.71</v>
      </c>
      <c r="Q798">
        <v>2</v>
      </c>
      <c r="R798">
        <v>109</v>
      </c>
      <c r="S798">
        <v>1.9</v>
      </c>
      <c r="T798" s="1" t="s">
        <v>46</v>
      </c>
      <c r="U798" s="1" t="s">
        <v>67</v>
      </c>
      <c r="V798" s="1" t="s">
        <v>75</v>
      </c>
      <c r="W798" s="1" t="s">
        <v>83</v>
      </c>
    </row>
    <row r="799" spans="1:23" x14ac:dyDescent="0.35">
      <c r="A799" s="1" t="s">
        <v>1768</v>
      </c>
      <c r="B799" s="1" t="s">
        <v>1769</v>
      </c>
      <c r="C799">
        <v>84</v>
      </c>
      <c r="D799" s="1" t="s">
        <v>71</v>
      </c>
      <c r="E799" s="1" t="s">
        <v>72</v>
      </c>
      <c r="F799" s="1" t="s">
        <v>63</v>
      </c>
      <c r="G799" s="1" t="s">
        <v>1770</v>
      </c>
      <c r="H799" s="2">
        <v>45979</v>
      </c>
      <c r="I799" s="1" t="s">
        <v>221</v>
      </c>
      <c r="J799" s="1" t="s">
        <v>152</v>
      </c>
      <c r="K799" s="1" t="s">
        <v>81</v>
      </c>
      <c r="L799" s="1" t="s">
        <v>33</v>
      </c>
      <c r="M799" s="1" t="s">
        <v>142</v>
      </c>
      <c r="N799">
        <v>363227.92</v>
      </c>
      <c r="O799">
        <v>71088.539999999994</v>
      </c>
      <c r="P799">
        <v>56733.84</v>
      </c>
      <c r="Q799">
        <v>3</v>
      </c>
      <c r="R799">
        <v>182</v>
      </c>
      <c r="S799">
        <v>2.8</v>
      </c>
      <c r="T799" s="1" t="s">
        <v>94</v>
      </c>
      <c r="U799" s="1" t="s">
        <v>33</v>
      </c>
      <c r="V799" s="1" t="s">
        <v>102</v>
      </c>
      <c r="W799" s="1" t="s">
        <v>103</v>
      </c>
    </row>
    <row r="800" spans="1:23" x14ac:dyDescent="0.35">
      <c r="A800" s="1" t="s">
        <v>1771</v>
      </c>
      <c r="B800" s="1" t="s">
        <v>1681</v>
      </c>
      <c r="C800">
        <v>0</v>
      </c>
      <c r="D800" s="1" t="s">
        <v>78</v>
      </c>
      <c r="E800" s="1" t="s">
        <v>51</v>
      </c>
      <c r="F800" s="1" t="s">
        <v>56</v>
      </c>
      <c r="G800" s="1" t="s">
        <v>1772</v>
      </c>
      <c r="H800" s="2">
        <v>46221</v>
      </c>
      <c r="I800" s="1" t="s">
        <v>257</v>
      </c>
      <c r="J800" s="1" t="s">
        <v>80</v>
      </c>
      <c r="K800" s="1" t="s">
        <v>153</v>
      </c>
      <c r="L800" s="1" t="s">
        <v>66</v>
      </c>
      <c r="M800" s="1" t="s">
        <v>142</v>
      </c>
      <c r="N800">
        <v>386060.37</v>
      </c>
      <c r="O800">
        <v>68508.100000000006</v>
      </c>
      <c r="P800">
        <v>28404.68</v>
      </c>
      <c r="Q800">
        <v>2</v>
      </c>
      <c r="R800">
        <v>75</v>
      </c>
      <c r="S800">
        <v>2.7</v>
      </c>
      <c r="T800" s="1" t="s">
        <v>33</v>
      </c>
      <c r="U800" s="1" t="s">
        <v>67</v>
      </c>
      <c r="V800" s="1" t="s">
        <v>130</v>
      </c>
      <c r="W800" s="1" t="s">
        <v>12</v>
      </c>
    </row>
    <row r="801" spans="1:23" x14ac:dyDescent="0.35">
      <c r="A801" s="1" t="s">
        <v>1773</v>
      </c>
      <c r="B801" s="1" t="s">
        <v>1200</v>
      </c>
      <c r="C801">
        <v>67</v>
      </c>
      <c r="D801" s="1" t="s">
        <v>119</v>
      </c>
      <c r="E801" s="1" t="s">
        <v>26</v>
      </c>
      <c r="F801" s="1" t="s">
        <v>63</v>
      </c>
      <c r="G801" s="1" t="s">
        <v>1774</v>
      </c>
      <c r="H801" s="2">
        <v>45935</v>
      </c>
      <c r="I801" s="1" t="s">
        <v>89</v>
      </c>
      <c r="J801" s="1" t="s">
        <v>30</v>
      </c>
      <c r="K801" s="1" t="s">
        <v>91</v>
      </c>
      <c r="L801" s="1" t="s">
        <v>56</v>
      </c>
      <c r="M801" s="1" t="s">
        <v>129</v>
      </c>
      <c r="N801">
        <v>0</v>
      </c>
      <c r="O801">
        <v>40235.96</v>
      </c>
      <c r="P801">
        <v>36699.85</v>
      </c>
      <c r="Q801">
        <v>4</v>
      </c>
      <c r="R801">
        <v>103</v>
      </c>
      <c r="S801">
        <v>4.3</v>
      </c>
      <c r="T801" s="1" t="s">
        <v>94</v>
      </c>
      <c r="U801" s="1" t="s">
        <v>58</v>
      </c>
      <c r="V801" s="1" t="s">
        <v>33</v>
      </c>
      <c r="W801" s="1" t="s">
        <v>103</v>
      </c>
    </row>
    <row r="802" spans="1:23" x14ac:dyDescent="0.35">
      <c r="A802" s="1" t="s">
        <v>1775</v>
      </c>
      <c r="B802" s="1" t="s">
        <v>347</v>
      </c>
      <c r="C802">
        <v>40</v>
      </c>
      <c r="D802" s="1" t="s">
        <v>50</v>
      </c>
      <c r="E802" s="1" t="s">
        <v>112</v>
      </c>
      <c r="F802" s="1" t="s">
        <v>41</v>
      </c>
      <c r="G802" s="1" t="s">
        <v>1776</v>
      </c>
      <c r="H802" s="2">
        <v>45648</v>
      </c>
      <c r="I802" s="1" t="s">
        <v>114</v>
      </c>
      <c r="J802" s="1" t="s">
        <v>242</v>
      </c>
      <c r="K802" s="1" t="s">
        <v>55</v>
      </c>
      <c r="L802" s="1" t="s">
        <v>56</v>
      </c>
      <c r="M802" s="1" t="s">
        <v>33</v>
      </c>
      <c r="N802">
        <v>190057.48</v>
      </c>
      <c r="O802">
        <v>54257.91</v>
      </c>
      <c r="P802">
        <v>57562.8</v>
      </c>
      <c r="Q802">
        <v>2</v>
      </c>
      <c r="R802">
        <v>111</v>
      </c>
      <c r="S802">
        <v>2</v>
      </c>
      <c r="T802" s="1" t="s">
        <v>46</v>
      </c>
      <c r="U802" s="1" t="s">
        <v>67</v>
      </c>
      <c r="V802" s="1" t="s">
        <v>75</v>
      </c>
      <c r="W802" s="1" t="s">
        <v>36</v>
      </c>
    </row>
    <row r="803" spans="1:23" x14ac:dyDescent="0.35">
      <c r="A803" s="1" t="s">
        <v>1777</v>
      </c>
      <c r="B803" s="1" t="s">
        <v>331</v>
      </c>
      <c r="C803">
        <v>62</v>
      </c>
      <c r="D803" s="1" t="s">
        <v>25</v>
      </c>
      <c r="E803" s="1" t="s">
        <v>86</v>
      </c>
      <c r="F803" s="1" t="s">
        <v>44</v>
      </c>
      <c r="G803" s="1" t="s">
        <v>1778</v>
      </c>
      <c r="H803" s="2">
        <v>46091</v>
      </c>
      <c r="I803" s="1" t="s">
        <v>273</v>
      </c>
      <c r="J803" s="1" t="s">
        <v>80</v>
      </c>
      <c r="K803" s="1" t="s">
        <v>33</v>
      </c>
      <c r="L803" s="1" t="s">
        <v>66</v>
      </c>
      <c r="M803" s="1" t="s">
        <v>82</v>
      </c>
      <c r="N803">
        <v>225277.52</v>
      </c>
      <c r="O803">
        <v>46488.29</v>
      </c>
      <c r="P803">
        <v>97995.35</v>
      </c>
      <c r="Q803">
        <v>2</v>
      </c>
      <c r="R803">
        <v>172</v>
      </c>
      <c r="S803">
        <v>3.8</v>
      </c>
      <c r="T803" s="1" t="s">
        <v>33</v>
      </c>
      <c r="U803" s="1" t="s">
        <v>149</v>
      </c>
      <c r="V803" s="1" t="s">
        <v>33</v>
      </c>
      <c r="W803" s="1" t="s">
        <v>103</v>
      </c>
    </row>
    <row r="804" spans="1:23" x14ac:dyDescent="0.35">
      <c r="A804" s="1" t="s">
        <v>1779</v>
      </c>
      <c r="B804" s="1" t="s">
        <v>285</v>
      </c>
      <c r="C804">
        <v>0</v>
      </c>
      <c r="D804" s="1" t="s">
        <v>78</v>
      </c>
      <c r="E804" s="1" t="s">
        <v>86</v>
      </c>
      <c r="F804" s="1" t="s">
        <v>27</v>
      </c>
      <c r="G804" s="1" t="s">
        <v>1283</v>
      </c>
      <c r="H804" s="2">
        <v>45377</v>
      </c>
      <c r="I804" s="1" t="s">
        <v>221</v>
      </c>
      <c r="J804" s="1" t="s">
        <v>141</v>
      </c>
      <c r="K804" s="1" t="s">
        <v>128</v>
      </c>
      <c r="L804" s="1" t="s">
        <v>33</v>
      </c>
      <c r="M804" s="1" t="s">
        <v>33</v>
      </c>
      <c r="N804">
        <v>196426.11</v>
      </c>
      <c r="O804">
        <v>21849.69</v>
      </c>
      <c r="P804">
        <v>56710.99</v>
      </c>
      <c r="Q804">
        <v>2</v>
      </c>
      <c r="R804">
        <v>83</v>
      </c>
      <c r="S804">
        <v>3.3</v>
      </c>
      <c r="T804" s="1" t="s">
        <v>154</v>
      </c>
      <c r="U804" s="1" t="s">
        <v>101</v>
      </c>
      <c r="V804" s="1" t="s">
        <v>130</v>
      </c>
      <c r="W804" s="1" t="s">
        <v>131</v>
      </c>
    </row>
    <row r="805" spans="1:23" x14ac:dyDescent="0.35">
      <c r="A805" s="1" t="s">
        <v>1780</v>
      </c>
      <c r="B805" s="1" t="s">
        <v>1545</v>
      </c>
      <c r="C805">
        <v>22</v>
      </c>
      <c r="D805" s="1" t="s">
        <v>78</v>
      </c>
      <c r="E805" s="1" t="s">
        <v>33</v>
      </c>
      <c r="F805" s="1" t="s">
        <v>63</v>
      </c>
      <c r="G805" s="1" t="s">
        <v>1781</v>
      </c>
      <c r="H805" s="2">
        <v>45912</v>
      </c>
      <c r="I805" s="1" t="s">
        <v>53</v>
      </c>
      <c r="J805" s="1" t="s">
        <v>137</v>
      </c>
      <c r="K805" s="1" t="s">
        <v>163</v>
      </c>
      <c r="L805" s="1" t="s">
        <v>92</v>
      </c>
      <c r="M805" s="1" t="s">
        <v>169</v>
      </c>
      <c r="N805">
        <v>286731.15000000002</v>
      </c>
      <c r="O805">
        <v>72897.69</v>
      </c>
      <c r="P805">
        <v>42074.239999999998</v>
      </c>
      <c r="Q805">
        <v>1</v>
      </c>
      <c r="R805">
        <v>119</v>
      </c>
      <c r="S805">
        <v>4.9000000000000004</v>
      </c>
      <c r="T805" s="1" t="s">
        <v>46</v>
      </c>
      <c r="U805" s="1" t="s">
        <v>149</v>
      </c>
      <c r="V805" s="1" t="s">
        <v>68</v>
      </c>
      <c r="W805" s="1" t="s">
        <v>12</v>
      </c>
    </row>
    <row r="806" spans="1:23" x14ac:dyDescent="0.35">
      <c r="A806" s="1" t="s">
        <v>1782</v>
      </c>
      <c r="B806" s="1" t="s">
        <v>181</v>
      </c>
      <c r="C806">
        <v>51</v>
      </c>
      <c r="D806" s="1" t="s">
        <v>106</v>
      </c>
      <c r="E806" s="1" t="s">
        <v>40</v>
      </c>
      <c r="F806" s="1" t="s">
        <v>135</v>
      </c>
      <c r="G806" s="1" t="s">
        <v>645</v>
      </c>
      <c r="H806" s="2">
        <v>45484</v>
      </c>
      <c r="I806" s="1" t="s">
        <v>89</v>
      </c>
      <c r="J806" s="1" t="s">
        <v>65</v>
      </c>
      <c r="K806" s="1" t="s">
        <v>33</v>
      </c>
      <c r="L806" s="1" t="s">
        <v>92</v>
      </c>
      <c r="M806" s="1" t="s">
        <v>93</v>
      </c>
      <c r="N806">
        <v>116331.39</v>
      </c>
      <c r="O806">
        <v>51620.61</v>
      </c>
      <c r="P806">
        <v>49542.09</v>
      </c>
      <c r="Q806">
        <v>1</v>
      </c>
      <c r="R806">
        <v>117</v>
      </c>
      <c r="S806">
        <v>2.7</v>
      </c>
      <c r="T806" s="1" t="s">
        <v>154</v>
      </c>
      <c r="U806" s="1" t="s">
        <v>33</v>
      </c>
      <c r="V806" s="1" t="s">
        <v>164</v>
      </c>
      <c r="W806" s="1" t="s">
        <v>59</v>
      </c>
    </row>
    <row r="807" spans="1:23" x14ac:dyDescent="0.35">
      <c r="A807" s="1" t="s">
        <v>1783</v>
      </c>
      <c r="B807" s="1" t="s">
        <v>1182</v>
      </c>
      <c r="C807">
        <v>88</v>
      </c>
      <c r="D807" s="1" t="s">
        <v>50</v>
      </c>
      <c r="E807" s="1" t="s">
        <v>107</v>
      </c>
      <c r="F807" s="1" t="s">
        <v>98</v>
      </c>
      <c r="G807" s="1" t="s">
        <v>1221</v>
      </c>
      <c r="H807" s="2">
        <v>45996</v>
      </c>
      <c r="I807" s="1" t="s">
        <v>100</v>
      </c>
      <c r="J807" s="1" t="s">
        <v>87</v>
      </c>
      <c r="K807" s="1" t="s">
        <v>148</v>
      </c>
      <c r="L807" s="1" t="s">
        <v>44</v>
      </c>
      <c r="M807" s="1" t="s">
        <v>142</v>
      </c>
      <c r="N807">
        <v>78892.36</v>
      </c>
      <c r="O807">
        <v>21506.02</v>
      </c>
      <c r="P807">
        <v>51948.22</v>
      </c>
      <c r="Q807">
        <v>5</v>
      </c>
      <c r="R807">
        <v>153</v>
      </c>
      <c r="S807">
        <v>3</v>
      </c>
      <c r="T807" s="1" t="s">
        <v>33</v>
      </c>
      <c r="U807" s="1" t="s">
        <v>95</v>
      </c>
      <c r="V807" s="1" t="s">
        <v>33</v>
      </c>
      <c r="W807" s="1" t="s">
        <v>131</v>
      </c>
    </row>
    <row r="808" spans="1:23" x14ac:dyDescent="0.35">
      <c r="A808" s="1" t="s">
        <v>1784</v>
      </c>
      <c r="B808" s="1" t="s">
        <v>446</v>
      </c>
      <c r="C808">
        <v>72</v>
      </c>
      <c r="D808" s="1" t="s">
        <v>106</v>
      </c>
      <c r="E808" s="1" t="s">
        <v>86</v>
      </c>
      <c r="F808" s="1" t="s">
        <v>193</v>
      </c>
      <c r="G808" s="1" t="s">
        <v>1785</v>
      </c>
      <c r="H808" s="2">
        <v>46229</v>
      </c>
      <c r="I808" s="1" t="s">
        <v>29</v>
      </c>
      <c r="J808" s="1" t="s">
        <v>80</v>
      </c>
      <c r="K808" s="1" t="s">
        <v>33</v>
      </c>
      <c r="L808" s="1" t="s">
        <v>66</v>
      </c>
      <c r="M808" s="1" t="s">
        <v>142</v>
      </c>
      <c r="N808">
        <v>326470.86</v>
      </c>
      <c r="O808">
        <v>0</v>
      </c>
      <c r="P808">
        <v>26772.94</v>
      </c>
      <c r="Q808">
        <v>1</v>
      </c>
      <c r="R808">
        <v>212</v>
      </c>
      <c r="S808">
        <v>5</v>
      </c>
      <c r="T808" s="1" t="s">
        <v>94</v>
      </c>
      <c r="U808" s="1" t="s">
        <v>33</v>
      </c>
      <c r="V808" s="1" t="s">
        <v>47</v>
      </c>
      <c r="W808" s="1" t="s">
        <v>33</v>
      </c>
    </row>
    <row r="809" spans="1:23" x14ac:dyDescent="0.35">
      <c r="A809" s="1" t="s">
        <v>1786</v>
      </c>
      <c r="B809" s="1" t="s">
        <v>543</v>
      </c>
      <c r="C809">
        <v>39</v>
      </c>
      <c r="D809" s="1" t="s">
        <v>106</v>
      </c>
      <c r="E809" s="1" t="s">
        <v>134</v>
      </c>
      <c r="F809" s="1" t="s">
        <v>41</v>
      </c>
      <c r="G809" s="1" t="s">
        <v>172</v>
      </c>
      <c r="H809" s="2">
        <v>46005</v>
      </c>
      <c r="I809" s="1" t="s">
        <v>53</v>
      </c>
      <c r="J809" s="1" t="s">
        <v>152</v>
      </c>
      <c r="K809" s="1" t="s">
        <v>33</v>
      </c>
      <c r="L809" s="1" t="s">
        <v>33</v>
      </c>
      <c r="M809" s="1" t="s">
        <v>129</v>
      </c>
      <c r="N809">
        <v>231618.24</v>
      </c>
      <c r="O809">
        <v>26726.85</v>
      </c>
      <c r="P809">
        <v>78847.19</v>
      </c>
      <c r="Q809">
        <v>6</v>
      </c>
      <c r="R809">
        <v>29</v>
      </c>
      <c r="S809">
        <v>2.7</v>
      </c>
      <c r="T809" s="1" t="s">
        <v>46</v>
      </c>
      <c r="U809" s="1" t="s">
        <v>33</v>
      </c>
      <c r="V809" s="1" t="s">
        <v>33</v>
      </c>
      <c r="W809" s="1" t="s">
        <v>83</v>
      </c>
    </row>
    <row r="810" spans="1:23" x14ac:dyDescent="0.35">
      <c r="A810" s="1" t="s">
        <v>1787</v>
      </c>
      <c r="B810" s="1" t="s">
        <v>468</v>
      </c>
      <c r="C810">
        <v>42</v>
      </c>
      <c r="D810" s="1" t="s">
        <v>78</v>
      </c>
      <c r="E810" s="1" t="s">
        <v>62</v>
      </c>
      <c r="F810" s="1" t="s">
        <v>227</v>
      </c>
      <c r="G810" s="1" t="s">
        <v>1234</v>
      </c>
      <c r="H810" s="2">
        <v>46189</v>
      </c>
      <c r="I810" s="1" t="s">
        <v>273</v>
      </c>
      <c r="J810" s="1" t="s">
        <v>115</v>
      </c>
      <c r="K810" s="1" t="s">
        <v>33</v>
      </c>
      <c r="L810" s="1" t="s">
        <v>33</v>
      </c>
      <c r="M810" s="1" t="s">
        <v>33</v>
      </c>
      <c r="N810">
        <v>412985.43</v>
      </c>
      <c r="O810">
        <v>13212.19</v>
      </c>
      <c r="P810">
        <v>43356.65</v>
      </c>
      <c r="Q810">
        <v>6</v>
      </c>
      <c r="R810">
        <v>25</v>
      </c>
      <c r="S810">
        <v>3.7</v>
      </c>
      <c r="T810" s="1" t="s">
        <v>34</v>
      </c>
      <c r="U810" s="1" t="s">
        <v>149</v>
      </c>
      <c r="V810" s="1" t="s">
        <v>102</v>
      </c>
      <c r="W810" s="1" t="s">
        <v>59</v>
      </c>
    </row>
    <row r="811" spans="1:23" x14ac:dyDescent="0.35">
      <c r="A811" s="1" t="s">
        <v>1788</v>
      </c>
      <c r="B811" s="1" t="s">
        <v>389</v>
      </c>
      <c r="C811">
        <v>32</v>
      </c>
      <c r="D811" s="1" t="s">
        <v>50</v>
      </c>
      <c r="E811" s="1" t="s">
        <v>263</v>
      </c>
      <c r="F811" s="1" t="s">
        <v>108</v>
      </c>
      <c r="G811" s="1" t="s">
        <v>1789</v>
      </c>
      <c r="H811" s="2">
        <v>45455</v>
      </c>
      <c r="I811" s="1" t="s">
        <v>159</v>
      </c>
      <c r="J811" s="1" t="s">
        <v>137</v>
      </c>
      <c r="K811" s="1" t="s">
        <v>81</v>
      </c>
      <c r="L811" s="1" t="s">
        <v>33</v>
      </c>
      <c r="M811" s="1" t="s">
        <v>142</v>
      </c>
      <c r="N811">
        <v>18924.46</v>
      </c>
      <c r="O811">
        <v>47348.08</v>
      </c>
      <c r="P811">
        <v>66497.679999999993</v>
      </c>
      <c r="Q811">
        <v>1</v>
      </c>
      <c r="R811">
        <v>0</v>
      </c>
      <c r="S811">
        <v>5</v>
      </c>
      <c r="T811" s="1" t="s">
        <v>33</v>
      </c>
      <c r="U811" s="1" t="s">
        <v>33</v>
      </c>
      <c r="V811" s="1" t="s">
        <v>102</v>
      </c>
      <c r="W811" s="1" t="s">
        <v>33</v>
      </c>
    </row>
    <row r="812" spans="1:23" x14ac:dyDescent="0.35">
      <c r="A812" s="1" t="s">
        <v>1790</v>
      </c>
      <c r="B812" s="1" t="s">
        <v>188</v>
      </c>
      <c r="C812">
        <v>44</v>
      </c>
      <c r="D812" s="1" t="s">
        <v>78</v>
      </c>
      <c r="E812" s="1" t="s">
        <v>40</v>
      </c>
      <c r="F812" s="1" t="s">
        <v>145</v>
      </c>
      <c r="G812" s="1" t="s">
        <v>1453</v>
      </c>
      <c r="H812" s="2">
        <v>45606</v>
      </c>
      <c r="I812" s="1" t="s">
        <v>33</v>
      </c>
      <c r="J812" s="1" t="s">
        <v>43</v>
      </c>
      <c r="K812" s="1" t="s">
        <v>31</v>
      </c>
      <c r="L812" s="1" t="s">
        <v>56</v>
      </c>
      <c r="M812" s="1" t="s">
        <v>142</v>
      </c>
      <c r="N812">
        <v>130244</v>
      </c>
      <c r="O812">
        <v>100608.26</v>
      </c>
      <c r="P812">
        <v>5430.95</v>
      </c>
      <c r="Q812">
        <v>18</v>
      </c>
      <c r="R812">
        <v>96</v>
      </c>
      <c r="S812">
        <v>3.9</v>
      </c>
      <c r="T812" s="1" t="s">
        <v>33</v>
      </c>
      <c r="U812" s="1" t="s">
        <v>58</v>
      </c>
      <c r="V812" s="1" t="s">
        <v>102</v>
      </c>
      <c r="W812" s="1" t="s">
        <v>103</v>
      </c>
    </row>
    <row r="813" spans="1:23" x14ac:dyDescent="0.35">
      <c r="A813" s="1" t="s">
        <v>1791</v>
      </c>
      <c r="B813" s="1" t="s">
        <v>669</v>
      </c>
      <c r="C813">
        <v>50</v>
      </c>
      <c r="D813" s="1" t="s">
        <v>106</v>
      </c>
      <c r="E813" s="1" t="s">
        <v>177</v>
      </c>
      <c r="F813" s="1" t="s">
        <v>227</v>
      </c>
      <c r="G813" s="1" t="s">
        <v>1792</v>
      </c>
      <c r="H813" s="2">
        <v>45649</v>
      </c>
      <c r="I813" s="1" t="s">
        <v>33</v>
      </c>
      <c r="J813" s="1" t="s">
        <v>87</v>
      </c>
      <c r="K813" s="1" t="s">
        <v>148</v>
      </c>
      <c r="L813" s="1" t="s">
        <v>56</v>
      </c>
      <c r="M813" s="1" t="s">
        <v>74</v>
      </c>
      <c r="N813">
        <v>150191.25</v>
      </c>
      <c r="O813">
        <v>6220.39</v>
      </c>
      <c r="P813">
        <v>34745.35</v>
      </c>
      <c r="Q813">
        <v>8</v>
      </c>
      <c r="R813">
        <v>19</v>
      </c>
      <c r="S813">
        <v>3.8</v>
      </c>
      <c r="T813" s="1" t="s">
        <v>33</v>
      </c>
      <c r="U813" s="1" t="s">
        <v>101</v>
      </c>
      <c r="V813" s="1" t="s">
        <v>68</v>
      </c>
      <c r="W813" s="1" t="s">
        <v>103</v>
      </c>
    </row>
    <row r="814" spans="1:23" x14ac:dyDescent="0.35">
      <c r="A814" s="1" t="s">
        <v>1793</v>
      </c>
      <c r="B814" s="1" t="s">
        <v>1548</v>
      </c>
      <c r="C814">
        <v>10</v>
      </c>
      <c r="D814" s="1" t="s">
        <v>50</v>
      </c>
      <c r="E814" s="1" t="s">
        <v>72</v>
      </c>
      <c r="F814" s="1" t="s">
        <v>193</v>
      </c>
      <c r="G814" s="1" t="s">
        <v>1794</v>
      </c>
      <c r="H814" s="2">
        <v>46099</v>
      </c>
      <c r="I814" s="1" t="s">
        <v>235</v>
      </c>
      <c r="J814" s="1" t="s">
        <v>80</v>
      </c>
      <c r="K814" s="1" t="s">
        <v>31</v>
      </c>
      <c r="L814" s="1" t="s">
        <v>32</v>
      </c>
      <c r="M814" s="1" t="s">
        <v>74</v>
      </c>
      <c r="N814">
        <v>395720.41</v>
      </c>
      <c r="O814">
        <v>17558.189999999999</v>
      </c>
      <c r="P814">
        <v>6955.9</v>
      </c>
      <c r="Q814">
        <v>0</v>
      </c>
      <c r="R814">
        <v>82</v>
      </c>
      <c r="S814">
        <v>3.8</v>
      </c>
      <c r="T814" s="1" t="s">
        <v>154</v>
      </c>
      <c r="U814" s="1" t="s">
        <v>101</v>
      </c>
      <c r="V814" s="1" t="s">
        <v>68</v>
      </c>
      <c r="W814" s="1" t="s">
        <v>59</v>
      </c>
    </row>
    <row r="815" spans="1:23" x14ac:dyDescent="0.35">
      <c r="A815" s="1" t="s">
        <v>1795</v>
      </c>
      <c r="B815" s="1" t="s">
        <v>1037</v>
      </c>
      <c r="C815">
        <v>50</v>
      </c>
      <c r="D815" s="1" t="s">
        <v>106</v>
      </c>
      <c r="E815" s="1" t="s">
        <v>86</v>
      </c>
      <c r="F815" s="1" t="s">
        <v>145</v>
      </c>
      <c r="G815" s="1" t="s">
        <v>1029</v>
      </c>
      <c r="H815" s="2">
        <v>45444</v>
      </c>
      <c r="I815" s="1" t="s">
        <v>33</v>
      </c>
      <c r="J815" s="1" t="s">
        <v>137</v>
      </c>
      <c r="K815" s="1" t="s">
        <v>81</v>
      </c>
      <c r="L815" s="1" t="s">
        <v>33</v>
      </c>
      <c r="M815" s="1" t="s">
        <v>93</v>
      </c>
      <c r="N815">
        <v>73397.94</v>
      </c>
      <c r="O815">
        <v>72775.72</v>
      </c>
      <c r="P815">
        <v>60718.82</v>
      </c>
      <c r="Q815">
        <v>1</v>
      </c>
      <c r="R815">
        <v>65</v>
      </c>
      <c r="S815">
        <v>2.7</v>
      </c>
      <c r="T815" s="1" t="s">
        <v>94</v>
      </c>
      <c r="U815" s="1" t="s">
        <v>33</v>
      </c>
      <c r="V815" s="1" t="s">
        <v>33</v>
      </c>
      <c r="W815" s="1" t="s">
        <v>59</v>
      </c>
    </row>
    <row r="816" spans="1:23" x14ac:dyDescent="0.35">
      <c r="A816" s="1" t="s">
        <v>1796</v>
      </c>
      <c r="B816" s="1" t="s">
        <v>1111</v>
      </c>
      <c r="C816">
        <v>56</v>
      </c>
      <c r="D816" s="1" t="s">
        <v>106</v>
      </c>
      <c r="E816" s="1" t="s">
        <v>33</v>
      </c>
      <c r="F816" s="1" t="s">
        <v>145</v>
      </c>
      <c r="G816" s="1" t="s">
        <v>310</v>
      </c>
      <c r="H816" s="2">
        <v>45629</v>
      </c>
      <c r="I816" s="1" t="s">
        <v>277</v>
      </c>
      <c r="J816" s="1" t="s">
        <v>43</v>
      </c>
      <c r="K816" s="1" t="s">
        <v>153</v>
      </c>
      <c r="L816" s="1" t="s">
        <v>66</v>
      </c>
      <c r="M816" s="1" t="s">
        <v>142</v>
      </c>
      <c r="N816">
        <v>216430.82</v>
      </c>
      <c r="O816">
        <v>24571.03</v>
      </c>
      <c r="P816">
        <v>46751.11</v>
      </c>
      <c r="Q816">
        <v>2</v>
      </c>
      <c r="R816">
        <v>49</v>
      </c>
      <c r="S816">
        <v>3.3</v>
      </c>
      <c r="T816" s="1" t="s">
        <v>94</v>
      </c>
      <c r="U816" s="1" t="s">
        <v>101</v>
      </c>
      <c r="V816" s="1" t="s">
        <v>68</v>
      </c>
      <c r="W816" s="1" t="s">
        <v>131</v>
      </c>
    </row>
    <row r="817" spans="1:23" x14ac:dyDescent="0.35">
      <c r="A817" s="1" t="s">
        <v>1797</v>
      </c>
      <c r="B817" s="1" t="s">
        <v>218</v>
      </c>
      <c r="C817">
        <v>64</v>
      </c>
      <c r="D817" s="1" t="s">
        <v>39</v>
      </c>
      <c r="E817" s="1" t="s">
        <v>26</v>
      </c>
      <c r="F817" s="1" t="s">
        <v>63</v>
      </c>
      <c r="G817" s="1" t="s">
        <v>1798</v>
      </c>
      <c r="H817" s="2">
        <v>45678</v>
      </c>
      <c r="I817" s="1" t="s">
        <v>29</v>
      </c>
      <c r="J817" s="1" t="s">
        <v>30</v>
      </c>
      <c r="K817" s="1" t="s">
        <v>163</v>
      </c>
      <c r="L817" s="1" t="s">
        <v>66</v>
      </c>
      <c r="M817" s="1" t="s">
        <v>169</v>
      </c>
      <c r="N817">
        <v>261831.69</v>
      </c>
      <c r="O817">
        <v>10663.6</v>
      </c>
      <c r="P817">
        <v>101962.05</v>
      </c>
      <c r="Q817">
        <v>1</v>
      </c>
      <c r="R817">
        <v>101</v>
      </c>
      <c r="S817">
        <v>2.4</v>
      </c>
      <c r="T817" s="1" t="s">
        <v>154</v>
      </c>
      <c r="U817" s="1" t="s">
        <v>33</v>
      </c>
      <c r="V817" s="1" t="s">
        <v>75</v>
      </c>
      <c r="W817" s="1" t="s">
        <v>103</v>
      </c>
    </row>
    <row r="818" spans="1:23" x14ac:dyDescent="0.35">
      <c r="A818" s="1" t="s">
        <v>1799</v>
      </c>
      <c r="B818" s="1" t="s">
        <v>697</v>
      </c>
      <c r="C818">
        <v>51</v>
      </c>
      <c r="D818" s="1" t="s">
        <v>50</v>
      </c>
      <c r="E818" s="1" t="s">
        <v>203</v>
      </c>
      <c r="F818" s="1" t="s">
        <v>63</v>
      </c>
      <c r="G818" s="1" t="s">
        <v>1704</v>
      </c>
      <c r="H818" s="2">
        <v>45407</v>
      </c>
      <c r="I818" s="1" t="s">
        <v>159</v>
      </c>
      <c r="J818" s="1" t="s">
        <v>80</v>
      </c>
      <c r="K818" s="1" t="s">
        <v>81</v>
      </c>
      <c r="L818" s="1" t="s">
        <v>56</v>
      </c>
      <c r="M818" s="1" t="s">
        <v>93</v>
      </c>
      <c r="N818">
        <v>275241.2</v>
      </c>
      <c r="O818">
        <v>19356.11</v>
      </c>
      <c r="P818">
        <v>58514.87</v>
      </c>
      <c r="Q818">
        <v>5</v>
      </c>
      <c r="R818">
        <v>75</v>
      </c>
      <c r="S818">
        <v>4.4000000000000004</v>
      </c>
      <c r="T818" s="1" t="s">
        <v>34</v>
      </c>
      <c r="U818" s="1" t="s">
        <v>149</v>
      </c>
      <c r="V818" s="1" t="s">
        <v>47</v>
      </c>
      <c r="W818" s="1" t="s">
        <v>36</v>
      </c>
    </row>
    <row r="819" spans="1:23" x14ac:dyDescent="0.35">
      <c r="A819" s="1" t="s">
        <v>1800</v>
      </c>
      <c r="B819" s="1" t="s">
        <v>1425</v>
      </c>
      <c r="C819">
        <v>33</v>
      </c>
      <c r="D819" s="1" t="s">
        <v>119</v>
      </c>
      <c r="E819" s="1" t="s">
        <v>134</v>
      </c>
      <c r="F819" s="1" t="s">
        <v>56</v>
      </c>
      <c r="G819" s="1" t="s">
        <v>473</v>
      </c>
      <c r="H819" s="2">
        <v>45677</v>
      </c>
      <c r="I819" s="1" t="s">
        <v>235</v>
      </c>
      <c r="J819" s="1" t="s">
        <v>115</v>
      </c>
      <c r="K819" s="1" t="s">
        <v>163</v>
      </c>
      <c r="L819" s="1" t="s">
        <v>66</v>
      </c>
      <c r="M819" s="1" t="s">
        <v>82</v>
      </c>
      <c r="N819">
        <v>461101.71</v>
      </c>
      <c r="O819">
        <v>10823.31</v>
      </c>
      <c r="P819">
        <v>26884.85</v>
      </c>
      <c r="Q819">
        <v>1</v>
      </c>
      <c r="R819">
        <v>61</v>
      </c>
      <c r="S819">
        <v>2.1</v>
      </c>
      <c r="T819" s="1" t="s">
        <v>33</v>
      </c>
      <c r="U819" s="1" t="s">
        <v>95</v>
      </c>
      <c r="V819" s="1" t="s">
        <v>164</v>
      </c>
      <c r="W819" s="1" t="s">
        <v>103</v>
      </c>
    </row>
    <row r="820" spans="1:23" x14ac:dyDescent="0.35">
      <c r="A820" s="1" t="s">
        <v>1801</v>
      </c>
      <c r="B820" s="1" t="s">
        <v>470</v>
      </c>
      <c r="C820">
        <v>37</v>
      </c>
      <c r="D820" s="1" t="s">
        <v>25</v>
      </c>
      <c r="E820" s="1" t="s">
        <v>177</v>
      </c>
      <c r="F820" s="1" t="s">
        <v>135</v>
      </c>
      <c r="G820" s="1" t="s">
        <v>670</v>
      </c>
      <c r="H820" s="2">
        <v>45358</v>
      </c>
      <c r="I820" s="1" t="s">
        <v>127</v>
      </c>
      <c r="J820" s="1" t="s">
        <v>54</v>
      </c>
      <c r="K820" s="1" t="s">
        <v>163</v>
      </c>
      <c r="L820" s="1" t="s">
        <v>33</v>
      </c>
      <c r="M820" s="1" t="s">
        <v>183</v>
      </c>
      <c r="N820">
        <v>239020.32</v>
      </c>
      <c r="O820">
        <v>28687.37</v>
      </c>
      <c r="P820">
        <v>40653.64</v>
      </c>
      <c r="Q820">
        <v>1</v>
      </c>
      <c r="R820">
        <v>98</v>
      </c>
      <c r="S820">
        <v>5</v>
      </c>
      <c r="T820" s="1" t="s">
        <v>34</v>
      </c>
      <c r="U820" s="1" t="s">
        <v>67</v>
      </c>
      <c r="V820" s="1" t="s">
        <v>47</v>
      </c>
      <c r="W820" s="1" t="s">
        <v>103</v>
      </c>
    </row>
    <row r="821" spans="1:23" x14ac:dyDescent="0.35">
      <c r="A821" s="1" t="s">
        <v>1802</v>
      </c>
      <c r="B821" s="1" t="s">
        <v>821</v>
      </c>
      <c r="C821">
        <v>30</v>
      </c>
      <c r="D821" s="1" t="s">
        <v>39</v>
      </c>
      <c r="E821" s="1" t="s">
        <v>177</v>
      </c>
      <c r="F821" s="1" t="s">
        <v>145</v>
      </c>
      <c r="G821" s="1" t="s">
        <v>1803</v>
      </c>
      <c r="H821" s="2">
        <v>45951</v>
      </c>
      <c r="I821" s="1" t="s">
        <v>221</v>
      </c>
      <c r="J821" s="1" t="s">
        <v>33</v>
      </c>
      <c r="K821" s="1" t="s">
        <v>31</v>
      </c>
      <c r="L821" s="1" t="s">
        <v>56</v>
      </c>
      <c r="M821" s="1" t="s">
        <v>45</v>
      </c>
      <c r="N821">
        <v>180642.43</v>
      </c>
      <c r="O821">
        <v>44483.67</v>
      </c>
      <c r="P821">
        <v>87360.81</v>
      </c>
      <c r="Q821">
        <v>2</v>
      </c>
      <c r="R821">
        <v>47</v>
      </c>
      <c r="T821" s="1" t="s">
        <v>34</v>
      </c>
      <c r="U821" s="1" t="s">
        <v>58</v>
      </c>
      <c r="V821" s="1" t="s">
        <v>68</v>
      </c>
      <c r="W821" s="1" t="s">
        <v>59</v>
      </c>
    </row>
    <row r="822" spans="1:23" x14ac:dyDescent="0.35">
      <c r="A822" s="1" t="s">
        <v>1804</v>
      </c>
      <c r="B822" s="1" t="s">
        <v>871</v>
      </c>
      <c r="C822">
        <v>21</v>
      </c>
      <c r="D822" s="1" t="s">
        <v>71</v>
      </c>
      <c r="E822" s="1" t="s">
        <v>177</v>
      </c>
      <c r="F822" s="1" t="s">
        <v>33</v>
      </c>
      <c r="G822" s="1" t="s">
        <v>1805</v>
      </c>
      <c r="H822" s="2">
        <v>45520</v>
      </c>
      <c r="I822" s="1" t="s">
        <v>277</v>
      </c>
      <c r="J822" s="1" t="s">
        <v>54</v>
      </c>
      <c r="K822" s="1" t="s">
        <v>122</v>
      </c>
      <c r="L822" s="1" t="s">
        <v>66</v>
      </c>
      <c r="M822" s="1" t="s">
        <v>129</v>
      </c>
      <c r="N822">
        <v>222858.4</v>
      </c>
      <c r="O822">
        <v>0</v>
      </c>
      <c r="P822">
        <v>0</v>
      </c>
      <c r="Q822">
        <v>4</v>
      </c>
      <c r="R822">
        <v>122</v>
      </c>
      <c r="T822" s="1" t="s">
        <v>94</v>
      </c>
      <c r="U822" s="1" t="s">
        <v>33</v>
      </c>
      <c r="V822" s="1" t="s">
        <v>130</v>
      </c>
      <c r="W822" s="1" t="s">
        <v>33</v>
      </c>
    </row>
    <row r="823" spans="1:23" x14ac:dyDescent="0.35">
      <c r="A823" s="1" t="s">
        <v>1806</v>
      </c>
      <c r="B823" s="1" t="s">
        <v>1407</v>
      </c>
      <c r="C823">
        <v>42</v>
      </c>
      <c r="D823" s="1" t="s">
        <v>119</v>
      </c>
      <c r="E823" s="1" t="s">
        <v>112</v>
      </c>
      <c r="F823" s="1" t="s">
        <v>108</v>
      </c>
      <c r="G823" s="1" t="s">
        <v>1807</v>
      </c>
      <c r="H823" s="2">
        <v>45898</v>
      </c>
      <c r="I823" s="1" t="s">
        <v>33</v>
      </c>
      <c r="J823" s="1" t="s">
        <v>141</v>
      </c>
      <c r="K823" s="1" t="s">
        <v>122</v>
      </c>
      <c r="L823" s="1" t="s">
        <v>33</v>
      </c>
      <c r="M823" s="1" t="s">
        <v>57</v>
      </c>
      <c r="N823">
        <v>83303.990000000005</v>
      </c>
      <c r="O823">
        <v>28868.639999999999</v>
      </c>
      <c r="P823">
        <v>8006.96</v>
      </c>
      <c r="Q823">
        <v>3</v>
      </c>
      <c r="R823">
        <v>199</v>
      </c>
      <c r="S823">
        <v>1.9</v>
      </c>
      <c r="T823" s="1" t="s">
        <v>46</v>
      </c>
      <c r="U823" s="1" t="s">
        <v>67</v>
      </c>
      <c r="V823" s="1" t="s">
        <v>102</v>
      </c>
      <c r="W823" s="1" t="s">
        <v>179</v>
      </c>
    </row>
    <row r="824" spans="1:23" x14ac:dyDescent="0.35">
      <c r="A824" s="1" t="s">
        <v>1808</v>
      </c>
      <c r="B824" s="1" t="s">
        <v>309</v>
      </c>
      <c r="C824">
        <v>20</v>
      </c>
      <c r="D824" s="1" t="s">
        <v>39</v>
      </c>
      <c r="E824" s="1" t="s">
        <v>192</v>
      </c>
      <c r="F824" s="1" t="s">
        <v>33</v>
      </c>
      <c r="G824" s="1" t="s">
        <v>1809</v>
      </c>
      <c r="H824" s="2">
        <v>45677</v>
      </c>
      <c r="I824" s="1" t="s">
        <v>159</v>
      </c>
      <c r="J824" s="1" t="s">
        <v>43</v>
      </c>
      <c r="K824" s="1" t="s">
        <v>81</v>
      </c>
      <c r="L824" s="1" t="s">
        <v>66</v>
      </c>
      <c r="M824" s="1" t="s">
        <v>74</v>
      </c>
      <c r="N824">
        <v>299858.96000000002</v>
      </c>
      <c r="O824">
        <v>21714.22</v>
      </c>
      <c r="P824">
        <v>29440</v>
      </c>
      <c r="Q824">
        <v>2</v>
      </c>
      <c r="R824">
        <v>158</v>
      </c>
      <c r="S824">
        <v>3.7</v>
      </c>
      <c r="T824" s="1" t="s">
        <v>34</v>
      </c>
      <c r="U824" s="1" t="s">
        <v>67</v>
      </c>
      <c r="V824" s="1" t="s">
        <v>164</v>
      </c>
      <c r="W824" s="1" t="s">
        <v>179</v>
      </c>
    </row>
    <row r="825" spans="1:23" x14ac:dyDescent="0.35">
      <c r="A825" s="1" t="s">
        <v>1810</v>
      </c>
      <c r="B825" s="1" t="s">
        <v>1560</v>
      </c>
      <c r="C825">
        <v>21</v>
      </c>
      <c r="D825" s="1" t="s">
        <v>71</v>
      </c>
      <c r="E825" s="1" t="s">
        <v>192</v>
      </c>
      <c r="F825" s="1" t="s">
        <v>120</v>
      </c>
      <c r="G825" s="1" t="s">
        <v>1811</v>
      </c>
      <c r="H825" s="2">
        <v>45711</v>
      </c>
      <c r="I825" s="1" t="s">
        <v>53</v>
      </c>
      <c r="J825" s="1" t="s">
        <v>115</v>
      </c>
      <c r="K825" s="1" t="s">
        <v>33</v>
      </c>
      <c r="L825" s="1" t="s">
        <v>44</v>
      </c>
      <c r="M825" s="1" t="s">
        <v>33</v>
      </c>
      <c r="N825">
        <v>23325.63</v>
      </c>
      <c r="O825">
        <v>32680.2</v>
      </c>
      <c r="P825">
        <v>35434.61</v>
      </c>
      <c r="Q825">
        <v>4</v>
      </c>
      <c r="R825">
        <v>141</v>
      </c>
      <c r="S825">
        <v>3.6</v>
      </c>
      <c r="T825" s="1" t="s">
        <v>33</v>
      </c>
      <c r="U825" s="1" t="s">
        <v>101</v>
      </c>
      <c r="V825" s="1" t="s">
        <v>68</v>
      </c>
      <c r="W825" s="1" t="s">
        <v>12</v>
      </c>
    </row>
    <row r="826" spans="1:23" x14ac:dyDescent="0.35">
      <c r="A826" s="1" t="s">
        <v>1812</v>
      </c>
      <c r="B826" s="1" t="s">
        <v>125</v>
      </c>
      <c r="C826">
        <v>7</v>
      </c>
      <c r="D826" s="1" t="s">
        <v>50</v>
      </c>
      <c r="E826" s="1" t="s">
        <v>112</v>
      </c>
      <c r="F826" s="1" t="s">
        <v>145</v>
      </c>
      <c r="G826" s="1" t="s">
        <v>793</v>
      </c>
      <c r="H826" s="2">
        <v>45530</v>
      </c>
      <c r="I826" s="1" t="s">
        <v>273</v>
      </c>
      <c r="J826" s="1" t="s">
        <v>242</v>
      </c>
      <c r="K826" s="1" t="s">
        <v>148</v>
      </c>
      <c r="L826" s="1" t="s">
        <v>32</v>
      </c>
      <c r="M826" s="1" t="s">
        <v>45</v>
      </c>
      <c r="N826">
        <v>484381.17</v>
      </c>
      <c r="O826">
        <v>25893.95</v>
      </c>
      <c r="P826">
        <v>65927.61</v>
      </c>
      <c r="Q826">
        <v>3</v>
      </c>
      <c r="R826">
        <v>32</v>
      </c>
      <c r="S826">
        <v>4.0999999999999996</v>
      </c>
      <c r="T826" s="1" t="s">
        <v>33</v>
      </c>
      <c r="U826" s="1" t="s">
        <v>67</v>
      </c>
      <c r="V826" s="1" t="s">
        <v>68</v>
      </c>
      <c r="W826" s="1" t="s">
        <v>33</v>
      </c>
    </row>
    <row r="827" spans="1:23" x14ac:dyDescent="0.35">
      <c r="A827" s="1" t="s">
        <v>1813</v>
      </c>
      <c r="B827" s="1" t="s">
        <v>459</v>
      </c>
      <c r="C827">
        <v>52</v>
      </c>
      <c r="D827" s="1" t="s">
        <v>33</v>
      </c>
      <c r="E827" s="1" t="s">
        <v>107</v>
      </c>
      <c r="F827" s="1" t="s">
        <v>98</v>
      </c>
      <c r="G827" s="1" t="s">
        <v>1327</v>
      </c>
      <c r="H827" s="2">
        <v>45796</v>
      </c>
      <c r="I827" s="1" t="s">
        <v>257</v>
      </c>
      <c r="J827" s="1" t="s">
        <v>87</v>
      </c>
      <c r="K827" s="1" t="s">
        <v>81</v>
      </c>
      <c r="L827" s="1" t="s">
        <v>44</v>
      </c>
      <c r="M827" s="1" t="s">
        <v>169</v>
      </c>
      <c r="N827">
        <v>170163.63</v>
      </c>
      <c r="O827">
        <v>30729.759999999998</v>
      </c>
      <c r="P827">
        <v>65939.22</v>
      </c>
      <c r="Q827">
        <v>1</v>
      </c>
      <c r="R827">
        <v>2</v>
      </c>
      <c r="S827">
        <v>2.8</v>
      </c>
      <c r="T827" s="1" t="s">
        <v>94</v>
      </c>
      <c r="U827" s="1" t="s">
        <v>95</v>
      </c>
      <c r="V827" s="1" t="s">
        <v>130</v>
      </c>
      <c r="W827" s="1" t="s">
        <v>36</v>
      </c>
    </row>
    <row r="828" spans="1:23" x14ac:dyDescent="0.35">
      <c r="A828" s="1" t="s">
        <v>1814</v>
      </c>
      <c r="B828" s="1" t="s">
        <v>1100</v>
      </c>
      <c r="C828">
        <v>89</v>
      </c>
      <c r="D828" s="1" t="s">
        <v>71</v>
      </c>
      <c r="E828" s="1" t="s">
        <v>112</v>
      </c>
      <c r="F828" s="1" t="s">
        <v>87</v>
      </c>
      <c r="G828" s="1" t="s">
        <v>1815</v>
      </c>
      <c r="H828" s="2">
        <v>45672</v>
      </c>
      <c r="I828" s="1" t="s">
        <v>173</v>
      </c>
      <c r="J828" s="1" t="s">
        <v>87</v>
      </c>
      <c r="K828" s="1" t="s">
        <v>153</v>
      </c>
      <c r="L828" s="1" t="s">
        <v>56</v>
      </c>
      <c r="M828" s="1" t="s">
        <v>33</v>
      </c>
      <c r="N828">
        <v>200668.47</v>
      </c>
      <c r="O828">
        <v>44778.400000000001</v>
      </c>
      <c r="P828">
        <v>41790.86</v>
      </c>
      <c r="Q828">
        <v>4</v>
      </c>
      <c r="R828">
        <v>240</v>
      </c>
      <c r="S828">
        <v>1.4</v>
      </c>
      <c r="T828" s="1" t="s">
        <v>94</v>
      </c>
      <c r="U828" s="1" t="s">
        <v>58</v>
      </c>
      <c r="V828" s="1" t="s">
        <v>130</v>
      </c>
      <c r="W828" s="1" t="s">
        <v>131</v>
      </c>
    </row>
    <row r="829" spans="1:23" x14ac:dyDescent="0.35">
      <c r="A829" s="1" t="s">
        <v>1816</v>
      </c>
      <c r="B829" s="1" t="s">
        <v>1548</v>
      </c>
      <c r="C829">
        <v>7</v>
      </c>
      <c r="D829" s="1" t="s">
        <v>119</v>
      </c>
      <c r="E829" s="1" t="s">
        <v>33</v>
      </c>
      <c r="F829" s="1" t="s">
        <v>135</v>
      </c>
      <c r="G829" s="1" t="s">
        <v>1817</v>
      </c>
      <c r="H829" s="2">
        <v>45418</v>
      </c>
      <c r="I829" s="1" t="s">
        <v>273</v>
      </c>
      <c r="J829" s="1" t="s">
        <v>87</v>
      </c>
      <c r="K829" s="1" t="s">
        <v>55</v>
      </c>
      <c r="L829" s="1" t="s">
        <v>33</v>
      </c>
      <c r="M829" s="1" t="s">
        <v>183</v>
      </c>
      <c r="N829">
        <v>0</v>
      </c>
      <c r="O829">
        <v>37436.550000000003</v>
      </c>
      <c r="P829">
        <v>49184.93</v>
      </c>
      <c r="Q829">
        <v>3</v>
      </c>
      <c r="R829">
        <v>73</v>
      </c>
      <c r="S829">
        <v>3.6</v>
      </c>
      <c r="T829" s="1" t="s">
        <v>33</v>
      </c>
      <c r="U829" s="1" t="s">
        <v>58</v>
      </c>
      <c r="V829" s="1" t="s">
        <v>164</v>
      </c>
      <c r="W829" s="1" t="s">
        <v>36</v>
      </c>
    </row>
    <row r="830" spans="1:23" x14ac:dyDescent="0.35">
      <c r="A830" s="1" t="s">
        <v>1818</v>
      </c>
      <c r="B830" s="1" t="s">
        <v>564</v>
      </c>
      <c r="C830">
        <v>37</v>
      </c>
      <c r="D830" s="1" t="s">
        <v>119</v>
      </c>
      <c r="E830" s="1" t="s">
        <v>51</v>
      </c>
      <c r="F830" s="1" t="s">
        <v>41</v>
      </c>
      <c r="G830" s="1" t="s">
        <v>1819</v>
      </c>
      <c r="H830" s="2">
        <v>45705</v>
      </c>
      <c r="I830" s="1" t="s">
        <v>168</v>
      </c>
      <c r="J830" s="1" t="s">
        <v>33</v>
      </c>
      <c r="K830" s="1" t="s">
        <v>91</v>
      </c>
      <c r="L830" s="1" t="s">
        <v>56</v>
      </c>
      <c r="M830" s="1" t="s">
        <v>45</v>
      </c>
      <c r="N830">
        <v>291417.40999999997</v>
      </c>
      <c r="O830">
        <v>13765.88</v>
      </c>
      <c r="P830">
        <v>53856.98</v>
      </c>
      <c r="Q830">
        <v>27</v>
      </c>
      <c r="R830">
        <v>77</v>
      </c>
      <c r="S830">
        <v>3.2</v>
      </c>
      <c r="T830" s="1" t="s">
        <v>33</v>
      </c>
      <c r="U830" s="1" t="s">
        <v>95</v>
      </c>
      <c r="V830" s="1" t="s">
        <v>75</v>
      </c>
      <c r="W830" s="1" t="s">
        <v>12</v>
      </c>
    </row>
    <row r="831" spans="1:23" x14ac:dyDescent="0.35">
      <c r="A831" s="1" t="s">
        <v>1820</v>
      </c>
      <c r="B831" s="1" t="s">
        <v>634</v>
      </c>
      <c r="C831">
        <v>68</v>
      </c>
      <c r="D831" s="1" t="s">
        <v>71</v>
      </c>
      <c r="E831" s="1" t="s">
        <v>40</v>
      </c>
      <c r="F831" s="1" t="s">
        <v>27</v>
      </c>
      <c r="G831" s="1" t="s">
        <v>1821</v>
      </c>
      <c r="H831" s="2">
        <v>46195</v>
      </c>
      <c r="I831" s="1" t="s">
        <v>53</v>
      </c>
      <c r="J831" s="1" t="s">
        <v>43</v>
      </c>
      <c r="K831" s="1" t="s">
        <v>148</v>
      </c>
      <c r="L831" s="1" t="s">
        <v>33</v>
      </c>
      <c r="M831" s="1" t="s">
        <v>169</v>
      </c>
      <c r="N831">
        <v>239144.53</v>
      </c>
      <c r="O831">
        <v>0</v>
      </c>
      <c r="P831">
        <v>34169.72</v>
      </c>
      <c r="Q831">
        <v>11</v>
      </c>
      <c r="R831">
        <v>297</v>
      </c>
      <c r="S831">
        <v>3.4</v>
      </c>
      <c r="T831" s="1" t="s">
        <v>33</v>
      </c>
      <c r="U831" s="1" t="s">
        <v>33</v>
      </c>
      <c r="V831" s="1" t="s">
        <v>33</v>
      </c>
      <c r="W831" s="1" t="s">
        <v>59</v>
      </c>
    </row>
    <row r="832" spans="1:23" x14ac:dyDescent="0.35">
      <c r="A832" s="1" t="s">
        <v>1822</v>
      </c>
      <c r="B832" s="1" t="s">
        <v>644</v>
      </c>
      <c r="C832">
        <v>74</v>
      </c>
      <c r="D832" s="1" t="s">
        <v>106</v>
      </c>
      <c r="E832" s="1" t="s">
        <v>219</v>
      </c>
      <c r="F832" s="1" t="s">
        <v>27</v>
      </c>
      <c r="G832" s="1" t="s">
        <v>1823</v>
      </c>
      <c r="H832" s="2">
        <v>45465</v>
      </c>
      <c r="I832" s="1" t="s">
        <v>277</v>
      </c>
      <c r="J832" s="1" t="s">
        <v>152</v>
      </c>
      <c r="K832" s="1" t="s">
        <v>208</v>
      </c>
      <c r="L832" s="1" t="s">
        <v>33</v>
      </c>
      <c r="M832" s="1" t="s">
        <v>74</v>
      </c>
      <c r="N832">
        <v>250654.95</v>
      </c>
      <c r="O832">
        <v>8954.4599999999991</v>
      </c>
      <c r="P832">
        <v>0</v>
      </c>
      <c r="Q832">
        <v>6</v>
      </c>
      <c r="R832">
        <v>146</v>
      </c>
      <c r="S832">
        <v>2.6</v>
      </c>
      <c r="T832" s="1" t="s">
        <v>154</v>
      </c>
      <c r="U832" s="1" t="s">
        <v>149</v>
      </c>
      <c r="V832" s="1" t="s">
        <v>33</v>
      </c>
      <c r="W832" s="1" t="s">
        <v>103</v>
      </c>
    </row>
    <row r="833" spans="1:23" x14ac:dyDescent="0.35">
      <c r="A833" s="1" t="s">
        <v>1824</v>
      </c>
      <c r="B833" s="1" t="s">
        <v>1737</v>
      </c>
      <c r="C833">
        <v>15</v>
      </c>
      <c r="D833" s="1" t="s">
        <v>39</v>
      </c>
      <c r="E833" s="1" t="s">
        <v>219</v>
      </c>
      <c r="F833" s="1" t="s">
        <v>87</v>
      </c>
      <c r="G833" s="1" t="s">
        <v>1825</v>
      </c>
      <c r="H833" s="2">
        <v>45850</v>
      </c>
      <c r="I833" s="1" t="s">
        <v>221</v>
      </c>
      <c r="J833" s="1" t="s">
        <v>90</v>
      </c>
      <c r="K833" s="1" t="s">
        <v>153</v>
      </c>
      <c r="L833" s="1" t="s">
        <v>32</v>
      </c>
      <c r="M833" s="1" t="s">
        <v>74</v>
      </c>
      <c r="N833">
        <v>182866.74</v>
      </c>
      <c r="O833">
        <v>30842.98</v>
      </c>
      <c r="P833">
        <v>53057.81</v>
      </c>
      <c r="Q833">
        <v>3</v>
      </c>
      <c r="R833">
        <v>11</v>
      </c>
      <c r="S833">
        <v>5</v>
      </c>
      <c r="T833" s="1" t="s">
        <v>33</v>
      </c>
      <c r="U833" s="1" t="s">
        <v>33</v>
      </c>
      <c r="V833" s="1" t="s">
        <v>33</v>
      </c>
      <c r="W833" s="1" t="s">
        <v>33</v>
      </c>
    </row>
    <row r="834" spans="1:23" x14ac:dyDescent="0.35">
      <c r="A834" s="1" t="s">
        <v>1826</v>
      </c>
      <c r="B834" s="1" t="s">
        <v>821</v>
      </c>
      <c r="C834">
        <v>6</v>
      </c>
      <c r="D834" s="1" t="s">
        <v>106</v>
      </c>
      <c r="E834" s="1" t="s">
        <v>192</v>
      </c>
      <c r="F834" s="1" t="s">
        <v>33</v>
      </c>
      <c r="G834" s="1" t="s">
        <v>1827</v>
      </c>
      <c r="H834" s="2">
        <v>45907</v>
      </c>
      <c r="I834" s="1" t="s">
        <v>277</v>
      </c>
      <c r="J834" s="1" t="s">
        <v>33</v>
      </c>
      <c r="K834" s="1" t="s">
        <v>33</v>
      </c>
      <c r="L834" s="1" t="s">
        <v>32</v>
      </c>
      <c r="M834" s="1" t="s">
        <v>33</v>
      </c>
      <c r="N834">
        <v>204736.72</v>
      </c>
      <c r="O834">
        <v>30859.38</v>
      </c>
      <c r="P834">
        <v>49817.68</v>
      </c>
      <c r="Q834">
        <v>2</v>
      </c>
      <c r="R834">
        <v>197</v>
      </c>
      <c r="S834">
        <v>3.4</v>
      </c>
      <c r="T834" s="1" t="s">
        <v>33</v>
      </c>
      <c r="U834" s="1" t="s">
        <v>35</v>
      </c>
      <c r="V834" s="1" t="s">
        <v>33</v>
      </c>
      <c r="W834" s="1" t="s">
        <v>131</v>
      </c>
    </row>
    <row r="835" spans="1:23" x14ac:dyDescent="0.35">
      <c r="A835" s="1" t="s">
        <v>1828</v>
      </c>
      <c r="B835" s="1" t="s">
        <v>558</v>
      </c>
      <c r="C835">
        <v>18</v>
      </c>
      <c r="D835" s="1" t="s">
        <v>78</v>
      </c>
      <c r="E835" s="1" t="s">
        <v>40</v>
      </c>
      <c r="F835" s="1" t="s">
        <v>56</v>
      </c>
      <c r="G835" s="1" t="s">
        <v>1829</v>
      </c>
      <c r="H835" s="2">
        <v>46258</v>
      </c>
      <c r="I835" s="1" t="s">
        <v>235</v>
      </c>
      <c r="J835" s="1" t="s">
        <v>137</v>
      </c>
      <c r="K835" s="1" t="s">
        <v>55</v>
      </c>
      <c r="L835" s="1" t="s">
        <v>66</v>
      </c>
      <c r="M835" s="1" t="s">
        <v>33</v>
      </c>
      <c r="N835">
        <v>334877.49</v>
      </c>
      <c r="O835">
        <v>34607.730000000003</v>
      </c>
      <c r="P835">
        <v>32399.17</v>
      </c>
      <c r="Q835">
        <v>2</v>
      </c>
      <c r="R835">
        <v>0</v>
      </c>
      <c r="S835">
        <v>5</v>
      </c>
      <c r="T835" s="1" t="s">
        <v>33</v>
      </c>
      <c r="U835" s="1" t="s">
        <v>67</v>
      </c>
      <c r="V835" s="1" t="s">
        <v>33</v>
      </c>
      <c r="W835" s="1" t="s">
        <v>33</v>
      </c>
    </row>
    <row r="836" spans="1:23" x14ac:dyDescent="0.35">
      <c r="A836" s="1" t="s">
        <v>1830</v>
      </c>
      <c r="B836" s="1" t="s">
        <v>139</v>
      </c>
      <c r="C836">
        <v>29</v>
      </c>
      <c r="D836" s="1" t="s">
        <v>33</v>
      </c>
      <c r="E836" s="1" t="s">
        <v>177</v>
      </c>
      <c r="F836" s="1" t="s">
        <v>33</v>
      </c>
      <c r="G836" s="1" t="s">
        <v>1695</v>
      </c>
      <c r="H836" s="2">
        <v>45524</v>
      </c>
      <c r="I836" s="1" t="s">
        <v>159</v>
      </c>
      <c r="J836" s="1" t="s">
        <v>80</v>
      </c>
      <c r="K836" s="1" t="s">
        <v>148</v>
      </c>
      <c r="L836" s="1" t="s">
        <v>33</v>
      </c>
      <c r="M836" s="1" t="s">
        <v>123</v>
      </c>
      <c r="N836">
        <v>270168.23</v>
      </c>
      <c r="O836">
        <v>86.05</v>
      </c>
      <c r="P836">
        <v>194.71</v>
      </c>
      <c r="Q836">
        <v>1</v>
      </c>
      <c r="R836">
        <v>0</v>
      </c>
      <c r="S836">
        <v>4.5999999999999996</v>
      </c>
      <c r="T836" s="1" t="s">
        <v>34</v>
      </c>
      <c r="U836" s="1" t="s">
        <v>35</v>
      </c>
      <c r="V836" s="1" t="s">
        <v>33</v>
      </c>
      <c r="W836" s="1" t="s">
        <v>83</v>
      </c>
    </row>
    <row r="837" spans="1:23" x14ac:dyDescent="0.35">
      <c r="A837" s="1" t="s">
        <v>1831</v>
      </c>
      <c r="B837" s="1" t="s">
        <v>226</v>
      </c>
      <c r="C837">
        <v>92</v>
      </c>
      <c r="D837" s="1" t="s">
        <v>71</v>
      </c>
      <c r="E837" s="1" t="s">
        <v>26</v>
      </c>
      <c r="F837" s="1" t="s">
        <v>44</v>
      </c>
      <c r="G837" s="1" t="s">
        <v>1832</v>
      </c>
      <c r="H837" s="2">
        <v>46268</v>
      </c>
      <c r="I837" s="1" t="s">
        <v>273</v>
      </c>
      <c r="J837" s="1" t="s">
        <v>242</v>
      </c>
      <c r="K837" s="1" t="s">
        <v>55</v>
      </c>
      <c r="L837" s="1" t="s">
        <v>32</v>
      </c>
      <c r="M837" s="1" t="s">
        <v>45</v>
      </c>
      <c r="N837">
        <v>80790.289999999994</v>
      </c>
      <c r="O837">
        <v>6963.72</v>
      </c>
      <c r="P837">
        <v>28038.21</v>
      </c>
      <c r="Q837">
        <v>2</v>
      </c>
      <c r="R837">
        <v>113</v>
      </c>
      <c r="S837">
        <v>3.1</v>
      </c>
      <c r="T837" s="1" t="s">
        <v>154</v>
      </c>
      <c r="U837" s="1" t="s">
        <v>35</v>
      </c>
      <c r="V837" s="1" t="s">
        <v>75</v>
      </c>
      <c r="W837" s="1" t="s">
        <v>12</v>
      </c>
    </row>
    <row r="838" spans="1:23" x14ac:dyDescent="0.35">
      <c r="A838" s="1" t="s">
        <v>1833</v>
      </c>
      <c r="B838" s="1" t="s">
        <v>909</v>
      </c>
      <c r="C838">
        <v>21</v>
      </c>
      <c r="D838" s="1" t="s">
        <v>39</v>
      </c>
      <c r="E838" s="1" t="s">
        <v>219</v>
      </c>
      <c r="F838" s="1" t="s">
        <v>108</v>
      </c>
      <c r="G838" s="1" t="s">
        <v>1834</v>
      </c>
      <c r="H838" s="2">
        <v>45647</v>
      </c>
      <c r="I838" s="1" t="s">
        <v>114</v>
      </c>
      <c r="J838" s="1" t="s">
        <v>115</v>
      </c>
      <c r="K838" s="1" t="s">
        <v>81</v>
      </c>
      <c r="L838" s="1" t="s">
        <v>92</v>
      </c>
      <c r="M838" s="1" t="s">
        <v>142</v>
      </c>
      <c r="N838">
        <v>26577.16</v>
      </c>
      <c r="O838">
        <v>0</v>
      </c>
      <c r="P838">
        <v>0</v>
      </c>
      <c r="Q838">
        <v>4</v>
      </c>
      <c r="R838">
        <v>56</v>
      </c>
      <c r="S838">
        <v>3.3</v>
      </c>
      <c r="T838" s="1" t="s">
        <v>154</v>
      </c>
      <c r="U838" s="1" t="s">
        <v>95</v>
      </c>
      <c r="V838" s="1" t="s">
        <v>33</v>
      </c>
      <c r="W838" s="1" t="s">
        <v>36</v>
      </c>
    </row>
    <row r="839" spans="1:23" x14ac:dyDescent="0.35">
      <c r="A839" s="1" t="s">
        <v>1835</v>
      </c>
      <c r="B839" s="1" t="s">
        <v>787</v>
      </c>
      <c r="C839">
        <v>70</v>
      </c>
      <c r="D839" s="1" t="s">
        <v>25</v>
      </c>
      <c r="E839" s="1" t="s">
        <v>134</v>
      </c>
      <c r="F839" s="1" t="s">
        <v>27</v>
      </c>
      <c r="G839" s="1" t="s">
        <v>754</v>
      </c>
      <c r="H839" s="2">
        <v>45845</v>
      </c>
      <c r="I839" s="1" t="s">
        <v>173</v>
      </c>
      <c r="J839" s="1" t="s">
        <v>65</v>
      </c>
      <c r="K839" s="1" t="s">
        <v>91</v>
      </c>
      <c r="L839" s="1" t="s">
        <v>44</v>
      </c>
      <c r="M839" s="1" t="s">
        <v>129</v>
      </c>
      <c r="N839">
        <v>391924.23</v>
      </c>
      <c r="O839">
        <v>21629.93</v>
      </c>
      <c r="P839">
        <v>0</v>
      </c>
      <c r="Q839">
        <v>2</v>
      </c>
      <c r="R839">
        <v>52</v>
      </c>
      <c r="S839">
        <v>2.9</v>
      </c>
      <c r="T839" s="1" t="s">
        <v>94</v>
      </c>
      <c r="U839" s="1" t="s">
        <v>33</v>
      </c>
      <c r="V839" s="1" t="s">
        <v>75</v>
      </c>
      <c r="W839" s="1" t="s">
        <v>33</v>
      </c>
    </row>
    <row r="840" spans="1:23" x14ac:dyDescent="0.35">
      <c r="A840" s="1" t="s">
        <v>1836</v>
      </c>
      <c r="B840" s="1" t="s">
        <v>1837</v>
      </c>
      <c r="C840">
        <v>27</v>
      </c>
      <c r="D840" s="1" t="s">
        <v>39</v>
      </c>
      <c r="E840" s="1" t="s">
        <v>72</v>
      </c>
      <c r="F840" s="1" t="s">
        <v>108</v>
      </c>
      <c r="G840" s="1" t="s">
        <v>1838</v>
      </c>
      <c r="H840" s="2">
        <v>45758</v>
      </c>
      <c r="I840" s="1" t="s">
        <v>33</v>
      </c>
      <c r="J840" s="1" t="s">
        <v>141</v>
      </c>
      <c r="K840" s="1" t="s">
        <v>122</v>
      </c>
      <c r="L840" s="1" t="s">
        <v>66</v>
      </c>
      <c r="M840" s="1" t="s">
        <v>123</v>
      </c>
      <c r="N840">
        <v>128515.19</v>
      </c>
      <c r="O840">
        <v>20336.46</v>
      </c>
      <c r="P840">
        <v>25933.77</v>
      </c>
      <c r="Q840">
        <v>1</v>
      </c>
      <c r="R840">
        <v>110</v>
      </c>
      <c r="S840">
        <v>4.2</v>
      </c>
      <c r="T840" s="1" t="s">
        <v>34</v>
      </c>
      <c r="U840" s="1" t="s">
        <v>33</v>
      </c>
      <c r="V840" s="1" t="s">
        <v>68</v>
      </c>
      <c r="W840" s="1" t="s">
        <v>179</v>
      </c>
    </row>
    <row r="841" spans="1:23" x14ac:dyDescent="0.35">
      <c r="A841" s="1" t="s">
        <v>1839</v>
      </c>
      <c r="B841" s="1" t="s">
        <v>533</v>
      </c>
      <c r="C841">
        <v>70</v>
      </c>
      <c r="D841" s="1" t="s">
        <v>25</v>
      </c>
      <c r="E841" s="1" t="s">
        <v>33</v>
      </c>
      <c r="F841" s="1" t="s">
        <v>135</v>
      </c>
      <c r="G841" s="1" t="s">
        <v>1840</v>
      </c>
      <c r="H841" s="2">
        <v>45748</v>
      </c>
      <c r="I841" s="1" t="s">
        <v>53</v>
      </c>
      <c r="J841" s="1" t="s">
        <v>242</v>
      </c>
      <c r="K841" s="1" t="s">
        <v>208</v>
      </c>
      <c r="L841" s="1" t="s">
        <v>92</v>
      </c>
      <c r="M841" s="1" t="s">
        <v>129</v>
      </c>
      <c r="N841">
        <v>82791.28</v>
      </c>
      <c r="O841">
        <v>0</v>
      </c>
      <c r="P841">
        <v>56423.34</v>
      </c>
      <c r="Q841">
        <v>1</v>
      </c>
      <c r="R841">
        <v>33</v>
      </c>
      <c r="T841" s="1" t="s">
        <v>33</v>
      </c>
      <c r="U841" s="1" t="s">
        <v>95</v>
      </c>
      <c r="V841" s="1" t="s">
        <v>164</v>
      </c>
      <c r="W841" s="1" t="s">
        <v>131</v>
      </c>
    </row>
    <row r="842" spans="1:23" x14ac:dyDescent="0.35">
      <c r="A842" s="1" t="s">
        <v>1841</v>
      </c>
      <c r="B842" s="1" t="s">
        <v>199</v>
      </c>
      <c r="C842">
        <v>73</v>
      </c>
      <c r="D842" s="1" t="s">
        <v>106</v>
      </c>
      <c r="E842" s="1" t="s">
        <v>134</v>
      </c>
      <c r="F842" s="1" t="s">
        <v>120</v>
      </c>
      <c r="G842" s="1" t="s">
        <v>1539</v>
      </c>
      <c r="H842" s="2">
        <v>45908</v>
      </c>
      <c r="I842" s="1" t="s">
        <v>277</v>
      </c>
      <c r="J842" s="1" t="s">
        <v>33</v>
      </c>
      <c r="K842" s="1" t="s">
        <v>55</v>
      </c>
      <c r="L842" s="1" t="s">
        <v>32</v>
      </c>
      <c r="M842" s="1" t="s">
        <v>142</v>
      </c>
      <c r="N842">
        <v>314121.08</v>
      </c>
      <c r="O842">
        <v>0</v>
      </c>
      <c r="P842">
        <v>636.69000000000005</v>
      </c>
      <c r="Q842">
        <v>1</v>
      </c>
      <c r="R842">
        <v>220</v>
      </c>
      <c r="S842">
        <v>2.7</v>
      </c>
      <c r="T842" s="1" t="s">
        <v>33</v>
      </c>
      <c r="U842" s="1" t="s">
        <v>101</v>
      </c>
      <c r="V842" s="1" t="s">
        <v>130</v>
      </c>
      <c r="W842" s="1" t="s">
        <v>179</v>
      </c>
    </row>
    <row r="843" spans="1:23" x14ac:dyDescent="0.35">
      <c r="A843" s="1" t="s">
        <v>1842</v>
      </c>
      <c r="B843" s="1" t="s">
        <v>446</v>
      </c>
      <c r="C843">
        <v>0</v>
      </c>
      <c r="D843" s="1" t="s">
        <v>33</v>
      </c>
      <c r="E843" s="1" t="s">
        <v>40</v>
      </c>
      <c r="F843" s="1" t="s">
        <v>27</v>
      </c>
      <c r="G843" s="1" t="s">
        <v>1843</v>
      </c>
      <c r="H843" s="2">
        <v>45890</v>
      </c>
      <c r="I843" s="1" t="s">
        <v>53</v>
      </c>
      <c r="J843" s="1" t="s">
        <v>43</v>
      </c>
      <c r="K843" s="1" t="s">
        <v>208</v>
      </c>
      <c r="L843" s="1" t="s">
        <v>44</v>
      </c>
      <c r="M843" s="1" t="s">
        <v>57</v>
      </c>
      <c r="N843">
        <v>170891.05</v>
      </c>
      <c r="O843">
        <v>24307.01</v>
      </c>
      <c r="P843">
        <v>66464.789999999994</v>
      </c>
      <c r="Q843">
        <v>1</v>
      </c>
      <c r="R843">
        <v>0</v>
      </c>
      <c r="S843">
        <v>1.7</v>
      </c>
      <c r="T843" s="1" t="s">
        <v>154</v>
      </c>
      <c r="U843" s="1" t="s">
        <v>149</v>
      </c>
      <c r="V843" s="1" t="s">
        <v>102</v>
      </c>
      <c r="W843" s="1" t="s">
        <v>36</v>
      </c>
    </row>
    <row r="844" spans="1:23" x14ac:dyDescent="0.35">
      <c r="A844" s="1" t="s">
        <v>1844</v>
      </c>
      <c r="B844" s="1" t="s">
        <v>616</v>
      </c>
      <c r="C844">
        <v>65</v>
      </c>
      <c r="D844" s="1" t="s">
        <v>25</v>
      </c>
      <c r="E844" s="1" t="s">
        <v>134</v>
      </c>
      <c r="F844" s="1" t="s">
        <v>41</v>
      </c>
      <c r="G844" s="1" t="s">
        <v>1281</v>
      </c>
      <c r="H844" s="2">
        <v>45673</v>
      </c>
      <c r="I844" s="1" t="s">
        <v>53</v>
      </c>
      <c r="J844" s="1" t="s">
        <v>242</v>
      </c>
      <c r="K844" s="1" t="s">
        <v>128</v>
      </c>
      <c r="L844" s="1" t="s">
        <v>92</v>
      </c>
      <c r="M844" s="1" t="s">
        <v>33</v>
      </c>
      <c r="N844">
        <v>38.67</v>
      </c>
      <c r="O844">
        <v>57037.85</v>
      </c>
      <c r="P844">
        <v>46126.26</v>
      </c>
      <c r="Q844">
        <v>4</v>
      </c>
      <c r="R844">
        <v>176</v>
      </c>
      <c r="S844">
        <v>3.6</v>
      </c>
      <c r="T844" s="1" t="s">
        <v>94</v>
      </c>
      <c r="U844" s="1" t="s">
        <v>35</v>
      </c>
      <c r="V844" s="1" t="s">
        <v>75</v>
      </c>
      <c r="W844" s="1" t="s">
        <v>131</v>
      </c>
    </row>
    <row r="845" spans="1:23" x14ac:dyDescent="0.35">
      <c r="A845" s="1" t="s">
        <v>1845</v>
      </c>
      <c r="B845" s="1" t="s">
        <v>637</v>
      </c>
      <c r="C845">
        <v>39</v>
      </c>
      <c r="D845" s="1" t="s">
        <v>119</v>
      </c>
      <c r="E845" s="1" t="s">
        <v>192</v>
      </c>
      <c r="F845" s="1" t="s">
        <v>120</v>
      </c>
      <c r="G845" s="1" t="s">
        <v>1817</v>
      </c>
      <c r="H845" s="2">
        <v>45416</v>
      </c>
      <c r="I845" s="1" t="s">
        <v>100</v>
      </c>
      <c r="J845" s="1" t="s">
        <v>65</v>
      </c>
      <c r="K845" s="1" t="s">
        <v>31</v>
      </c>
      <c r="L845" s="1" t="s">
        <v>56</v>
      </c>
      <c r="M845" s="1" t="s">
        <v>33</v>
      </c>
      <c r="N845">
        <v>368420.13</v>
      </c>
      <c r="O845">
        <v>7656.35</v>
      </c>
      <c r="P845">
        <v>33361.050000000003</v>
      </c>
      <c r="Q845">
        <v>1</v>
      </c>
      <c r="R845">
        <v>81</v>
      </c>
      <c r="S845">
        <v>0</v>
      </c>
      <c r="T845" s="1" t="s">
        <v>34</v>
      </c>
      <c r="U845" s="1" t="s">
        <v>67</v>
      </c>
      <c r="V845" s="1" t="s">
        <v>164</v>
      </c>
      <c r="W845" s="1" t="s">
        <v>33</v>
      </c>
    </row>
    <row r="846" spans="1:23" x14ac:dyDescent="0.35">
      <c r="A846" s="1" t="s">
        <v>1846</v>
      </c>
      <c r="B846" s="1" t="s">
        <v>275</v>
      </c>
      <c r="C846">
        <v>23</v>
      </c>
      <c r="D846" s="1" t="s">
        <v>39</v>
      </c>
      <c r="E846" s="1" t="s">
        <v>26</v>
      </c>
      <c r="F846" s="1" t="s">
        <v>227</v>
      </c>
      <c r="G846" s="1" t="s">
        <v>1847</v>
      </c>
      <c r="H846" s="2">
        <v>45438</v>
      </c>
      <c r="I846" s="1" t="s">
        <v>53</v>
      </c>
      <c r="J846" s="1" t="s">
        <v>54</v>
      </c>
      <c r="K846" s="1" t="s">
        <v>33</v>
      </c>
      <c r="L846" s="1" t="s">
        <v>44</v>
      </c>
      <c r="M846" s="1" t="s">
        <v>57</v>
      </c>
      <c r="N846">
        <v>290802.96000000002</v>
      </c>
      <c r="O846">
        <v>27832.47</v>
      </c>
      <c r="P846">
        <v>82728.570000000007</v>
      </c>
      <c r="Q846">
        <v>10</v>
      </c>
      <c r="R846">
        <v>125</v>
      </c>
      <c r="S846">
        <v>3.4</v>
      </c>
      <c r="T846" s="1" t="s">
        <v>46</v>
      </c>
      <c r="U846" s="1" t="s">
        <v>58</v>
      </c>
      <c r="V846" s="1" t="s">
        <v>130</v>
      </c>
      <c r="W846" s="1" t="s">
        <v>12</v>
      </c>
    </row>
    <row r="847" spans="1:23" x14ac:dyDescent="0.35">
      <c r="A847" s="1" t="s">
        <v>1848</v>
      </c>
      <c r="B847" s="1" t="s">
        <v>810</v>
      </c>
      <c r="C847">
        <v>60</v>
      </c>
      <c r="D847" s="1" t="s">
        <v>33</v>
      </c>
      <c r="E847" s="1" t="s">
        <v>112</v>
      </c>
      <c r="F847" s="1" t="s">
        <v>120</v>
      </c>
      <c r="G847" s="1" t="s">
        <v>1849</v>
      </c>
      <c r="H847" s="2">
        <v>45782</v>
      </c>
      <c r="I847" s="1" t="s">
        <v>100</v>
      </c>
      <c r="J847" s="1" t="s">
        <v>115</v>
      </c>
      <c r="K847" s="1" t="s">
        <v>174</v>
      </c>
      <c r="L847" s="1" t="s">
        <v>33</v>
      </c>
      <c r="M847" s="1" t="s">
        <v>33</v>
      </c>
      <c r="N847">
        <v>0</v>
      </c>
      <c r="O847">
        <v>46147.26</v>
      </c>
      <c r="P847">
        <v>12028.66</v>
      </c>
      <c r="Q847">
        <v>1</v>
      </c>
      <c r="R847">
        <v>188</v>
      </c>
      <c r="S847">
        <v>3.9</v>
      </c>
      <c r="T847" s="1" t="s">
        <v>33</v>
      </c>
      <c r="U847" s="1" t="s">
        <v>35</v>
      </c>
      <c r="V847" s="1" t="s">
        <v>102</v>
      </c>
      <c r="W847" s="1" t="s">
        <v>83</v>
      </c>
    </row>
    <row r="848" spans="1:23" x14ac:dyDescent="0.35">
      <c r="A848" s="1" t="s">
        <v>1850</v>
      </c>
      <c r="B848" s="1" t="s">
        <v>595</v>
      </c>
      <c r="C848">
        <v>44</v>
      </c>
      <c r="D848" s="1" t="s">
        <v>71</v>
      </c>
      <c r="E848" s="1" t="s">
        <v>134</v>
      </c>
      <c r="F848" s="1" t="s">
        <v>33</v>
      </c>
      <c r="G848" s="1" t="s">
        <v>1563</v>
      </c>
      <c r="H848" s="2">
        <v>45464</v>
      </c>
      <c r="I848" s="1" t="s">
        <v>173</v>
      </c>
      <c r="J848" s="1" t="s">
        <v>30</v>
      </c>
      <c r="K848" s="1" t="s">
        <v>33</v>
      </c>
      <c r="L848" s="1" t="s">
        <v>66</v>
      </c>
      <c r="M848" s="1" t="s">
        <v>129</v>
      </c>
      <c r="N848">
        <v>0</v>
      </c>
      <c r="O848">
        <v>8481.77</v>
      </c>
      <c r="P848">
        <v>65171.68</v>
      </c>
      <c r="Q848">
        <v>4</v>
      </c>
      <c r="R848">
        <v>107</v>
      </c>
      <c r="S848">
        <v>5</v>
      </c>
      <c r="T848" s="1" t="s">
        <v>154</v>
      </c>
      <c r="U848" s="1" t="s">
        <v>33</v>
      </c>
      <c r="V848" s="1" t="s">
        <v>130</v>
      </c>
      <c r="W848" s="1" t="s">
        <v>103</v>
      </c>
    </row>
    <row r="849" spans="1:23" x14ac:dyDescent="0.35">
      <c r="A849" s="1" t="s">
        <v>1851</v>
      </c>
      <c r="B849" s="1" t="s">
        <v>1066</v>
      </c>
      <c r="C849">
        <v>21</v>
      </c>
      <c r="D849" s="1" t="s">
        <v>71</v>
      </c>
      <c r="E849" s="1" t="s">
        <v>177</v>
      </c>
      <c r="F849" s="1" t="s">
        <v>41</v>
      </c>
      <c r="G849" s="1" t="s">
        <v>1852</v>
      </c>
      <c r="H849" s="2">
        <v>46183</v>
      </c>
      <c r="I849" s="1" t="s">
        <v>33</v>
      </c>
      <c r="J849" s="1" t="s">
        <v>33</v>
      </c>
      <c r="K849" s="1" t="s">
        <v>128</v>
      </c>
      <c r="L849" s="1" t="s">
        <v>33</v>
      </c>
      <c r="M849" s="1" t="s">
        <v>33</v>
      </c>
      <c r="N849">
        <v>108551.02</v>
      </c>
      <c r="O849">
        <v>32572.93</v>
      </c>
      <c r="P849">
        <v>0</v>
      </c>
      <c r="Q849">
        <v>4</v>
      </c>
      <c r="R849">
        <v>220</v>
      </c>
      <c r="S849">
        <v>4.3</v>
      </c>
      <c r="T849" s="1" t="s">
        <v>34</v>
      </c>
      <c r="U849" s="1" t="s">
        <v>101</v>
      </c>
      <c r="V849" s="1" t="s">
        <v>164</v>
      </c>
      <c r="W849" s="1" t="s">
        <v>33</v>
      </c>
    </row>
    <row r="850" spans="1:23" x14ac:dyDescent="0.35">
      <c r="A850" s="1" t="s">
        <v>1853</v>
      </c>
      <c r="B850" s="1" t="s">
        <v>574</v>
      </c>
      <c r="C850">
        <v>8</v>
      </c>
      <c r="D850" s="1" t="s">
        <v>119</v>
      </c>
      <c r="E850" s="1" t="s">
        <v>219</v>
      </c>
      <c r="F850" s="1" t="s">
        <v>63</v>
      </c>
      <c r="G850" s="1" t="s">
        <v>1336</v>
      </c>
      <c r="H850" s="2">
        <v>45448</v>
      </c>
      <c r="I850" s="1" t="s">
        <v>89</v>
      </c>
      <c r="J850" s="1" t="s">
        <v>242</v>
      </c>
      <c r="K850" s="1" t="s">
        <v>91</v>
      </c>
      <c r="L850" s="1" t="s">
        <v>33</v>
      </c>
      <c r="M850" s="1" t="s">
        <v>74</v>
      </c>
      <c r="N850">
        <v>394239.12</v>
      </c>
      <c r="O850">
        <v>85787.47</v>
      </c>
      <c r="P850">
        <v>5373.65</v>
      </c>
      <c r="Q850">
        <v>7</v>
      </c>
      <c r="R850">
        <v>152</v>
      </c>
      <c r="S850">
        <v>3.7</v>
      </c>
      <c r="T850" s="1" t="s">
        <v>33</v>
      </c>
      <c r="U850" s="1" t="s">
        <v>67</v>
      </c>
      <c r="V850" s="1" t="s">
        <v>164</v>
      </c>
      <c r="W850" s="1" t="s">
        <v>33</v>
      </c>
    </row>
    <row r="851" spans="1:23" x14ac:dyDescent="0.35">
      <c r="A851" s="1" t="s">
        <v>1854</v>
      </c>
      <c r="B851" s="1" t="s">
        <v>1365</v>
      </c>
      <c r="C851">
        <v>53</v>
      </c>
      <c r="D851" s="1" t="s">
        <v>78</v>
      </c>
      <c r="E851" s="1" t="s">
        <v>33</v>
      </c>
      <c r="F851" s="1" t="s">
        <v>227</v>
      </c>
      <c r="G851" s="1" t="s">
        <v>1487</v>
      </c>
      <c r="H851" s="2">
        <v>45991</v>
      </c>
      <c r="I851" s="1" t="s">
        <v>221</v>
      </c>
      <c r="J851" s="1" t="s">
        <v>80</v>
      </c>
      <c r="K851" s="1" t="s">
        <v>91</v>
      </c>
      <c r="L851" s="1" t="s">
        <v>66</v>
      </c>
      <c r="M851" s="1" t="s">
        <v>123</v>
      </c>
      <c r="N851">
        <v>336704.45</v>
      </c>
      <c r="O851">
        <v>14971.84</v>
      </c>
      <c r="P851">
        <v>79977.5</v>
      </c>
      <c r="Q851">
        <v>1</v>
      </c>
      <c r="R851">
        <v>0</v>
      </c>
      <c r="S851">
        <v>1.8</v>
      </c>
      <c r="T851" s="1" t="s">
        <v>94</v>
      </c>
      <c r="U851" s="1" t="s">
        <v>35</v>
      </c>
      <c r="V851" s="1" t="s">
        <v>164</v>
      </c>
      <c r="W851" s="1" t="s">
        <v>12</v>
      </c>
    </row>
    <row r="852" spans="1:23" x14ac:dyDescent="0.35">
      <c r="A852" s="1" t="s">
        <v>1855</v>
      </c>
      <c r="B852" s="1" t="s">
        <v>38</v>
      </c>
      <c r="C852">
        <v>43</v>
      </c>
      <c r="D852" s="1" t="s">
        <v>71</v>
      </c>
      <c r="E852" s="1" t="s">
        <v>219</v>
      </c>
      <c r="F852" s="1" t="s">
        <v>63</v>
      </c>
      <c r="G852" s="1" t="s">
        <v>1461</v>
      </c>
      <c r="H852" s="2">
        <v>45874</v>
      </c>
      <c r="I852" s="1" t="s">
        <v>159</v>
      </c>
      <c r="J852" s="1" t="s">
        <v>33</v>
      </c>
      <c r="K852" s="1" t="s">
        <v>122</v>
      </c>
      <c r="L852" s="1" t="s">
        <v>92</v>
      </c>
      <c r="M852" s="1" t="s">
        <v>33</v>
      </c>
      <c r="N852">
        <v>119679.71</v>
      </c>
      <c r="O852">
        <v>50239.86</v>
      </c>
      <c r="P852">
        <v>60926.83</v>
      </c>
      <c r="Q852">
        <v>3</v>
      </c>
      <c r="R852">
        <v>159</v>
      </c>
      <c r="S852">
        <v>3.5</v>
      </c>
      <c r="T852" s="1" t="s">
        <v>33</v>
      </c>
      <c r="U852" s="1" t="s">
        <v>58</v>
      </c>
      <c r="V852" s="1" t="s">
        <v>164</v>
      </c>
      <c r="W852" s="1" t="s">
        <v>179</v>
      </c>
    </row>
    <row r="853" spans="1:23" x14ac:dyDescent="0.35">
      <c r="A853" s="1" t="s">
        <v>1856</v>
      </c>
      <c r="B853" s="1" t="s">
        <v>1069</v>
      </c>
      <c r="C853">
        <v>33</v>
      </c>
      <c r="D853" s="1" t="s">
        <v>106</v>
      </c>
      <c r="E853" s="1" t="s">
        <v>72</v>
      </c>
      <c r="F853" s="1" t="s">
        <v>108</v>
      </c>
      <c r="G853" s="1" t="s">
        <v>640</v>
      </c>
      <c r="H853" s="2">
        <v>45490</v>
      </c>
      <c r="I853" s="1" t="s">
        <v>53</v>
      </c>
      <c r="J853" s="1" t="s">
        <v>90</v>
      </c>
      <c r="K853" s="1" t="s">
        <v>174</v>
      </c>
      <c r="L853" s="1" t="s">
        <v>32</v>
      </c>
      <c r="M853" s="1" t="s">
        <v>57</v>
      </c>
      <c r="N853">
        <v>507534.62</v>
      </c>
      <c r="O853">
        <v>9686.36</v>
      </c>
      <c r="P853">
        <v>108158.92</v>
      </c>
      <c r="Q853">
        <v>4</v>
      </c>
      <c r="R853">
        <v>97</v>
      </c>
      <c r="S853">
        <v>1.9</v>
      </c>
      <c r="T853" s="1" t="s">
        <v>33</v>
      </c>
      <c r="U853" s="1" t="s">
        <v>58</v>
      </c>
      <c r="V853" s="1" t="s">
        <v>68</v>
      </c>
      <c r="W853" s="1" t="s">
        <v>59</v>
      </c>
    </row>
    <row r="854" spans="1:23" x14ac:dyDescent="0.35">
      <c r="A854" s="1" t="s">
        <v>1857</v>
      </c>
      <c r="B854" s="1" t="s">
        <v>931</v>
      </c>
      <c r="C854">
        <v>45</v>
      </c>
      <c r="D854" s="1" t="s">
        <v>50</v>
      </c>
      <c r="E854" s="1" t="s">
        <v>203</v>
      </c>
      <c r="F854" s="1" t="s">
        <v>145</v>
      </c>
      <c r="G854" s="1" t="s">
        <v>398</v>
      </c>
      <c r="H854" s="2">
        <v>46034</v>
      </c>
      <c r="I854" s="1" t="s">
        <v>235</v>
      </c>
      <c r="J854" s="1" t="s">
        <v>147</v>
      </c>
      <c r="K854" s="1" t="s">
        <v>153</v>
      </c>
      <c r="L854" s="1" t="s">
        <v>92</v>
      </c>
      <c r="M854" s="1" t="s">
        <v>57</v>
      </c>
      <c r="N854">
        <v>339157.37</v>
      </c>
      <c r="O854">
        <v>60596.4</v>
      </c>
      <c r="P854">
        <v>55138.67</v>
      </c>
      <c r="Q854">
        <v>8</v>
      </c>
      <c r="R854">
        <v>50</v>
      </c>
      <c r="S854">
        <v>5</v>
      </c>
      <c r="T854" s="1" t="s">
        <v>154</v>
      </c>
      <c r="U854" s="1" t="s">
        <v>35</v>
      </c>
      <c r="V854" s="1" t="s">
        <v>33</v>
      </c>
      <c r="W854" s="1" t="s">
        <v>33</v>
      </c>
    </row>
    <row r="855" spans="1:23" x14ac:dyDescent="0.35">
      <c r="A855" s="1" t="s">
        <v>1858</v>
      </c>
      <c r="B855" s="1" t="s">
        <v>983</v>
      </c>
      <c r="C855">
        <v>58</v>
      </c>
      <c r="D855" s="1" t="s">
        <v>50</v>
      </c>
      <c r="E855" s="1" t="s">
        <v>33</v>
      </c>
      <c r="F855" s="1" t="s">
        <v>193</v>
      </c>
      <c r="G855" s="1" t="s">
        <v>433</v>
      </c>
      <c r="H855" s="2">
        <v>45858</v>
      </c>
      <c r="I855" s="1" t="s">
        <v>168</v>
      </c>
      <c r="J855" s="1" t="s">
        <v>30</v>
      </c>
      <c r="K855" s="1" t="s">
        <v>153</v>
      </c>
      <c r="L855" s="1" t="s">
        <v>44</v>
      </c>
      <c r="M855" s="1" t="s">
        <v>129</v>
      </c>
      <c r="N855">
        <v>0</v>
      </c>
      <c r="O855">
        <v>41174.54</v>
      </c>
      <c r="P855">
        <v>25842.43</v>
      </c>
      <c r="Q855">
        <v>3</v>
      </c>
      <c r="R855">
        <v>218</v>
      </c>
      <c r="S855">
        <v>4.5</v>
      </c>
      <c r="T855" s="1" t="s">
        <v>154</v>
      </c>
      <c r="U855" s="1" t="s">
        <v>33</v>
      </c>
      <c r="V855" s="1" t="s">
        <v>75</v>
      </c>
      <c r="W855" s="1" t="s">
        <v>33</v>
      </c>
    </row>
    <row r="856" spans="1:23" x14ac:dyDescent="0.35">
      <c r="A856" s="1" t="s">
        <v>1859</v>
      </c>
      <c r="B856" s="1" t="s">
        <v>1425</v>
      </c>
      <c r="C856">
        <v>53</v>
      </c>
      <c r="D856" s="1" t="s">
        <v>119</v>
      </c>
      <c r="E856" s="1" t="s">
        <v>86</v>
      </c>
      <c r="F856" s="1" t="s">
        <v>63</v>
      </c>
      <c r="G856" s="1" t="s">
        <v>1860</v>
      </c>
      <c r="H856" s="2">
        <v>45350</v>
      </c>
      <c r="I856" s="1" t="s">
        <v>127</v>
      </c>
      <c r="J856" s="1" t="s">
        <v>54</v>
      </c>
      <c r="K856" s="1" t="s">
        <v>174</v>
      </c>
      <c r="L856" s="1" t="s">
        <v>66</v>
      </c>
      <c r="M856" s="1" t="s">
        <v>45</v>
      </c>
      <c r="N856">
        <v>80218.28</v>
      </c>
      <c r="O856">
        <v>70581.42</v>
      </c>
      <c r="P856">
        <v>104741.11</v>
      </c>
      <c r="Q856">
        <v>3</v>
      </c>
      <c r="R856">
        <v>124</v>
      </c>
      <c r="S856">
        <v>5</v>
      </c>
      <c r="T856" s="1" t="s">
        <v>34</v>
      </c>
      <c r="U856" s="1" t="s">
        <v>35</v>
      </c>
      <c r="V856" s="1" t="s">
        <v>33</v>
      </c>
      <c r="W856" s="1" t="s">
        <v>59</v>
      </c>
    </row>
    <row r="857" spans="1:23" x14ac:dyDescent="0.35">
      <c r="A857" s="1" t="s">
        <v>1861</v>
      </c>
      <c r="B857" s="1" t="s">
        <v>558</v>
      </c>
      <c r="C857">
        <v>25</v>
      </c>
      <c r="D857" s="1" t="s">
        <v>71</v>
      </c>
      <c r="E857" s="1" t="s">
        <v>40</v>
      </c>
      <c r="F857" s="1" t="s">
        <v>108</v>
      </c>
      <c r="G857" s="1" t="s">
        <v>1862</v>
      </c>
      <c r="H857" s="2">
        <v>45734</v>
      </c>
      <c r="I857" s="1" t="s">
        <v>29</v>
      </c>
      <c r="J857" s="1" t="s">
        <v>33</v>
      </c>
      <c r="K857" s="1" t="s">
        <v>174</v>
      </c>
      <c r="L857" s="1" t="s">
        <v>66</v>
      </c>
      <c r="M857" s="1" t="s">
        <v>183</v>
      </c>
      <c r="N857">
        <v>225729.46</v>
      </c>
      <c r="O857">
        <v>40873.53</v>
      </c>
      <c r="P857">
        <v>33180.400000000001</v>
      </c>
      <c r="Q857">
        <v>2</v>
      </c>
      <c r="R857">
        <v>135</v>
      </c>
      <c r="S857">
        <v>4.0999999999999996</v>
      </c>
      <c r="T857" s="1" t="s">
        <v>46</v>
      </c>
      <c r="U857" s="1" t="s">
        <v>95</v>
      </c>
      <c r="V857" s="1" t="s">
        <v>47</v>
      </c>
      <c r="W857" s="1" t="s">
        <v>59</v>
      </c>
    </row>
    <row r="858" spans="1:23" x14ac:dyDescent="0.35">
      <c r="A858" s="1" t="s">
        <v>1863</v>
      </c>
      <c r="B858" s="1" t="s">
        <v>598</v>
      </c>
      <c r="C858">
        <v>54</v>
      </c>
      <c r="D858" s="1" t="s">
        <v>50</v>
      </c>
      <c r="E858" s="1" t="s">
        <v>33</v>
      </c>
      <c r="F858" s="1" t="s">
        <v>120</v>
      </c>
      <c r="G858" s="1" t="s">
        <v>1864</v>
      </c>
      <c r="H858" s="2">
        <v>45921</v>
      </c>
      <c r="I858" s="1" t="s">
        <v>127</v>
      </c>
      <c r="J858" s="1" t="s">
        <v>30</v>
      </c>
      <c r="K858" s="1" t="s">
        <v>33</v>
      </c>
      <c r="L858" s="1" t="s">
        <v>56</v>
      </c>
      <c r="M858" s="1" t="s">
        <v>183</v>
      </c>
      <c r="N858">
        <v>340893.95</v>
      </c>
      <c r="O858">
        <v>34286.730000000003</v>
      </c>
      <c r="P858">
        <v>79579.44</v>
      </c>
      <c r="Q858">
        <v>1</v>
      </c>
      <c r="R858">
        <v>3</v>
      </c>
      <c r="S858">
        <v>4.3</v>
      </c>
      <c r="T858" s="1" t="s">
        <v>46</v>
      </c>
      <c r="U858" s="1" t="s">
        <v>33</v>
      </c>
      <c r="V858" s="1" t="s">
        <v>102</v>
      </c>
      <c r="W858" s="1" t="s">
        <v>83</v>
      </c>
    </row>
    <row r="859" spans="1:23" x14ac:dyDescent="0.35">
      <c r="A859" s="1" t="s">
        <v>1865</v>
      </c>
      <c r="B859" s="1" t="s">
        <v>971</v>
      </c>
      <c r="C859">
        <v>18</v>
      </c>
      <c r="D859" s="1" t="s">
        <v>39</v>
      </c>
      <c r="E859" s="1" t="s">
        <v>203</v>
      </c>
      <c r="F859" s="1" t="s">
        <v>108</v>
      </c>
      <c r="G859" s="1" t="s">
        <v>1866</v>
      </c>
      <c r="H859" s="2">
        <v>46162</v>
      </c>
      <c r="I859" s="1" t="s">
        <v>257</v>
      </c>
      <c r="J859" s="1" t="s">
        <v>87</v>
      </c>
      <c r="K859" s="1" t="s">
        <v>33</v>
      </c>
      <c r="L859" s="1" t="s">
        <v>44</v>
      </c>
      <c r="M859" s="1" t="s">
        <v>129</v>
      </c>
      <c r="N859">
        <v>131669.68</v>
      </c>
      <c r="O859">
        <v>6448.5</v>
      </c>
      <c r="P859">
        <v>28560.13</v>
      </c>
      <c r="Q859">
        <v>1</v>
      </c>
      <c r="R859">
        <v>78</v>
      </c>
      <c r="S859">
        <v>4.8</v>
      </c>
      <c r="T859" s="1" t="s">
        <v>33</v>
      </c>
      <c r="U859" s="1" t="s">
        <v>33</v>
      </c>
      <c r="V859" s="1" t="s">
        <v>33</v>
      </c>
      <c r="W859" s="1" t="s">
        <v>83</v>
      </c>
    </row>
    <row r="860" spans="1:23" x14ac:dyDescent="0.35">
      <c r="A860" s="1" t="s">
        <v>1867</v>
      </c>
      <c r="B860" s="1" t="s">
        <v>118</v>
      </c>
      <c r="C860">
        <v>8</v>
      </c>
      <c r="D860" s="1" t="s">
        <v>33</v>
      </c>
      <c r="E860" s="1" t="s">
        <v>134</v>
      </c>
      <c r="F860" s="1" t="s">
        <v>98</v>
      </c>
      <c r="G860" s="1" t="s">
        <v>1537</v>
      </c>
      <c r="H860" s="2">
        <v>46196</v>
      </c>
      <c r="I860" s="1" t="s">
        <v>33</v>
      </c>
      <c r="J860" s="1" t="s">
        <v>152</v>
      </c>
      <c r="K860" s="1" t="s">
        <v>122</v>
      </c>
      <c r="L860" s="1" t="s">
        <v>44</v>
      </c>
      <c r="M860" s="1" t="s">
        <v>142</v>
      </c>
      <c r="N860">
        <v>379609.5</v>
      </c>
      <c r="O860">
        <v>9072.75</v>
      </c>
      <c r="P860">
        <v>43238.39</v>
      </c>
      <c r="Q860">
        <v>2</v>
      </c>
      <c r="R860">
        <v>128</v>
      </c>
      <c r="S860">
        <v>4</v>
      </c>
      <c r="T860" s="1" t="s">
        <v>94</v>
      </c>
      <c r="U860" s="1" t="s">
        <v>33</v>
      </c>
      <c r="V860" s="1" t="s">
        <v>33</v>
      </c>
      <c r="W860" s="1" t="s">
        <v>59</v>
      </c>
    </row>
    <row r="861" spans="1:23" x14ac:dyDescent="0.35">
      <c r="A861" s="1" t="s">
        <v>1868</v>
      </c>
      <c r="B861" s="1" t="s">
        <v>451</v>
      </c>
      <c r="C861">
        <v>53</v>
      </c>
      <c r="D861" s="1" t="s">
        <v>71</v>
      </c>
      <c r="E861" s="1" t="s">
        <v>112</v>
      </c>
      <c r="F861" s="1" t="s">
        <v>227</v>
      </c>
      <c r="G861" s="1" t="s">
        <v>1869</v>
      </c>
      <c r="H861" s="2">
        <v>45711</v>
      </c>
      <c r="I861" s="1" t="s">
        <v>173</v>
      </c>
      <c r="J861" s="1" t="s">
        <v>115</v>
      </c>
      <c r="K861" s="1" t="s">
        <v>153</v>
      </c>
      <c r="L861" s="1" t="s">
        <v>32</v>
      </c>
      <c r="M861" s="1" t="s">
        <v>33</v>
      </c>
      <c r="N861">
        <v>99416.66</v>
      </c>
      <c r="O861">
        <v>84464.05</v>
      </c>
      <c r="P861">
        <v>50830</v>
      </c>
      <c r="Q861">
        <v>6</v>
      </c>
      <c r="R861">
        <v>83</v>
      </c>
      <c r="T861" s="1" t="s">
        <v>34</v>
      </c>
      <c r="U861" s="1" t="s">
        <v>101</v>
      </c>
      <c r="V861" s="1" t="s">
        <v>33</v>
      </c>
      <c r="W861" s="1" t="s">
        <v>33</v>
      </c>
    </row>
    <row r="862" spans="1:23" x14ac:dyDescent="0.35">
      <c r="A862" s="1" t="s">
        <v>1870</v>
      </c>
      <c r="B862" s="1" t="s">
        <v>176</v>
      </c>
      <c r="C862">
        <v>51</v>
      </c>
      <c r="D862" s="1" t="s">
        <v>106</v>
      </c>
      <c r="E862" s="1" t="s">
        <v>219</v>
      </c>
      <c r="F862" s="1" t="s">
        <v>87</v>
      </c>
      <c r="G862" s="1" t="s">
        <v>813</v>
      </c>
      <c r="H862" s="2">
        <v>45880</v>
      </c>
      <c r="I862" s="1" t="s">
        <v>273</v>
      </c>
      <c r="J862" s="1" t="s">
        <v>137</v>
      </c>
      <c r="K862" s="1" t="s">
        <v>128</v>
      </c>
      <c r="L862" s="1" t="s">
        <v>33</v>
      </c>
      <c r="M862" s="1" t="s">
        <v>142</v>
      </c>
      <c r="N862">
        <v>568905.76</v>
      </c>
      <c r="O862">
        <v>23121.96</v>
      </c>
      <c r="P862">
        <v>35467.17</v>
      </c>
      <c r="Q862">
        <v>3</v>
      </c>
      <c r="R862">
        <v>103</v>
      </c>
      <c r="S862">
        <v>5</v>
      </c>
      <c r="T862" s="1" t="s">
        <v>94</v>
      </c>
      <c r="U862" s="1" t="s">
        <v>35</v>
      </c>
      <c r="V862" s="1" t="s">
        <v>33</v>
      </c>
      <c r="W862" s="1" t="s">
        <v>12</v>
      </c>
    </row>
    <row r="863" spans="1:23" x14ac:dyDescent="0.35">
      <c r="A863" s="1" t="s">
        <v>1871</v>
      </c>
      <c r="B863" s="1" t="s">
        <v>598</v>
      </c>
      <c r="C863">
        <v>0</v>
      </c>
      <c r="D863" s="1" t="s">
        <v>71</v>
      </c>
      <c r="E863" s="1" t="s">
        <v>51</v>
      </c>
      <c r="F863" s="1" t="s">
        <v>87</v>
      </c>
      <c r="G863" s="1" t="s">
        <v>1872</v>
      </c>
      <c r="H863" s="2">
        <v>46167</v>
      </c>
      <c r="I863" s="1" t="s">
        <v>173</v>
      </c>
      <c r="J863" s="1" t="s">
        <v>141</v>
      </c>
      <c r="K863" s="1" t="s">
        <v>33</v>
      </c>
      <c r="L863" s="1" t="s">
        <v>32</v>
      </c>
      <c r="M863" s="1" t="s">
        <v>57</v>
      </c>
      <c r="N863">
        <v>137803.85999999999</v>
      </c>
      <c r="O863">
        <v>0</v>
      </c>
      <c r="P863">
        <v>32255.06</v>
      </c>
      <c r="Q863">
        <v>1</v>
      </c>
      <c r="R863">
        <v>132</v>
      </c>
      <c r="S863">
        <v>2.5</v>
      </c>
      <c r="T863" s="1" t="s">
        <v>34</v>
      </c>
      <c r="U863" s="1" t="s">
        <v>149</v>
      </c>
      <c r="V863" s="1" t="s">
        <v>75</v>
      </c>
      <c r="W863" s="1" t="s">
        <v>33</v>
      </c>
    </row>
    <row r="864" spans="1:23" x14ac:dyDescent="0.35">
      <c r="A864" s="1" t="s">
        <v>1873</v>
      </c>
      <c r="B864" s="1" t="s">
        <v>1718</v>
      </c>
      <c r="C864">
        <v>44</v>
      </c>
      <c r="D864" s="1" t="s">
        <v>50</v>
      </c>
      <c r="E864" s="1" t="s">
        <v>192</v>
      </c>
      <c r="F864" s="1" t="s">
        <v>108</v>
      </c>
      <c r="G864" s="1" t="s">
        <v>189</v>
      </c>
      <c r="H864" s="2">
        <v>45739</v>
      </c>
      <c r="I864" s="1" t="s">
        <v>168</v>
      </c>
      <c r="J864" s="1" t="s">
        <v>242</v>
      </c>
      <c r="K864" s="1" t="s">
        <v>163</v>
      </c>
      <c r="L864" s="1" t="s">
        <v>92</v>
      </c>
      <c r="M864" s="1" t="s">
        <v>57</v>
      </c>
      <c r="N864">
        <v>340756.09</v>
      </c>
      <c r="O864">
        <v>0</v>
      </c>
      <c r="P864">
        <v>69606.97</v>
      </c>
      <c r="Q864">
        <v>1</v>
      </c>
      <c r="R864">
        <v>156</v>
      </c>
      <c r="S864">
        <v>4.9000000000000004</v>
      </c>
      <c r="T864" s="1" t="s">
        <v>94</v>
      </c>
      <c r="U864" s="1" t="s">
        <v>35</v>
      </c>
      <c r="V864" s="1" t="s">
        <v>130</v>
      </c>
      <c r="W864" s="1" t="s">
        <v>83</v>
      </c>
    </row>
    <row r="865" spans="1:23" x14ac:dyDescent="0.35">
      <c r="A865" s="1" t="s">
        <v>1874</v>
      </c>
      <c r="B865" s="1" t="s">
        <v>826</v>
      </c>
      <c r="C865">
        <v>91</v>
      </c>
      <c r="D865" s="1" t="s">
        <v>25</v>
      </c>
      <c r="E865" s="1" t="s">
        <v>86</v>
      </c>
      <c r="F865" s="1" t="s">
        <v>98</v>
      </c>
      <c r="G865" s="1" t="s">
        <v>711</v>
      </c>
      <c r="H865" s="2">
        <v>45499</v>
      </c>
      <c r="I865" s="1" t="s">
        <v>127</v>
      </c>
      <c r="J865" s="1" t="s">
        <v>242</v>
      </c>
      <c r="K865" s="1" t="s">
        <v>33</v>
      </c>
      <c r="L865" s="1" t="s">
        <v>33</v>
      </c>
      <c r="M865" s="1" t="s">
        <v>45</v>
      </c>
      <c r="N865">
        <v>170147.11</v>
      </c>
      <c r="O865">
        <v>32739.29</v>
      </c>
      <c r="P865">
        <v>32506.85</v>
      </c>
      <c r="Q865">
        <v>7</v>
      </c>
      <c r="R865">
        <v>95</v>
      </c>
      <c r="S865">
        <v>5</v>
      </c>
      <c r="T865" s="1" t="s">
        <v>94</v>
      </c>
      <c r="U865" s="1" t="s">
        <v>35</v>
      </c>
      <c r="V865" s="1" t="s">
        <v>33</v>
      </c>
      <c r="W865" s="1" t="s">
        <v>33</v>
      </c>
    </row>
    <row r="866" spans="1:23" x14ac:dyDescent="0.35">
      <c r="A866" s="1" t="s">
        <v>1875</v>
      </c>
      <c r="B866" s="1" t="s">
        <v>350</v>
      </c>
      <c r="C866">
        <v>24</v>
      </c>
      <c r="D866" s="1" t="s">
        <v>50</v>
      </c>
      <c r="E866" s="1" t="s">
        <v>33</v>
      </c>
      <c r="F866" s="1" t="s">
        <v>33</v>
      </c>
      <c r="G866" s="1" t="s">
        <v>1652</v>
      </c>
      <c r="H866" s="2">
        <v>45468</v>
      </c>
      <c r="I866" s="1" t="s">
        <v>273</v>
      </c>
      <c r="J866" s="1" t="s">
        <v>54</v>
      </c>
      <c r="K866" s="1" t="s">
        <v>174</v>
      </c>
      <c r="L866" s="1" t="s">
        <v>44</v>
      </c>
      <c r="M866" s="1" t="s">
        <v>129</v>
      </c>
      <c r="N866">
        <v>412805.33</v>
      </c>
      <c r="O866">
        <v>55500.91</v>
      </c>
      <c r="P866">
        <v>34106.050000000003</v>
      </c>
      <c r="Q866">
        <v>1</v>
      </c>
      <c r="R866">
        <v>159</v>
      </c>
      <c r="S866">
        <v>4.0999999999999996</v>
      </c>
      <c r="T866" s="1" t="s">
        <v>46</v>
      </c>
      <c r="U866" s="1" t="s">
        <v>149</v>
      </c>
      <c r="V866" s="1" t="s">
        <v>130</v>
      </c>
      <c r="W866" s="1" t="s">
        <v>33</v>
      </c>
    </row>
    <row r="867" spans="1:23" x14ac:dyDescent="0.35">
      <c r="A867" s="1" t="s">
        <v>1876</v>
      </c>
      <c r="B867" s="1" t="s">
        <v>459</v>
      </c>
      <c r="C867">
        <v>44</v>
      </c>
      <c r="D867" s="1" t="s">
        <v>33</v>
      </c>
      <c r="E867" s="1" t="s">
        <v>192</v>
      </c>
      <c r="F867" s="1" t="s">
        <v>27</v>
      </c>
      <c r="G867" s="1" t="s">
        <v>1370</v>
      </c>
      <c r="H867" s="2">
        <v>45552</v>
      </c>
      <c r="I867" s="1" t="s">
        <v>127</v>
      </c>
      <c r="J867" s="1" t="s">
        <v>80</v>
      </c>
      <c r="K867" s="1" t="s">
        <v>31</v>
      </c>
      <c r="L867" s="1" t="s">
        <v>32</v>
      </c>
      <c r="M867" s="1" t="s">
        <v>33</v>
      </c>
      <c r="N867">
        <v>363588.5</v>
      </c>
      <c r="O867">
        <v>96050.3</v>
      </c>
      <c r="P867">
        <v>62942.97</v>
      </c>
      <c r="Q867">
        <v>9</v>
      </c>
      <c r="R867">
        <v>98</v>
      </c>
      <c r="S867">
        <v>4.5999999999999996</v>
      </c>
      <c r="T867" s="1" t="s">
        <v>46</v>
      </c>
      <c r="U867" s="1" t="s">
        <v>95</v>
      </c>
      <c r="V867" s="1" t="s">
        <v>75</v>
      </c>
      <c r="W867" s="1" t="s">
        <v>179</v>
      </c>
    </row>
    <row r="868" spans="1:23" x14ac:dyDescent="0.35">
      <c r="A868" s="1" t="s">
        <v>1877</v>
      </c>
      <c r="B868" s="1" t="s">
        <v>1878</v>
      </c>
      <c r="C868">
        <v>92</v>
      </c>
      <c r="D868" s="1" t="s">
        <v>39</v>
      </c>
      <c r="E868" s="1" t="s">
        <v>33</v>
      </c>
      <c r="F868" s="1" t="s">
        <v>41</v>
      </c>
      <c r="G868" s="1" t="s">
        <v>1879</v>
      </c>
      <c r="H868" s="2">
        <v>45848</v>
      </c>
      <c r="I868" s="1" t="s">
        <v>33</v>
      </c>
      <c r="J868" s="1" t="s">
        <v>152</v>
      </c>
      <c r="K868" s="1" t="s">
        <v>33</v>
      </c>
      <c r="L868" s="1" t="s">
        <v>92</v>
      </c>
      <c r="M868" s="1" t="s">
        <v>82</v>
      </c>
      <c r="N868">
        <v>245209.95</v>
      </c>
      <c r="O868">
        <v>23176.67</v>
      </c>
      <c r="P868">
        <v>19929.330000000002</v>
      </c>
      <c r="Q868">
        <v>2</v>
      </c>
      <c r="R868">
        <v>177</v>
      </c>
      <c r="S868">
        <v>4.8</v>
      </c>
      <c r="T868" s="1" t="s">
        <v>154</v>
      </c>
      <c r="U868" s="1" t="s">
        <v>33</v>
      </c>
      <c r="V868" s="1" t="s">
        <v>164</v>
      </c>
      <c r="W868" s="1" t="s">
        <v>33</v>
      </c>
    </row>
    <row r="869" spans="1:23" x14ac:dyDescent="0.35">
      <c r="A869" s="1" t="s">
        <v>1880</v>
      </c>
      <c r="B869" s="1" t="s">
        <v>294</v>
      </c>
      <c r="C869">
        <v>55</v>
      </c>
      <c r="D869" s="1" t="s">
        <v>50</v>
      </c>
      <c r="E869" s="1" t="s">
        <v>157</v>
      </c>
      <c r="F869" s="1" t="s">
        <v>193</v>
      </c>
      <c r="G869" s="1" t="s">
        <v>1815</v>
      </c>
      <c r="H869" s="2">
        <v>45670</v>
      </c>
      <c r="I869" s="1" t="s">
        <v>168</v>
      </c>
      <c r="J869" s="1" t="s">
        <v>115</v>
      </c>
      <c r="K869" s="1" t="s">
        <v>128</v>
      </c>
      <c r="L869" s="1" t="s">
        <v>66</v>
      </c>
      <c r="M869" s="1" t="s">
        <v>74</v>
      </c>
      <c r="N869">
        <v>8802.16</v>
      </c>
      <c r="O869">
        <v>34624.26</v>
      </c>
      <c r="P869">
        <v>58582.69</v>
      </c>
      <c r="Q869">
        <v>2</v>
      </c>
      <c r="R869">
        <v>223</v>
      </c>
      <c r="S869">
        <v>2.7</v>
      </c>
      <c r="T869" s="1" t="s">
        <v>34</v>
      </c>
      <c r="U869" s="1" t="s">
        <v>67</v>
      </c>
      <c r="V869" s="1" t="s">
        <v>33</v>
      </c>
      <c r="W869" s="1" t="s">
        <v>59</v>
      </c>
    </row>
    <row r="870" spans="1:23" x14ac:dyDescent="0.35">
      <c r="A870" s="1" t="s">
        <v>1881</v>
      </c>
      <c r="B870" s="1" t="s">
        <v>1882</v>
      </c>
      <c r="C870">
        <v>23</v>
      </c>
      <c r="D870" s="1" t="s">
        <v>78</v>
      </c>
      <c r="E870" s="1" t="s">
        <v>107</v>
      </c>
      <c r="F870" s="1" t="s">
        <v>87</v>
      </c>
      <c r="G870" s="1" t="s">
        <v>1883</v>
      </c>
      <c r="H870" s="2">
        <v>46069</v>
      </c>
      <c r="I870" s="1" t="s">
        <v>257</v>
      </c>
      <c r="J870" s="1" t="s">
        <v>147</v>
      </c>
      <c r="K870" s="1" t="s">
        <v>148</v>
      </c>
      <c r="L870" s="1" t="s">
        <v>32</v>
      </c>
      <c r="M870" s="1" t="s">
        <v>142</v>
      </c>
      <c r="N870">
        <v>32880.410000000003</v>
      </c>
      <c r="O870">
        <v>63416.43</v>
      </c>
      <c r="P870">
        <v>91459.18</v>
      </c>
      <c r="Q870">
        <v>1</v>
      </c>
      <c r="R870">
        <v>119</v>
      </c>
      <c r="S870">
        <v>5</v>
      </c>
      <c r="T870" s="1" t="s">
        <v>33</v>
      </c>
      <c r="U870" s="1" t="s">
        <v>33</v>
      </c>
      <c r="V870" s="1" t="s">
        <v>33</v>
      </c>
      <c r="W870" s="1" t="s">
        <v>33</v>
      </c>
    </row>
    <row r="871" spans="1:23" x14ac:dyDescent="0.35">
      <c r="A871" s="1" t="s">
        <v>1884</v>
      </c>
      <c r="B871" s="1" t="s">
        <v>435</v>
      </c>
      <c r="C871">
        <v>40</v>
      </c>
      <c r="D871" s="1" t="s">
        <v>78</v>
      </c>
      <c r="E871" s="1" t="s">
        <v>157</v>
      </c>
      <c r="F871" s="1" t="s">
        <v>63</v>
      </c>
      <c r="G871" s="1" t="s">
        <v>737</v>
      </c>
      <c r="H871" s="2">
        <v>46265</v>
      </c>
      <c r="I871" s="1" t="s">
        <v>173</v>
      </c>
      <c r="J871" s="1" t="s">
        <v>141</v>
      </c>
      <c r="K871" s="1" t="s">
        <v>122</v>
      </c>
      <c r="L871" s="1" t="s">
        <v>56</v>
      </c>
      <c r="M871" s="1" t="s">
        <v>129</v>
      </c>
      <c r="N871">
        <v>173374.73</v>
      </c>
      <c r="O871">
        <v>22240.23</v>
      </c>
      <c r="P871">
        <v>0</v>
      </c>
      <c r="Q871">
        <v>3</v>
      </c>
      <c r="R871">
        <v>114</v>
      </c>
      <c r="S871">
        <v>3.6</v>
      </c>
      <c r="T871" s="1" t="s">
        <v>94</v>
      </c>
      <c r="U871" s="1" t="s">
        <v>33</v>
      </c>
      <c r="V871" s="1" t="s">
        <v>75</v>
      </c>
      <c r="W871" s="1" t="s">
        <v>12</v>
      </c>
    </row>
    <row r="872" spans="1:23" x14ac:dyDescent="0.35">
      <c r="A872" s="1" t="s">
        <v>1885</v>
      </c>
      <c r="B872" s="1" t="s">
        <v>1720</v>
      </c>
      <c r="C872">
        <v>45</v>
      </c>
      <c r="D872" s="1" t="s">
        <v>106</v>
      </c>
      <c r="E872" s="1" t="s">
        <v>112</v>
      </c>
      <c r="F872" s="1" t="s">
        <v>63</v>
      </c>
      <c r="G872" s="1" t="s">
        <v>1886</v>
      </c>
      <c r="H872" s="2">
        <v>45657</v>
      </c>
      <c r="I872" s="1" t="s">
        <v>33</v>
      </c>
      <c r="J872" s="1" t="s">
        <v>147</v>
      </c>
      <c r="K872" s="1" t="s">
        <v>148</v>
      </c>
      <c r="L872" s="1" t="s">
        <v>44</v>
      </c>
      <c r="M872" s="1" t="s">
        <v>45</v>
      </c>
      <c r="N872">
        <v>197221.48</v>
      </c>
      <c r="O872">
        <v>8220.17</v>
      </c>
      <c r="P872">
        <v>47164.6</v>
      </c>
      <c r="Q872">
        <v>5</v>
      </c>
      <c r="R872">
        <v>150</v>
      </c>
      <c r="S872">
        <v>2.2000000000000002</v>
      </c>
      <c r="T872" s="1" t="s">
        <v>33</v>
      </c>
      <c r="U872" s="1" t="s">
        <v>58</v>
      </c>
      <c r="V872" s="1" t="s">
        <v>130</v>
      </c>
      <c r="W872" s="1" t="s">
        <v>36</v>
      </c>
    </row>
    <row r="873" spans="1:23" x14ac:dyDescent="0.35">
      <c r="A873" s="1" t="s">
        <v>1887</v>
      </c>
      <c r="B873" s="1" t="s">
        <v>1350</v>
      </c>
      <c r="C873">
        <v>48</v>
      </c>
      <c r="D873" s="1" t="s">
        <v>106</v>
      </c>
      <c r="E873" s="1" t="s">
        <v>72</v>
      </c>
      <c r="F873" s="1" t="s">
        <v>63</v>
      </c>
      <c r="G873" s="1" t="s">
        <v>1431</v>
      </c>
      <c r="H873" s="2">
        <v>45766</v>
      </c>
      <c r="I873" s="1" t="s">
        <v>173</v>
      </c>
      <c r="J873" s="1" t="s">
        <v>141</v>
      </c>
      <c r="K873" s="1" t="s">
        <v>33</v>
      </c>
      <c r="L873" s="1" t="s">
        <v>92</v>
      </c>
      <c r="M873" s="1" t="s">
        <v>82</v>
      </c>
      <c r="N873">
        <v>119470.93</v>
      </c>
      <c r="O873">
        <v>15303.59</v>
      </c>
      <c r="P873">
        <v>51918.33</v>
      </c>
      <c r="Q873">
        <v>3</v>
      </c>
      <c r="R873">
        <v>9</v>
      </c>
      <c r="S873">
        <v>4.2</v>
      </c>
      <c r="T873" s="1" t="s">
        <v>33</v>
      </c>
      <c r="U873" s="1" t="s">
        <v>33</v>
      </c>
      <c r="V873" s="1" t="s">
        <v>33</v>
      </c>
      <c r="W873" s="1" t="s">
        <v>179</v>
      </c>
    </row>
    <row r="874" spans="1:23" x14ac:dyDescent="0.35">
      <c r="A874" s="1" t="s">
        <v>1888</v>
      </c>
      <c r="B874" s="1" t="s">
        <v>215</v>
      </c>
      <c r="C874">
        <v>66</v>
      </c>
      <c r="D874" s="1" t="s">
        <v>39</v>
      </c>
      <c r="E874" s="1" t="s">
        <v>72</v>
      </c>
      <c r="F874" s="1" t="s">
        <v>56</v>
      </c>
      <c r="G874" s="1" t="s">
        <v>1889</v>
      </c>
      <c r="H874" s="2">
        <v>45450</v>
      </c>
      <c r="I874" s="1" t="s">
        <v>53</v>
      </c>
      <c r="J874" s="1" t="s">
        <v>80</v>
      </c>
      <c r="K874" s="1" t="s">
        <v>208</v>
      </c>
      <c r="L874" s="1" t="s">
        <v>33</v>
      </c>
      <c r="M874" s="1" t="s">
        <v>93</v>
      </c>
      <c r="N874">
        <v>547295.88</v>
      </c>
      <c r="O874">
        <v>8481.08</v>
      </c>
      <c r="P874">
        <v>61026.239999999998</v>
      </c>
      <c r="Q874">
        <v>1</v>
      </c>
      <c r="R874">
        <v>40</v>
      </c>
      <c r="S874">
        <v>5</v>
      </c>
      <c r="T874" s="1" t="s">
        <v>33</v>
      </c>
      <c r="U874" s="1" t="s">
        <v>149</v>
      </c>
      <c r="V874" s="1" t="s">
        <v>68</v>
      </c>
      <c r="W874" s="1" t="s">
        <v>131</v>
      </c>
    </row>
    <row r="875" spans="1:23" x14ac:dyDescent="0.35">
      <c r="A875" s="1" t="s">
        <v>1890</v>
      </c>
      <c r="B875" s="1" t="s">
        <v>333</v>
      </c>
      <c r="C875">
        <v>53</v>
      </c>
      <c r="D875" s="1" t="s">
        <v>39</v>
      </c>
      <c r="E875" s="1" t="s">
        <v>112</v>
      </c>
      <c r="F875" s="1" t="s">
        <v>87</v>
      </c>
      <c r="G875" s="1" t="s">
        <v>1027</v>
      </c>
      <c r="H875" s="2">
        <v>45492</v>
      </c>
      <c r="I875" s="1" t="s">
        <v>277</v>
      </c>
      <c r="J875" s="1" t="s">
        <v>115</v>
      </c>
      <c r="K875" s="1" t="s">
        <v>174</v>
      </c>
      <c r="L875" s="1" t="s">
        <v>92</v>
      </c>
      <c r="M875" s="1" t="s">
        <v>93</v>
      </c>
      <c r="N875">
        <v>97781.54</v>
      </c>
      <c r="O875">
        <v>24825.39</v>
      </c>
      <c r="P875">
        <v>14069.24</v>
      </c>
      <c r="Q875">
        <v>1</v>
      </c>
      <c r="R875">
        <v>156</v>
      </c>
      <c r="S875">
        <v>2.6</v>
      </c>
      <c r="T875" s="1" t="s">
        <v>34</v>
      </c>
      <c r="U875" s="1" t="s">
        <v>95</v>
      </c>
      <c r="V875" s="1" t="s">
        <v>75</v>
      </c>
      <c r="W875" s="1" t="s">
        <v>83</v>
      </c>
    </row>
    <row r="876" spans="1:23" x14ac:dyDescent="0.35">
      <c r="A876" s="1" t="s">
        <v>1891</v>
      </c>
      <c r="B876" s="1" t="s">
        <v>285</v>
      </c>
      <c r="C876">
        <v>35</v>
      </c>
      <c r="D876" s="1" t="s">
        <v>33</v>
      </c>
      <c r="E876" s="1" t="s">
        <v>157</v>
      </c>
      <c r="F876" s="1" t="s">
        <v>120</v>
      </c>
      <c r="G876" s="1" t="s">
        <v>1892</v>
      </c>
      <c r="H876" s="2">
        <v>46243</v>
      </c>
      <c r="I876" s="1" t="s">
        <v>53</v>
      </c>
      <c r="J876" s="1" t="s">
        <v>43</v>
      </c>
      <c r="K876" s="1" t="s">
        <v>122</v>
      </c>
      <c r="L876" s="1" t="s">
        <v>92</v>
      </c>
      <c r="M876" s="1" t="s">
        <v>33</v>
      </c>
      <c r="N876">
        <v>203973.87</v>
      </c>
      <c r="O876">
        <v>33693.9</v>
      </c>
      <c r="P876">
        <v>22145.26</v>
      </c>
      <c r="Q876">
        <v>4</v>
      </c>
      <c r="R876">
        <v>110</v>
      </c>
      <c r="S876">
        <v>5</v>
      </c>
      <c r="T876" s="1" t="s">
        <v>33</v>
      </c>
      <c r="U876" s="1" t="s">
        <v>33</v>
      </c>
      <c r="V876" s="1" t="s">
        <v>164</v>
      </c>
      <c r="W876" s="1" t="s">
        <v>33</v>
      </c>
    </row>
    <row r="877" spans="1:23" x14ac:dyDescent="0.35">
      <c r="A877" s="1" t="s">
        <v>1893</v>
      </c>
      <c r="B877" s="1" t="s">
        <v>1155</v>
      </c>
      <c r="C877">
        <v>68</v>
      </c>
      <c r="D877" s="1" t="s">
        <v>50</v>
      </c>
      <c r="E877" s="1" t="s">
        <v>40</v>
      </c>
      <c r="F877" s="1" t="s">
        <v>108</v>
      </c>
      <c r="G877" s="1" t="s">
        <v>686</v>
      </c>
      <c r="H877" s="2">
        <v>45896</v>
      </c>
      <c r="I877" s="1" t="s">
        <v>273</v>
      </c>
      <c r="J877" s="1" t="s">
        <v>115</v>
      </c>
      <c r="K877" s="1" t="s">
        <v>91</v>
      </c>
      <c r="L877" s="1" t="s">
        <v>66</v>
      </c>
      <c r="M877" s="1" t="s">
        <v>74</v>
      </c>
      <c r="N877">
        <v>429733.67</v>
      </c>
      <c r="O877">
        <v>9596.1299999999992</v>
      </c>
      <c r="P877">
        <v>1348.36</v>
      </c>
      <c r="Q877">
        <v>1</v>
      </c>
      <c r="R877">
        <v>117</v>
      </c>
      <c r="S877">
        <v>3</v>
      </c>
      <c r="T877" s="1" t="s">
        <v>34</v>
      </c>
      <c r="U877" s="1" t="s">
        <v>58</v>
      </c>
      <c r="V877" s="1" t="s">
        <v>33</v>
      </c>
      <c r="W877" s="1" t="s">
        <v>179</v>
      </c>
    </row>
    <row r="878" spans="1:23" x14ac:dyDescent="0.35">
      <c r="A878" s="1" t="s">
        <v>1894</v>
      </c>
      <c r="B878" s="1" t="s">
        <v>237</v>
      </c>
      <c r="C878">
        <v>43</v>
      </c>
      <c r="D878" s="1" t="s">
        <v>71</v>
      </c>
      <c r="E878" s="1" t="s">
        <v>40</v>
      </c>
      <c r="F878" s="1" t="s">
        <v>41</v>
      </c>
      <c r="G878" s="1" t="s">
        <v>1895</v>
      </c>
      <c r="H878" s="2">
        <v>46167</v>
      </c>
      <c r="I878" s="1" t="s">
        <v>277</v>
      </c>
      <c r="J878" s="1" t="s">
        <v>33</v>
      </c>
      <c r="K878" s="1" t="s">
        <v>55</v>
      </c>
      <c r="L878" s="1" t="s">
        <v>33</v>
      </c>
      <c r="M878" s="1" t="s">
        <v>123</v>
      </c>
      <c r="N878">
        <v>107692.08</v>
      </c>
      <c r="O878">
        <v>1321.01</v>
      </c>
      <c r="P878">
        <v>77697.149999999994</v>
      </c>
      <c r="Q878">
        <v>11</v>
      </c>
      <c r="R878">
        <v>52</v>
      </c>
      <c r="S878">
        <v>3.8</v>
      </c>
      <c r="T878" s="1" t="s">
        <v>154</v>
      </c>
      <c r="U878" s="1" t="s">
        <v>67</v>
      </c>
      <c r="V878" s="1" t="s">
        <v>33</v>
      </c>
      <c r="W878" s="1" t="s">
        <v>179</v>
      </c>
    </row>
    <row r="879" spans="1:23" x14ac:dyDescent="0.35">
      <c r="A879" s="1" t="s">
        <v>1896</v>
      </c>
      <c r="B879" s="1" t="s">
        <v>790</v>
      </c>
      <c r="C879">
        <v>32</v>
      </c>
      <c r="D879" s="1" t="s">
        <v>25</v>
      </c>
      <c r="E879" s="1" t="s">
        <v>72</v>
      </c>
      <c r="F879" s="1" t="s">
        <v>44</v>
      </c>
      <c r="G879" s="1" t="s">
        <v>1245</v>
      </c>
      <c r="H879" s="2">
        <v>45976</v>
      </c>
      <c r="I879" s="1" t="s">
        <v>168</v>
      </c>
      <c r="J879" s="1" t="s">
        <v>115</v>
      </c>
      <c r="K879" s="1" t="s">
        <v>33</v>
      </c>
      <c r="L879" s="1" t="s">
        <v>56</v>
      </c>
      <c r="M879" s="1" t="s">
        <v>45</v>
      </c>
      <c r="N879">
        <v>213569.96</v>
      </c>
      <c r="O879">
        <v>29585.79</v>
      </c>
      <c r="P879">
        <v>65499.74</v>
      </c>
      <c r="Q879">
        <v>6</v>
      </c>
      <c r="R879">
        <v>139</v>
      </c>
      <c r="S879">
        <v>3.4</v>
      </c>
      <c r="T879" s="1" t="s">
        <v>94</v>
      </c>
      <c r="U879" s="1" t="s">
        <v>33</v>
      </c>
      <c r="V879" s="1" t="s">
        <v>130</v>
      </c>
      <c r="W879" s="1" t="s">
        <v>103</v>
      </c>
    </row>
    <row r="880" spans="1:23" x14ac:dyDescent="0.35">
      <c r="A880" s="1" t="s">
        <v>1897</v>
      </c>
      <c r="B880" s="1" t="s">
        <v>815</v>
      </c>
      <c r="C880">
        <v>34</v>
      </c>
      <c r="D880" s="1" t="s">
        <v>71</v>
      </c>
      <c r="E880" s="1" t="s">
        <v>62</v>
      </c>
      <c r="F880" s="1" t="s">
        <v>87</v>
      </c>
      <c r="G880" s="1" t="s">
        <v>1898</v>
      </c>
      <c r="H880" s="2">
        <v>45897</v>
      </c>
      <c r="I880" s="1" t="s">
        <v>257</v>
      </c>
      <c r="J880" s="1" t="s">
        <v>242</v>
      </c>
      <c r="K880" s="1" t="s">
        <v>31</v>
      </c>
      <c r="L880" s="1" t="s">
        <v>92</v>
      </c>
      <c r="M880" s="1" t="s">
        <v>45</v>
      </c>
      <c r="N880">
        <v>13134.26</v>
      </c>
      <c r="O880">
        <v>36440.019999999997</v>
      </c>
      <c r="P880">
        <v>101765.75</v>
      </c>
      <c r="Q880">
        <v>3</v>
      </c>
      <c r="R880">
        <v>28</v>
      </c>
      <c r="S880">
        <v>2.7</v>
      </c>
      <c r="T880" s="1" t="s">
        <v>34</v>
      </c>
      <c r="U880" s="1" t="s">
        <v>149</v>
      </c>
      <c r="V880" s="1" t="s">
        <v>47</v>
      </c>
      <c r="W880" s="1" t="s">
        <v>179</v>
      </c>
    </row>
    <row r="881" spans="1:23" x14ac:dyDescent="0.35">
      <c r="A881" s="1" t="s">
        <v>1899</v>
      </c>
      <c r="B881" s="1" t="s">
        <v>1737</v>
      </c>
      <c r="C881">
        <v>58</v>
      </c>
      <c r="D881" s="1" t="s">
        <v>25</v>
      </c>
      <c r="E881" s="1" t="s">
        <v>177</v>
      </c>
      <c r="F881" s="1" t="s">
        <v>44</v>
      </c>
      <c r="G881" s="1" t="s">
        <v>1900</v>
      </c>
      <c r="H881" s="2">
        <v>46211</v>
      </c>
      <c r="I881" s="1" t="s">
        <v>273</v>
      </c>
      <c r="J881" s="1" t="s">
        <v>137</v>
      </c>
      <c r="K881" s="1" t="s">
        <v>163</v>
      </c>
      <c r="L881" s="1" t="s">
        <v>44</v>
      </c>
      <c r="M881" s="1" t="s">
        <v>45</v>
      </c>
      <c r="N881">
        <v>282787.96000000002</v>
      </c>
      <c r="O881">
        <v>26036.560000000001</v>
      </c>
      <c r="P881">
        <v>17459.43</v>
      </c>
      <c r="Q881">
        <v>1</v>
      </c>
      <c r="R881">
        <v>101</v>
      </c>
      <c r="S881">
        <v>1.7</v>
      </c>
      <c r="T881" s="1" t="s">
        <v>34</v>
      </c>
      <c r="U881" s="1" t="s">
        <v>67</v>
      </c>
      <c r="V881" s="1" t="s">
        <v>47</v>
      </c>
      <c r="W881" s="1" t="s">
        <v>131</v>
      </c>
    </row>
    <row r="882" spans="1:23" x14ac:dyDescent="0.35">
      <c r="A882" s="1" t="s">
        <v>1901</v>
      </c>
      <c r="B882" s="1" t="s">
        <v>1617</v>
      </c>
      <c r="C882">
        <v>62</v>
      </c>
      <c r="D882" s="1" t="s">
        <v>119</v>
      </c>
      <c r="E882" s="1" t="s">
        <v>112</v>
      </c>
      <c r="F882" s="1" t="s">
        <v>98</v>
      </c>
      <c r="G882" s="1" t="s">
        <v>1902</v>
      </c>
      <c r="H882" s="2">
        <v>45335</v>
      </c>
      <c r="I882" s="1" t="s">
        <v>100</v>
      </c>
      <c r="J882" s="1" t="s">
        <v>33</v>
      </c>
      <c r="K882" s="1" t="s">
        <v>128</v>
      </c>
      <c r="L882" s="1" t="s">
        <v>33</v>
      </c>
      <c r="M882" s="1" t="s">
        <v>142</v>
      </c>
      <c r="N882">
        <v>44832.12</v>
      </c>
      <c r="O882">
        <v>0</v>
      </c>
      <c r="P882">
        <v>92383.14</v>
      </c>
      <c r="Q882">
        <v>3</v>
      </c>
      <c r="R882">
        <v>49</v>
      </c>
      <c r="S882">
        <v>5</v>
      </c>
      <c r="T882" s="1" t="s">
        <v>34</v>
      </c>
      <c r="U882" s="1" t="s">
        <v>58</v>
      </c>
      <c r="V882" s="1" t="s">
        <v>164</v>
      </c>
      <c r="W882" s="1" t="s">
        <v>33</v>
      </c>
    </row>
    <row r="883" spans="1:23" x14ac:dyDescent="0.35">
      <c r="A883" s="1" t="s">
        <v>1903</v>
      </c>
      <c r="B883" s="1" t="s">
        <v>321</v>
      </c>
      <c r="C883">
        <v>39</v>
      </c>
      <c r="D883" s="1" t="s">
        <v>25</v>
      </c>
      <c r="E883" s="1" t="s">
        <v>33</v>
      </c>
      <c r="F883" s="1" t="s">
        <v>193</v>
      </c>
      <c r="G883" s="1" t="s">
        <v>1904</v>
      </c>
      <c r="H883" s="2">
        <v>46088</v>
      </c>
      <c r="I883" s="1" t="s">
        <v>257</v>
      </c>
      <c r="J883" s="1" t="s">
        <v>80</v>
      </c>
      <c r="K883" s="1" t="s">
        <v>153</v>
      </c>
      <c r="L883" s="1" t="s">
        <v>44</v>
      </c>
      <c r="M883" s="1" t="s">
        <v>129</v>
      </c>
      <c r="N883">
        <v>281377.78000000003</v>
      </c>
      <c r="O883">
        <v>7900.03</v>
      </c>
      <c r="P883">
        <v>48974.91</v>
      </c>
      <c r="Q883">
        <v>2</v>
      </c>
      <c r="R883">
        <v>66</v>
      </c>
      <c r="S883">
        <v>2</v>
      </c>
      <c r="T883" s="1" t="s">
        <v>154</v>
      </c>
      <c r="U883" s="1" t="s">
        <v>67</v>
      </c>
      <c r="V883" s="1" t="s">
        <v>102</v>
      </c>
      <c r="W883" s="1" t="s">
        <v>33</v>
      </c>
    </row>
    <row r="884" spans="1:23" x14ac:dyDescent="0.35">
      <c r="A884" s="1" t="s">
        <v>1905</v>
      </c>
      <c r="B884" s="1" t="s">
        <v>1287</v>
      </c>
      <c r="C884">
        <v>37</v>
      </c>
      <c r="D884" s="1" t="s">
        <v>71</v>
      </c>
      <c r="E884" s="1" t="s">
        <v>107</v>
      </c>
      <c r="F884" s="1" t="s">
        <v>56</v>
      </c>
      <c r="G884" s="1" t="s">
        <v>1906</v>
      </c>
      <c r="H884" s="2">
        <v>46247</v>
      </c>
      <c r="I884" s="1" t="s">
        <v>235</v>
      </c>
      <c r="J884" s="1" t="s">
        <v>30</v>
      </c>
      <c r="K884" s="1" t="s">
        <v>31</v>
      </c>
      <c r="L884" s="1" t="s">
        <v>56</v>
      </c>
      <c r="M884" s="1" t="s">
        <v>45</v>
      </c>
      <c r="N884">
        <v>198016.52</v>
      </c>
      <c r="O884">
        <v>0</v>
      </c>
      <c r="P884">
        <v>92742.01</v>
      </c>
      <c r="Q884">
        <v>3</v>
      </c>
      <c r="R884">
        <v>160</v>
      </c>
      <c r="S884">
        <v>5</v>
      </c>
      <c r="T884" s="1" t="s">
        <v>34</v>
      </c>
      <c r="U884" s="1" t="s">
        <v>149</v>
      </c>
      <c r="V884" s="1" t="s">
        <v>130</v>
      </c>
      <c r="W884" s="1" t="s">
        <v>131</v>
      </c>
    </row>
    <row r="885" spans="1:23" x14ac:dyDescent="0.35">
      <c r="A885" s="1" t="s">
        <v>1907</v>
      </c>
      <c r="B885" s="1" t="s">
        <v>1155</v>
      </c>
      <c r="C885">
        <v>4</v>
      </c>
      <c r="D885" s="1" t="s">
        <v>50</v>
      </c>
      <c r="E885" s="1" t="s">
        <v>72</v>
      </c>
      <c r="F885" s="1" t="s">
        <v>27</v>
      </c>
      <c r="G885" s="1" t="s">
        <v>514</v>
      </c>
      <c r="H885" s="2">
        <v>45369</v>
      </c>
      <c r="I885" s="1" t="s">
        <v>235</v>
      </c>
      <c r="J885" s="1" t="s">
        <v>90</v>
      </c>
      <c r="K885" s="1" t="s">
        <v>31</v>
      </c>
      <c r="L885" s="1" t="s">
        <v>33</v>
      </c>
      <c r="M885" s="1" t="s">
        <v>142</v>
      </c>
      <c r="N885">
        <v>493408.43</v>
      </c>
      <c r="O885">
        <v>28472.560000000001</v>
      </c>
      <c r="P885">
        <v>22536.01</v>
      </c>
      <c r="Q885">
        <v>2</v>
      </c>
      <c r="R885">
        <v>126</v>
      </c>
      <c r="T885" s="1" t="s">
        <v>33</v>
      </c>
      <c r="U885" s="1" t="s">
        <v>33</v>
      </c>
      <c r="V885" s="1" t="s">
        <v>75</v>
      </c>
      <c r="W885" s="1" t="s">
        <v>33</v>
      </c>
    </row>
    <row r="886" spans="1:23" x14ac:dyDescent="0.35">
      <c r="A886" s="1" t="s">
        <v>1908</v>
      </c>
      <c r="B886" s="1" t="s">
        <v>480</v>
      </c>
      <c r="C886">
        <v>71</v>
      </c>
      <c r="D886" s="1" t="s">
        <v>39</v>
      </c>
      <c r="E886" s="1" t="s">
        <v>112</v>
      </c>
      <c r="F886" s="1" t="s">
        <v>227</v>
      </c>
      <c r="G886" s="1" t="s">
        <v>1135</v>
      </c>
      <c r="H886" s="2">
        <v>45455</v>
      </c>
      <c r="I886" s="1" t="s">
        <v>221</v>
      </c>
      <c r="J886" s="1" t="s">
        <v>141</v>
      </c>
      <c r="K886" s="1" t="s">
        <v>148</v>
      </c>
      <c r="L886" s="1" t="s">
        <v>33</v>
      </c>
      <c r="M886" s="1" t="s">
        <v>93</v>
      </c>
      <c r="N886">
        <v>371619.99</v>
      </c>
      <c r="O886">
        <v>3090.47</v>
      </c>
      <c r="P886">
        <v>24786.3</v>
      </c>
      <c r="Q886">
        <v>3</v>
      </c>
      <c r="R886">
        <v>166</v>
      </c>
      <c r="S886">
        <v>0.2</v>
      </c>
      <c r="T886" s="1" t="s">
        <v>33</v>
      </c>
      <c r="U886" s="1" t="s">
        <v>149</v>
      </c>
      <c r="V886" s="1" t="s">
        <v>33</v>
      </c>
      <c r="W886" s="1" t="s">
        <v>33</v>
      </c>
    </row>
    <row r="887" spans="1:23" x14ac:dyDescent="0.35">
      <c r="A887" s="1" t="s">
        <v>1909</v>
      </c>
      <c r="B887" s="1" t="s">
        <v>196</v>
      </c>
      <c r="C887">
        <v>11</v>
      </c>
      <c r="D887" s="1" t="s">
        <v>39</v>
      </c>
      <c r="E887" s="1" t="s">
        <v>72</v>
      </c>
      <c r="F887" s="1" t="s">
        <v>98</v>
      </c>
      <c r="G887" s="1" t="s">
        <v>121</v>
      </c>
      <c r="H887" s="2">
        <v>46018</v>
      </c>
      <c r="I887" s="1" t="s">
        <v>100</v>
      </c>
      <c r="J887" s="1" t="s">
        <v>141</v>
      </c>
      <c r="K887" s="1" t="s">
        <v>33</v>
      </c>
      <c r="L887" s="1" t="s">
        <v>33</v>
      </c>
      <c r="M887" s="1" t="s">
        <v>45</v>
      </c>
      <c r="N887">
        <v>153282.47</v>
      </c>
      <c r="O887">
        <v>22529.5</v>
      </c>
      <c r="P887">
        <v>34252.67</v>
      </c>
      <c r="Q887">
        <v>2</v>
      </c>
      <c r="R887">
        <v>53</v>
      </c>
      <c r="S887">
        <v>2.2999999999999998</v>
      </c>
      <c r="T887" s="1" t="s">
        <v>94</v>
      </c>
      <c r="U887" s="1" t="s">
        <v>33</v>
      </c>
      <c r="V887" s="1" t="s">
        <v>75</v>
      </c>
      <c r="W887" s="1" t="s">
        <v>33</v>
      </c>
    </row>
    <row r="888" spans="1:23" x14ac:dyDescent="0.35">
      <c r="A888" s="1" t="s">
        <v>1910</v>
      </c>
      <c r="B888" s="1" t="s">
        <v>1413</v>
      </c>
      <c r="C888">
        <v>84</v>
      </c>
      <c r="D888" s="1" t="s">
        <v>71</v>
      </c>
      <c r="E888" s="1" t="s">
        <v>192</v>
      </c>
      <c r="F888" s="1" t="s">
        <v>87</v>
      </c>
      <c r="G888" s="1" t="s">
        <v>1911</v>
      </c>
      <c r="H888" s="2">
        <v>46236</v>
      </c>
      <c r="I888" s="1" t="s">
        <v>53</v>
      </c>
      <c r="J888" s="1" t="s">
        <v>43</v>
      </c>
      <c r="K888" s="1" t="s">
        <v>148</v>
      </c>
      <c r="L888" s="1" t="s">
        <v>33</v>
      </c>
      <c r="M888" s="1" t="s">
        <v>74</v>
      </c>
      <c r="N888">
        <v>57310.79</v>
      </c>
      <c r="O888">
        <v>69552.92</v>
      </c>
      <c r="P888">
        <v>33016.04</v>
      </c>
      <c r="Q888">
        <v>15</v>
      </c>
      <c r="R888">
        <v>104</v>
      </c>
      <c r="S888">
        <v>3.6</v>
      </c>
      <c r="T888" s="1" t="s">
        <v>34</v>
      </c>
      <c r="U888" s="1" t="s">
        <v>67</v>
      </c>
      <c r="V888" s="1" t="s">
        <v>47</v>
      </c>
      <c r="W888" s="1" t="s">
        <v>103</v>
      </c>
    </row>
    <row r="889" spans="1:23" x14ac:dyDescent="0.35">
      <c r="A889" s="1" t="s">
        <v>1912</v>
      </c>
      <c r="B889" s="1" t="s">
        <v>97</v>
      </c>
      <c r="C889">
        <v>64</v>
      </c>
      <c r="D889" s="1" t="s">
        <v>50</v>
      </c>
      <c r="E889" s="1" t="s">
        <v>33</v>
      </c>
      <c r="F889" s="1" t="s">
        <v>87</v>
      </c>
      <c r="G889" s="1" t="s">
        <v>88</v>
      </c>
      <c r="H889" s="2">
        <v>45989</v>
      </c>
      <c r="I889" s="1" t="s">
        <v>33</v>
      </c>
      <c r="J889" s="1" t="s">
        <v>90</v>
      </c>
      <c r="K889" s="1" t="s">
        <v>81</v>
      </c>
      <c r="L889" s="1" t="s">
        <v>92</v>
      </c>
      <c r="M889" s="1" t="s">
        <v>183</v>
      </c>
      <c r="N889">
        <v>237624.11</v>
      </c>
      <c r="O889">
        <v>18086.21</v>
      </c>
      <c r="P889">
        <v>5862.32</v>
      </c>
      <c r="Q889">
        <v>1</v>
      </c>
      <c r="R889">
        <v>27</v>
      </c>
      <c r="S889">
        <v>1.6</v>
      </c>
      <c r="T889" s="1" t="s">
        <v>94</v>
      </c>
      <c r="U889" s="1" t="s">
        <v>95</v>
      </c>
      <c r="V889" s="1" t="s">
        <v>33</v>
      </c>
      <c r="W889" s="1" t="s">
        <v>33</v>
      </c>
    </row>
    <row r="890" spans="1:23" x14ac:dyDescent="0.35">
      <c r="A890" s="1" t="s">
        <v>1913</v>
      </c>
      <c r="B890" s="1" t="s">
        <v>288</v>
      </c>
      <c r="C890">
        <v>16</v>
      </c>
      <c r="D890" s="1" t="s">
        <v>25</v>
      </c>
      <c r="E890" s="1" t="s">
        <v>33</v>
      </c>
      <c r="F890" s="1" t="s">
        <v>33</v>
      </c>
      <c r="G890" s="1" t="s">
        <v>1914</v>
      </c>
      <c r="H890" s="2">
        <v>46105</v>
      </c>
      <c r="I890" s="1" t="s">
        <v>168</v>
      </c>
      <c r="J890" s="1" t="s">
        <v>33</v>
      </c>
      <c r="K890" s="1" t="s">
        <v>91</v>
      </c>
      <c r="L890" s="1" t="s">
        <v>92</v>
      </c>
      <c r="M890" s="1" t="s">
        <v>82</v>
      </c>
      <c r="N890">
        <v>182821.53</v>
      </c>
      <c r="O890">
        <v>64252.55</v>
      </c>
      <c r="P890">
        <v>80978.990000000005</v>
      </c>
      <c r="Q890">
        <v>3</v>
      </c>
      <c r="R890">
        <v>92</v>
      </c>
      <c r="S890">
        <v>3.6</v>
      </c>
      <c r="T890" s="1" t="s">
        <v>94</v>
      </c>
      <c r="U890" s="1" t="s">
        <v>67</v>
      </c>
      <c r="V890" s="1" t="s">
        <v>68</v>
      </c>
      <c r="W890" s="1" t="s">
        <v>33</v>
      </c>
    </row>
    <row r="891" spans="1:23" x14ac:dyDescent="0.35">
      <c r="A891" s="1" t="s">
        <v>1915</v>
      </c>
      <c r="B891" s="1" t="s">
        <v>904</v>
      </c>
      <c r="C891">
        <v>54</v>
      </c>
      <c r="D891" s="1" t="s">
        <v>39</v>
      </c>
      <c r="E891" s="1" t="s">
        <v>263</v>
      </c>
      <c r="F891" s="1" t="s">
        <v>44</v>
      </c>
      <c r="G891" s="1" t="s">
        <v>1417</v>
      </c>
      <c r="H891" s="2">
        <v>45563</v>
      </c>
      <c r="I891" s="1" t="s">
        <v>33</v>
      </c>
      <c r="J891" s="1" t="s">
        <v>30</v>
      </c>
      <c r="K891" s="1" t="s">
        <v>148</v>
      </c>
      <c r="L891" s="1" t="s">
        <v>32</v>
      </c>
      <c r="M891" s="1" t="s">
        <v>142</v>
      </c>
      <c r="N891">
        <v>174107.1</v>
      </c>
      <c r="O891">
        <v>0</v>
      </c>
      <c r="P891">
        <v>56816.2</v>
      </c>
      <c r="Q891">
        <v>11</v>
      </c>
      <c r="R891">
        <v>157</v>
      </c>
      <c r="S891">
        <v>2.9</v>
      </c>
      <c r="T891" s="1" t="s">
        <v>34</v>
      </c>
      <c r="U891" s="1" t="s">
        <v>33</v>
      </c>
      <c r="V891" s="1" t="s">
        <v>130</v>
      </c>
      <c r="W891" s="1" t="s">
        <v>179</v>
      </c>
    </row>
    <row r="892" spans="1:23" x14ac:dyDescent="0.35">
      <c r="A892" s="1" t="s">
        <v>1916</v>
      </c>
      <c r="B892" s="1" t="s">
        <v>1069</v>
      </c>
      <c r="C892">
        <v>35</v>
      </c>
      <c r="D892" s="1" t="s">
        <v>50</v>
      </c>
      <c r="E892" s="1" t="s">
        <v>51</v>
      </c>
      <c r="F892" s="1" t="s">
        <v>41</v>
      </c>
      <c r="G892" s="1" t="s">
        <v>1355</v>
      </c>
      <c r="H892" s="2">
        <v>45311</v>
      </c>
      <c r="I892" s="1" t="s">
        <v>159</v>
      </c>
      <c r="J892" s="1" t="s">
        <v>54</v>
      </c>
      <c r="K892" s="1" t="s">
        <v>116</v>
      </c>
      <c r="L892" s="1" t="s">
        <v>92</v>
      </c>
      <c r="M892" s="1" t="s">
        <v>93</v>
      </c>
      <c r="N892">
        <v>194235.46</v>
      </c>
      <c r="O892">
        <v>0</v>
      </c>
      <c r="P892">
        <v>38346.559999999998</v>
      </c>
      <c r="Q892">
        <v>3</v>
      </c>
      <c r="R892">
        <v>167</v>
      </c>
      <c r="S892">
        <v>2.9</v>
      </c>
      <c r="T892" s="1" t="s">
        <v>33</v>
      </c>
      <c r="U892" s="1" t="s">
        <v>35</v>
      </c>
      <c r="V892" s="1" t="s">
        <v>68</v>
      </c>
      <c r="W892" s="1" t="s">
        <v>179</v>
      </c>
    </row>
    <row r="893" spans="1:23" x14ac:dyDescent="0.35">
      <c r="A893" s="1" t="s">
        <v>1917</v>
      </c>
      <c r="B893" s="1" t="s">
        <v>590</v>
      </c>
      <c r="C893">
        <v>26</v>
      </c>
      <c r="D893" s="1" t="s">
        <v>71</v>
      </c>
      <c r="E893" s="1" t="s">
        <v>33</v>
      </c>
      <c r="F893" s="1" t="s">
        <v>44</v>
      </c>
      <c r="G893" s="1" t="s">
        <v>1918</v>
      </c>
      <c r="H893" s="2">
        <v>45957</v>
      </c>
      <c r="I893" s="1" t="s">
        <v>127</v>
      </c>
      <c r="J893" s="1" t="s">
        <v>147</v>
      </c>
      <c r="K893" s="1" t="s">
        <v>208</v>
      </c>
      <c r="L893" s="1" t="s">
        <v>33</v>
      </c>
      <c r="M893" s="1" t="s">
        <v>93</v>
      </c>
      <c r="N893">
        <v>270461.83</v>
      </c>
      <c r="O893">
        <v>24586.92</v>
      </c>
      <c r="P893">
        <v>16822.75</v>
      </c>
      <c r="Q893">
        <v>3</v>
      </c>
      <c r="R893">
        <v>194</v>
      </c>
      <c r="S893">
        <v>4.9000000000000004</v>
      </c>
      <c r="T893" s="1" t="s">
        <v>46</v>
      </c>
      <c r="U893" s="1" t="s">
        <v>58</v>
      </c>
      <c r="V893" s="1" t="s">
        <v>164</v>
      </c>
      <c r="W893" s="1" t="s">
        <v>179</v>
      </c>
    </row>
    <row r="894" spans="1:23" x14ac:dyDescent="0.35">
      <c r="A894" s="1" t="s">
        <v>1919</v>
      </c>
      <c r="B894" s="1" t="s">
        <v>85</v>
      </c>
      <c r="C894">
        <v>53</v>
      </c>
      <c r="D894" s="1" t="s">
        <v>25</v>
      </c>
      <c r="E894" s="1" t="s">
        <v>86</v>
      </c>
      <c r="F894" s="1" t="s">
        <v>135</v>
      </c>
      <c r="G894" s="1" t="s">
        <v>1825</v>
      </c>
      <c r="H894" s="2">
        <v>45849</v>
      </c>
      <c r="I894" s="1" t="s">
        <v>127</v>
      </c>
      <c r="J894" s="1" t="s">
        <v>33</v>
      </c>
      <c r="K894" s="1" t="s">
        <v>148</v>
      </c>
      <c r="L894" s="1" t="s">
        <v>32</v>
      </c>
      <c r="M894" s="1" t="s">
        <v>57</v>
      </c>
      <c r="N894">
        <v>295237.68</v>
      </c>
      <c r="O894">
        <v>46057.53</v>
      </c>
      <c r="P894">
        <v>0</v>
      </c>
      <c r="Q894">
        <v>2</v>
      </c>
      <c r="R894">
        <v>170</v>
      </c>
      <c r="S894">
        <v>3</v>
      </c>
      <c r="T894" s="1" t="s">
        <v>154</v>
      </c>
      <c r="U894" s="1" t="s">
        <v>58</v>
      </c>
      <c r="V894" s="1" t="s">
        <v>102</v>
      </c>
      <c r="W894" s="1" t="s">
        <v>131</v>
      </c>
    </row>
    <row r="895" spans="1:23" x14ac:dyDescent="0.35">
      <c r="A895" s="1" t="s">
        <v>1920</v>
      </c>
      <c r="B895" s="1" t="s">
        <v>826</v>
      </c>
      <c r="C895">
        <v>92</v>
      </c>
      <c r="D895" s="1" t="s">
        <v>50</v>
      </c>
      <c r="E895" s="1" t="s">
        <v>86</v>
      </c>
      <c r="F895" s="1" t="s">
        <v>227</v>
      </c>
      <c r="G895" s="1" t="s">
        <v>1921</v>
      </c>
      <c r="H895" s="2">
        <v>45786</v>
      </c>
      <c r="I895" s="1" t="s">
        <v>221</v>
      </c>
      <c r="J895" s="1" t="s">
        <v>152</v>
      </c>
      <c r="K895" s="1" t="s">
        <v>163</v>
      </c>
      <c r="L895" s="1" t="s">
        <v>56</v>
      </c>
      <c r="M895" s="1" t="s">
        <v>183</v>
      </c>
      <c r="N895">
        <v>262262.27</v>
      </c>
      <c r="O895">
        <v>20341.939999999999</v>
      </c>
      <c r="P895">
        <v>0</v>
      </c>
      <c r="Q895">
        <v>2</v>
      </c>
      <c r="R895">
        <v>199</v>
      </c>
      <c r="S895">
        <v>2</v>
      </c>
      <c r="T895" s="1" t="s">
        <v>34</v>
      </c>
      <c r="U895" s="1" t="s">
        <v>58</v>
      </c>
      <c r="V895" s="1" t="s">
        <v>130</v>
      </c>
      <c r="W895" s="1" t="s">
        <v>131</v>
      </c>
    </row>
    <row r="896" spans="1:23" x14ac:dyDescent="0.35">
      <c r="A896" s="1" t="s">
        <v>1922</v>
      </c>
      <c r="B896" s="1" t="s">
        <v>191</v>
      </c>
      <c r="C896">
        <v>35</v>
      </c>
      <c r="D896" s="1" t="s">
        <v>106</v>
      </c>
      <c r="E896" s="1" t="s">
        <v>26</v>
      </c>
      <c r="F896" s="1" t="s">
        <v>227</v>
      </c>
      <c r="G896" s="1" t="s">
        <v>1923</v>
      </c>
      <c r="H896" s="2">
        <v>46239</v>
      </c>
      <c r="I896" s="1" t="s">
        <v>89</v>
      </c>
      <c r="J896" s="1" t="s">
        <v>43</v>
      </c>
      <c r="K896" s="1" t="s">
        <v>33</v>
      </c>
      <c r="L896" s="1" t="s">
        <v>56</v>
      </c>
      <c r="M896" s="1" t="s">
        <v>57</v>
      </c>
      <c r="N896">
        <v>418297.65</v>
      </c>
      <c r="O896">
        <v>49331</v>
      </c>
      <c r="P896">
        <v>40264.870000000003</v>
      </c>
      <c r="Q896">
        <v>1</v>
      </c>
      <c r="R896">
        <v>118</v>
      </c>
      <c r="S896">
        <v>2.9</v>
      </c>
      <c r="T896" s="1" t="s">
        <v>46</v>
      </c>
      <c r="U896" s="1" t="s">
        <v>33</v>
      </c>
      <c r="V896" s="1" t="s">
        <v>68</v>
      </c>
      <c r="W896" s="1" t="s">
        <v>83</v>
      </c>
    </row>
    <row r="897" spans="1:23" x14ac:dyDescent="0.35">
      <c r="A897" s="1" t="s">
        <v>1924</v>
      </c>
      <c r="B897" s="1" t="s">
        <v>569</v>
      </c>
      <c r="C897">
        <v>44</v>
      </c>
      <c r="D897" s="1" t="s">
        <v>71</v>
      </c>
      <c r="E897" s="1" t="s">
        <v>33</v>
      </c>
      <c r="F897" s="1" t="s">
        <v>145</v>
      </c>
      <c r="G897" s="1" t="s">
        <v>808</v>
      </c>
      <c r="H897" s="2">
        <v>46057</v>
      </c>
      <c r="I897" s="1" t="s">
        <v>53</v>
      </c>
      <c r="J897" s="1" t="s">
        <v>115</v>
      </c>
      <c r="K897" s="1" t="s">
        <v>122</v>
      </c>
      <c r="L897" s="1" t="s">
        <v>33</v>
      </c>
      <c r="M897" s="1" t="s">
        <v>74</v>
      </c>
      <c r="N897">
        <v>355627.79</v>
      </c>
      <c r="O897">
        <v>54179.45</v>
      </c>
      <c r="P897">
        <v>59819.32</v>
      </c>
      <c r="Q897">
        <v>3</v>
      </c>
      <c r="R897">
        <v>67</v>
      </c>
      <c r="S897">
        <v>4.7</v>
      </c>
      <c r="T897" s="1" t="s">
        <v>46</v>
      </c>
      <c r="U897" s="1" t="s">
        <v>95</v>
      </c>
      <c r="V897" s="1" t="s">
        <v>130</v>
      </c>
      <c r="W897" s="1" t="s">
        <v>33</v>
      </c>
    </row>
    <row r="898" spans="1:23" x14ac:dyDescent="0.35">
      <c r="A898" s="1" t="s">
        <v>1925</v>
      </c>
      <c r="B898" s="1" t="s">
        <v>1021</v>
      </c>
      <c r="C898">
        <v>19</v>
      </c>
      <c r="D898" s="1" t="s">
        <v>119</v>
      </c>
      <c r="E898" s="1" t="s">
        <v>72</v>
      </c>
      <c r="F898" s="1" t="s">
        <v>33</v>
      </c>
      <c r="G898" s="1" t="s">
        <v>329</v>
      </c>
      <c r="H898" s="2">
        <v>45719</v>
      </c>
      <c r="I898" s="1" t="s">
        <v>53</v>
      </c>
      <c r="J898" s="1" t="s">
        <v>87</v>
      </c>
      <c r="K898" s="1" t="s">
        <v>163</v>
      </c>
      <c r="L898" s="1" t="s">
        <v>33</v>
      </c>
      <c r="M898" s="1" t="s">
        <v>57</v>
      </c>
      <c r="N898">
        <v>163539.71</v>
      </c>
      <c r="O898">
        <v>32113.17</v>
      </c>
      <c r="P898">
        <v>72306.47</v>
      </c>
      <c r="Q898">
        <v>2</v>
      </c>
      <c r="R898">
        <v>81</v>
      </c>
      <c r="T898" s="1" t="s">
        <v>154</v>
      </c>
      <c r="U898" s="1" t="s">
        <v>35</v>
      </c>
      <c r="V898" s="1" t="s">
        <v>102</v>
      </c>
      <c r="W898" s="1" t="s">
        <v>33</v>
      </c>
    </row>
    <row r="899" spans="1:23" x14ac:dyDescent="0.35">
      <c r="A899" s="1" t="s">
        <v>1926</v>
      </c>
      <c r="B899" s="1" t="s">
        <v>1100</v>
      </c>
      <c r="C899">
        <v>45</v>
      </c>
      <c r="D899" s="1" t="s">
        <v>106</v>
      </c>
      <c r="E899" s="1" t="s">
        <v>40</v>
      </c>
      <c r="F899" s="1" t="s">
        <v>63</v>
      </c>
      <c r="G899" s="1" t="s">
        <v>369</v>
      </c>
      <c r="H899" s="2">
        <v>46150</v>
      </c>
      <c r="I899" s="1" t="s">
        <v>168</v>
      </c>
      <c r="J899" s="1" t="s">
        <v>242</v>
      </c>
      <c r="K899" s="1" t="s">
        <v>148</v>
      </c>
      <c r="L899" s="1" t="s">
        <v>33</v>
      </c>
      <c r="M899" s="1" t="s">
        <v>57</v>
      </c>
      <c r="N899">
        <v>246017.27</v>
      </c>
      <c r="O899">
        <v>52996.79</v>
      </c>
      <c r="P899">
        <v>75567.7</v>
      </c>
      <c r="Q899">
        <v>3</v>
      </c>
      <c r="R899">
        <v>50</v>
      </c>
      <c r="S899">
        <v>2.9</v>
      </c>
      <c r="T899" s="1" t="s">
        <v>154</v>
      </c>
      <c r="U899" s="1" t="s">
        <v>58</v>
      </c>
      <c r="V899" s="1" t="s">
        <v>102</v>
      </c>
      <c r="W899" s="1" t="s">
        <v>12</v>
      </c>
    </row>
    <row r="900" spans="1:23" x14ac:dyDescent="0.35">
      <c r="A900" s="1" t="s">
        <v>1927</v>
      </c>
      <c r="B900" s="1" t="s">
        <v>583</v>
      </c>
      <c r="C900">
        <v>58</v>
      </c>
      <c r="D900" s="1" t="s">
        <v>33</v>
      </c>
      <c r="E900" s="1" t="s">
        <v>107</v>
      </c>
      <c r="F900" s="1" t="s">
        <v>27</v>
      </c>
      <c r="G900" s="1" t="s">
        <v>1928</v>
      </c>
      <c r="H900" s="2">
        <v>45369</v>
      </c>
      <c r="I900" s="1" t="s">
        <v>114</v>
      </c>
      <c r="J900" s="1" t="s">
        <v>115</v>
      </c>
      <c r="K900" s="1" t="s">
        <v>148</v>
      </c>
      <c r="L900" s="1" t="s">
        <v>44</v>
      </c>
      <c r="M900" s="1" t="s">
        <v>93</v>
      </c>
      <c r="N900">
        <v>422834.82</v>
      </c>
      <c r="O900">
        <v>22122.95</v>
      </c>
      <c r="P900">
        <v>37757.08</v>
      </c>
      <c r="Q900">
        <v>1</v>
      </c>
      <c r="R900">
        <v>205</v>
      </c>
      <c r="S900">
        <v>4.4000000000000004</v>
      </c>
      <c r="T900" s="1" t="s">
        <v>33</v>
      </c>
      <c r="U900" s="1" t="s">
        <v>149</v>
      </c>
      <c r="V900" s="1" t="s">
        <v>75</v>
      </c>
      <c r="W900" s="1" t="s">
        <v>83</v>
      </c>
    </row>
    <row r="901" spans="1:23" x14ac:dyDescent="0.35">
      <c r="A901" s="1" t="s">
        <v>1929</v>
      </c>
      <c r="B901" s="1" t="s">
        <v>904</v>
      </c>
      <c r="C901">
        <v>16</v>
      </c>
      <c r="D901" s="1" t="s">
        <v>106</v>
      </c>
      <c r="E901" s="1" t="s">
        <v>157</v>
      </c>
      <c r="F901" s="1" t="s">
        <v>135</v>
      </c>
      <c r="G901" s="1" t="s">
        <v>1930</v>
      </c>
      <c r="H901" s="2">
        <v>45637</v>
      </c>
      <c r="I901" s="1" t="s">
        <v>159</v>
      </c>
      <c r="J901" s="1" t="s">
        <v>90</v>
      </c>
      <c r="K901" s="1" t="s">
        <v>33</v>
      </c>
      <c r="L901" s="1" t="s">
        <v>44</v>
      </c>
      <c r="M901" s="1" t="s">
        <v>183</v>
      </c>
      <c r="N901">
        <v>315021.93</v>
      </c>
      <c r="O901">
        <v>6771.59</v>
      </c>
      <c r="P901">
        <v>10979.39</v>
      </c>
      <c r="Q901">
        <v>4</v>
      </c>
      <c r="R901">
        <v>68</v>
      </c>
      <c r="S901">
        <v>2.9</v>
      </c>
      <c r="T901" s="1" t="s">
        <v>33</v>
      </c>
      <c r="U901" s="1" t="s">
        <v>58</v>
      </c>
      <c r="V901" s="1" t="s">
        <v>164</v>
      </c>
      <c r="W901" s="1" t="s">
        <v>33</v>
      </c>
    </row>
    <row r="902" spans="1:23" x14ac:dyDescent="0.35">
      <c r="A902" s="1" t="s">
        <v>1931</v>
      </c>
      <c r="B902" s="1" t="s">
        <v>331</v>
      </c>
      <c r="C902">
        <v>11</v>
      </c>
      <c r="D902" s="1" t="s">
        <v>50</v>
      </c>
      <c r="E902" s="1" t="s">
        <v>157</v>
      </c>
      <c r="F902" s="1" t="s">
        <v>87</v>
      </c>
      <c r="G902" s="1" t="s">
        <v>1932</v>
      </c>
      <c r="H902" s="2">
        <v>46222</v>
      </c>
      <c r="I902" s="1" t="s">
        <v>53</v>
      </c>
      <c r="J902" s="1" t="s">
        <v>242</v>
      </c>
      <c r="K902" s="1" t="s">
        <v>128</v>
      </c>
      <c r="L902" s="1" t="s">
        <v>44</v>
      </c>
      <c r="M902" s="1" t="s">
        <v>33</v>
      </c>
      <c r="N902">
        <v>354234.28</v>
      </c>
      <c r="O902">
        <v>58192.160000000003</v>
      </c>
      <c r="P902">
        <v>0</v>
      </c>
      <c r="Q902">
        <v>2</v>
      </c>
      <c r="R902">
        <v>168</v>
      </c>
      <c r="S902">
        <v>2.6</v>
      </c>
      <c r="T902" s="1" t="s">
        <v>34</v>
      </c>
      <c r="U902" s="1" t="s">
        <v>58</v>
      </c>
      <c r="V902" s="1" t="s">
        <v>130</v>
      </c>
      <c r="W902" s="1" t="s">
        <v>83</v>
      </c>
    </row>
    <row r="903" spans="1:23" x14ac:dyDescent="0.35">
      <c r="A903" s="1" t="s">
        <v>1933</v>
      </c>
      <c r="B903" s="1" t="s">
        <v>206</v>
      </c>
      <c r="C903">
        <v>41</v>
      </c>
      <c r="D903" s="1" t="s">
        <v>25</v>
      </c>
      <c r="E903" s="1" t="s">
        <v>263</v>
      </c>
      <c r="F903" s="1" t="s">
        <v>135</v>
      </c>
      <c r="G903" s="1" t="s">
        <v>1811</v>
      </c>
      <c r="H903" s="2">
        <v>45712</v>
      </c>
      <c r="I903" s="1" t="s">
        <v>257</v>
      </c>
      <c r="J903" s="1" t="s">
        <v>87</v>
      </c>
      <c r="K903" s="1" t="s">
        <v>122</v>
      </c>
      <c r="L903" s="1" t="s">
        <v>32</v>
      </c>
      <c r="M903" s="1" t="s">
        <v>45</v>
      </c>
      <c r="N903">
        <v>224028.58</v>
      </c>
      <c r="O903">
        <v>25372.560000000001</v>
      </c>
      <c r="P903">
        <v>81363.88</v>
      </c>
      <c r="Q903">
        <v>5</v>
      </c>
      <c r="R903">
        <v>2</v>
      </c>
      <c r="S903">
        <v>4.5</v>
      </c>
      <c r="T903" s="1" t="s">
        <v>46</v>
      </c>
      <c r="U903" s="1" t="s">
        <v>35</v>
      </c>
      <c r="V903" s="1" t="s">
        <v>130</v>
      </c>
      <c r="W903" s="1" t="s">
        <v>33</v>
      </c>
    </row>
    <row r="904" spans="1:23" x14ac:dyDescent="0.35">
      <c r="A904" s="1" t="s">
        <v>1934</v>
      </c>
      <c r="B904" s="1" t="s">
        <v>394</v>
      </c>
      <c r="C904">
        <v>58</v>
      </c>
      <c r="D904" s="1" t="s">
        <v>119</v>
      </c>
      <c r="E904" s="1" t="s">
        <v>33</v>
      </c>
      <c r="F904" s="1" t="s">
        <v>63</v>
      </c>
      <c r="G904" s="1" t="s">
        <v>211</v>
      </c>
      <c r="H904" s="2">
        <v>45715</v>
      </c>
      <c r="I904" s="1" t="s">
        <v>159</v>
      </c>
      <c r="J904" s="1" t="s">
        <v>137</v>
      </c>
      <c r="K904" s="1" t="s">
        <v>174</v>
      </c>
      <c r="L904" s="1" t="s">
        <v>32</v>
      </c>
      <c r="M904" s="1" t="s">
        <v>169</v>
      </c>
      <c r="N904">
        <v>545457.85</v>
      </c>
      <c r="O904">
        <v>16776.330000000002</v>
      </c>
      <c r="P904">
        <v>73719.14</v>
      </c>
      <c r="Q904">
        <v>6</v>
      </c>
      <c r="R904">
        <v>87</v>
      </c>
      <c r="S904">
        <v>5</v>
      </c>
      <c r="T904" s="1" t="s">
        <v>33</v>
      </c>
      <c r="U904" s="1" t="s">
        <v>101</v>
      </c>
      <c r="V904" s="1" t="s">
        <v>33</v>
      </c>
      <c r="W904" s="1" t="s">
        <v>59</v>
      </c>
    </row>
    <row r="905" spans="1:23" x14ac:dyDescent="0.35">
      <c r="A905" s="1" t="s">
        <v>1935</v>
      </c>
      <c r="B905" s="1" t="s">
        <v>333</v>
      </c>
      <c r="C905">
        <v>34</v>
      </c>
      <c r="D905" s="1" t="s">
        <v>71</v>
      </c>
      <c r="E905" s="1" t="s">
        <v>157</v>
      </c>
      <c r="F905" s="1" t="s">
        <v>27</v>
      </c>
      <c r="G905" s="1" t="s">
        <v>1329</v>
      </c>
      <c r="H905" s="2">
        <v>45570</v>
      </c>
      <c r="I905" s="1" t="s">
        <v>168</v>
      </c>
      <c r="J905" s="1" t="s">
        <v>242</v>
      </c>
      <c r="K905" s="1" t="s">
        <v>116</v>
      </c>
      <c r="L905" s="1" t="s">
        <v>92</v>
      </c>
      <c r="M905" s="1" t="s">
        <v>142</v>
      </c>
      <c r="N905">
        <v>402850.11</v>
      </c>
      <c r="O905">
        <v>17710.95</v>
      </c>
      <c r="P905">
        <v>2618.23</v>
      </c>
      <c r="Q905">
        <v>3</v>
      </c>
      <c r="R905">
        <v>56</v>
      </c>
      <c r="S905">
        <v>4.5</v>
      </c>
      <c r="T905" s="1" t="s">
        <v>33</v>
      </c>
      <c r="U905" s="1" t="s">
        <v>35</v>
      </c>
      <c r="V905" s="1" t="s">
        <v>33</v>
      </c>
      <c r="W905" s="1" t="s">
        <v>59</v>
      </c>
    </row>
    <row r="906" spans="1:23" x14ac:dyDescent="0.35">
      <c r="A906" s="1" t="s">
        <v>1936</v>
      </c>
      <c r="B906" s="1" t="s">
        <v>598</v>
      </c>
      <c r="C906">
        <v>45</v>
      </c>
      <c r="D906" s="1" t="s">
        <v>71</v>
      </c>
      <c r="E906" s="1" t="s">
        <v>177</v>
      </c>
      <c r="F906" s="1" t="s">
        <v>27</v>
      </c>
      <c r="G906" s="1" t="s">
        <v>1937</v>
      </c>
      <c r="H906" s="2">
        <v>45987</v>
      </c>
      <c r="I906" s="1" t="s">
        <v>53</v>
      </c>
      <c r="J906" s="1" t="s">
        <v>30</v>
      </c>
      <c r="K906" s="1" t="s">
        <v>31</v>
      </c>
      <c r="L906" s="1" t="s">
        <v>33</v>
      </c>
      <c r="M906" s="1" t="s">
        <v>169</v>
      </c>
      <c r="N906">
        <v>404547.59</v>
      </c>
      <c r="O906">
        <v>0</v>
      </c>
      <c r="P906">
        <v>31702.1</v>
      </c>
      <c r="Q906">
        <v>8</v>
      </c>
      <c r="R906">
        <v>73</v>
      </c>
      <c r="S906">
        <v>3.6</v>
      </c>
      <c r="T906" s="1" t="s">
        <v>46</v>
      </c>
      <c r="U906" s="1" t="s">
        <v>35</v>
      </c>
      <c r="V906" s="1" t="s">
        <v>33</v>
      </c>
      <c r="W906" s="1" t="s">
        <v>83</v>
      </c>
    </row>
    <row r="907" spans="1:23" x14ac:dyDescent="0.35">
      <c r="A907" s="1" t="s">
        <v>1938</v>
      </c>
      <c r="B907" s="1" t="s">
        <v>713</v>
      </c>
      <c r="C907">
        <v>58</v>
      </c>
      <c r="D907" s="1" t="s">
        <v>39</v>
      </c>
      <c r="E907" s="1" t="s">
        <v>157</v>
      </c>
      <c r="F907" s="1" t="s">
        <v>227</v>
      </c>
      <c r="G907" s="1" t="s">
        <v>1001</v>
      </c>
      <c r="H907" s="2">
        <v>45309</v>
      </c>
      <c r="I907" s="1" t="s">
        <v>159</v>
      </c>
      <c r="J907" s="1" t="s">
        <v>137</v>
      </c>
      <c r="K907" s="1" t="s">
        <v>163</v>
      </c>
      <c r="L907" s="1" t="s">
        <v>32</v>
      </c>
      <c r="M907" s="1" t="s">
        <v>33</v>
      </c>
      <c r="N907">
        <v>157727.04000000001</v>
      </c>
      <c r="O907">
        <v>33475.72</v>
      </c>
      <c r="P907">
        <v>43646.31</v>
      </c>
      <c r="Q907">
        <v>3</v>
      </c>
      <c r="R907">
        <v>25</v>
      </c>
      <c r="S907">
        <v>3.6</v>
      </c>
      <c r="T907" s="1" t="s">
        <v>154</v>
      </c>
      <c r="U907" s="1" t="s">
        <v>35</v>
      </c>
      <c r="V907" s="1" t="s">
        <v>47</v>
      </c>
      <c r="W907" s="1" t="s">
        <v>103</v>
      </c>
    </row>
    <row r="908" spans="1:23" x14ac:dyDescent="0.35">
      <c r="A908" s="1" t="s">
        <v>1939</v>
      </c>
      <c r="B908" s="1" t="s">
        <v>634</v>
      </c>
      <c r="C908">
        <v>39</v>
      </c>
      <c r="D908" s="1" t="s">
        <v>71</v>
      </c>
      <c r="E908" s="1" t="s">
        <v>62</v>
      </c>
      <c r="F908" s="1" t="s">
        <v>227</v>
      </c>
      <c r="G908" s="1" t="s">
        <v>1940</v>
      </c>
      <c r="H908" s="2">
        <v>45443</v>
      </c>
      <c r="I908" s="1" t="s">
        <v>159</v>
      </c>
      <c r="J908" s="1" t="s">
        <v>33</v>
      </c>
      <c r="K908" s="1" t="s">
        <v>116</v>
      </c>
      <c r="L908" s="1" t="s">
        <v>33</v>
      </c>
      <c r="M908" s="1" t="s">
        <v>33</v>
      </c>
      <c r="N908">
        <v>224446.32</v>
      </c>
      <c r="O908">
        <v>31891.84</v>
      </c>
      <c r="P908">
        <v>32031.14</v>
      </c>
      <c r="Q908">
        <v>2</v>
      </c>
      <c r="R908">
        <v>190</v>
      </c>
      <c r="S908">
        <v>2.2000000000000002</v>
      </c>
      <c r="T908" s="1" t="s">
        <v>154</v>
      </c>
      <c r="U908" s="1" t="s">
        <v>33</v>
      </c>
      <c r="V908" s="1" t="s">
        <v>33</v>
      </c>
      <c r="W908" s="1" t="s">
        <v>12</v>
      </c>
    </row>
    <row r="909" spans="1:23" x14ac:dyDescent="0.35">
      <c r="A909" s="1" t="s">
        <v>1941</v>
      </c>
      <c r="B909" s="1" t="s">
        <v>1103</v>
      </c>
      <c r="C909">
        <v>92</v>
      </c>
      <c r="D909" s="1" t="s">
        <v>33</v>
      </c>
      <c r="E909" s="1" t="s">
        <v>33</v>
      </c>
      <c r="F909" s="1" t="s">
        <v>63</v>
      </c>
      <c r="G909" s="1" t="s">
        <v>1942</v>
      </c>
      <c r="H909" s="2">
        <v>45354</v>
      </c>
      <c r="I909" s="1" t="s">
        <v>159</v>
      </c>
      <c r="J909" s="1" t="s">
        <v>115</v>
      </c>
      <c r="K909" s="1" t="s">
        <v>55</v>
      </c>
      <c r="L909" s="1" t="s">
        <v>66</v>
      </c>
      <c r="M909" s="1" t="s">
        <v>45</v>
      </c>
      <c r="N909">
        <v>74681.210000000006</v>
      </c>
      <c r="O909">
        <v>0</v>
      </c>
      <c r="P909">
        <v>67034.3</v>
      </c>
      <c r="Q909">
        <v>1</v>
      </c>
      <c r="R909">
        <v>0</v>
      </c>
      <c r="S909">
        <v>3.4</v>
      </c>
      <c r="T909" s="1" t="s">
        <v>34</v>
      </c>
      <c r="U909" s="1" t="s">
        <v>58</v>
      </c>
      <c r="V909" s="1" t="s">
        <v>102</v>
      </c>
      <c r="W909" s="1" t="s">
        <v>179</v>
      </c>
    </row>
    <row r="910" spans="1:23" x14ac:dyDescent="0.35">
      <c r="A910" s="1" t="s">
        <v>1943</v>
      </c>
      <c r="B910" s="1" t="s">
        <v>883</v>
      </c>
      <c r="C910">
        <v>9</v>
      </c>
      <c r="D910" s="1" t="s">
        <v>33</v>
      </c>
      <c r="E910" s="1" t="s">
        <v>112</v>
      </c>
      <c r="F910" s="1" t="s">
        <v>27</v>
      </c>
      <c r="G910" s="1" t="s">
        <v>1095</v>
      </c>
      <c r="H910" s="2">
        <v>45535</v>
      </c>
      <c r="I910" s="1" t="s">
        <v>29</v>
      </c>
      <c r="J910" s="1" t="s">
        <v>33</v>
      </c>
      <c r="K910" s="1" t="s">
        <v>91</v>
      </c>
      <c r="L910" s="1" t="s">
        <v>56</v>
      </c>
      <c r="M910" s="1" t="s">
        <v>93</v>
      </c>
      <c r="N910">
        <v>0</v>
      </c>
      <c r="O910">
        <v>0</v>
      </c>
      <c r="P910">
        <v>71950.789999999994</v>
      </c>
      <c r="Q910">
        <v>14</v>
      </c>
      <c r="R910">
        <v>179</v>
      </c>
      <c r="S910">
        <v>3</v>
      </c>
      <c r="T910" s="1" t="s">
        <v>46</v>
      </c>
      <c r="U910" s="1" t="s">
        <v>33</v>
      </c>
      <c r="V910" s="1" t="s">
        <v>68</v>
      </c>
      <c r="W910" s="1" t="s">
        <v>33</v>
      </c>
    </row>
    <row r="911" spans="1:23" x14ac:dyDescent="0.35">
      <c r="A911" s="1" t="s">
        <v>1944</v>
      </c>
      <c r="B911" s="1" t="s">
        <v>1287</v>
      </c>
      <c r="C911">
        <v>73</v>
      </c>
      <c r="D911" s="1" t="s">
        <v>78</v>
      </c>
      <c r="E911" s="1" t="s">
        <v>157</v>
      </c>
      <c r="F911" s="1" t="s">
        <v>63</v>
      </c>
      <c r="G911" s="1" t="s">
        <v>591</v>
      </c>
      <c r="H911" s="2">
        <v>45818</v>
      </c>
      <c r="I911" s="1" t="s">
        <v>173</v>
      </c>
      <c r="J911" s="1" t="s">
        <v>54</v>
      </c>
      <c r="K911" s="1" t="s">
        <v>153</v>
      </c>
      <c r="L911" s="1" t="s">
        <v>33</v>
      </c>
      <c r="M911" s="1" t="s">
        <v>57</v>
      </c>
      <c r="N911">
        <v>470228.5</v>
      </c>
      <c r="O911">
        <v>23841.62</v>
      </c>
      <c r="P911">
        <v>0</v>
      </c>
      <c r="Q911">
        <v>5</v>
      </c>
      <c r="R911">
        <v>33</v>
      </c>
      <c r="S911">
        <v>3.1</v>
      </c>
      <c r="T911" s="1" t="s">
        <v>34</v>
      </c>
      <c r="U911" s="1" t="s">
        <v>58</v>
      </c>
      <c r="V911" s="1" t="s">
        <v>33</v>
      </c>
      <c r="W911" s="1" t="s">
        <v>36</v>
      </c>
    </row>
    <row r="912" spans="1:23" x14ac:dyDescent="0.35">
      <c r="A912" s="1" t="s">
        <v>1945</v>
      </c>
      <c r="B912" s="1" t="s">
        <v>976</v>
      </c>
      <c r="C912">
        <v>38</v>
      </c>
      <c r="D912" s="1" t="s">
        <v>78</v>
      </c>
      <c r="E912" s="1" t="s">
        <v>33</v>
      </c>
      <c r="F912" s="1" t="s">
        <v>145</v>
      </c>
      <c r="G912" s="1" t="s">
        <v>1770</v>
      </c>
      <c r="H912" s="2">
        <v>45978</v>
      </c>
      <c r="I912" s="1" t="s">
        <v>273</v>
      </c>
      <c r="J912" s="1" t="s">
        <v>147</v>
      </c>
      <c r="K912" s="1" t="s">
        <v>148</v>
      </c>
      <c r="L912" s="1" t="s">
        <v>66</v>
      </c>
      <c r="M912" s="1" t="s">
        <v>33</v>
      </c>
      <c r="N912">
        <v>376645.24</v>
      </c>
      <c r="O912">
        <v>61860.71</v>
      </c>
      <c r="P912">
        <v>39849.79</v>
      </c>
      <c r="Q912">
        <v>2</v>
      </c>
      <c r="R912">
        <v>177</v>
      </c>
      <c r="S912">
        <v>4.2</v>
      </c>
      <c r="T912" s="1" t="s">
        <v>154</v>
      </c>
      <c r="U912" s="1" t="s">
        <v>33</v>
      </c>
      <c r="V912" s="1" t="s">
        <v>47</v>
      </c>
      <c r="W912" s="1" t="s">
        <v>36</v>
      </c>
    </row>
    <row r="913" spans="1:23" x14ac:dyDescent="0.35">
      <c r="A913" s="1" t="s">
        <v>1946</v>
      </c>
      <c r="B913" s="1" t="s">
        <v>624</v>
      </c>
      <c r="C913">
        <v>62</v>
      </c>
      <c r="D913" s="1" t="s">
        <v>50</v>
      </c>
      <c r="E913" s="1" t="s">
        <v>112</v>
      </c>
      <c r="F913" s="1" t="s">
        <v>56</v>
      </c>
      <c r="G913" s="1" t="s">
        <v>777</v>
      </c>
      <c r="H913" s="2">
        <v>46118</v>
      </c>
      <c r="I913" s="1" t="s">
        <v>89</v>
      </c>
      <c r="J913" s="1" t="s">
        <v>65</v>
      </c>
      <c r="K913" s="1" t="s">
        <v>33</v>
      </c>
      <c r="L913" s="1" t="s">
        <v>92</v>
      </c>
      <c r="M913" s="1" t="s">
        <v>82</v>
      </c>
      <c r="N913">
        <v>230115.29</v>
      </c>
      <c r="O913">
        <v>81445.279999999999</v>
      </c>
      <c r="P913">
        <v>1847.66</v>
      </c>
      <c r="Q913">
        <v>3</v>
      </c>
      <c r="R913">
        <v>56</v>
      </c>
      <c r="S913">
        <v>3.5</v>
      </c>
      <c r="T913" s="1" t="s">
        <v>154</v>
      </c>
      <c r="U913" s="1" t="s">
        <v>67</v>
      </c>
      <c r="V913" s="1" t="s">
        <v>75</v>
      </c>
      <c r="W913" s="1" t="s">
        <v>179</v>
      </c>
    </row>
    <row r="914" spans="1:23" x14ac:dyDescent="0.35">
      <c r="A914" s="1" t="s">
        <v>1947</v>
      </c>
      <c r="B914" s="1" t="s">
        <v>891</v>
      </c>
      <c r="C914">
        <v>70</v>
      </c>
      <c r="D914" s="1" t="s">
        <v>71</v>
      </c>
      <c r="E914" s="1" t="s">
        <v>72</v>
      </c>
      <c r="F914" s="1" t="s">
        <v>41</v>
      </c>
      <c r="G914" s="1" t="s">
        <v>354</v>
      </c>
      <c r="H914" s="2">
        <v>46073</v>
      </c>
      <c r="I914" s="1" t="s">
        <v>257</v>
      </c>
      <c r="J914" s="1" t="s">
        <v>115</v>
      </c>
      <c r="K914" s="1" t="s">
        <v>174</v>
      </c>
      <c r="L914" s="1" t="s">
        <v>44</v>
      </c>
      <c r="M914" s="1" t="s">
        <v>33</v>
      </c>
      <c r="N914">
        <v>216584.2</v>
      </c>
      <c r="O914">
        <v>0</v>
      </c>
      <c r="P914">
        <v>70275.42</v>
      </c>
      <c r="Q914">
        <v>4</v>
      </c>
      <c r="R914">
        <v>151</v>
      </c>
      <c r="S914">
        <v>1.2</v>
      </c>
      <c r="T914" s="1" t="s">
        <v>154</v>
      </c>
      <c r="U914" s="1" t="s">
        <v>35</v>
      </c>
      <c r="V914" s="1" t="s">
        <v>102</v>
      </c>
      <c r="W914" s="1" t="s">
        <v>59</v>
      </c>
    </row>
    <row r="915" spans="1:23" x14ac:dyDescent="0.35">
      <c r="A915" s="1" t="s">
        <v>1948</v>
      </c>
      <c r="B915" s="1" t="s">
        <v>1287</v>
      </c>
      <c r="C915">
        <v>8</v>
      </c>
      <c r="D915" s="1" t="s">
        <v>1949</v>
      </c>
      <c r="E915" s="1" t="s">
        <v>177</v>
      </c>
      <c r="F915" s="1" t="s">
        <v>108</v>
      </c>
      <c r="G915" s="1" t="s">
        <v>326</v>
      </c>
      <c r="H915" s="2">
        <v>45856</v>
      </c>
      <c r="I915" s="1" t="s">
        <v>159</v>
      </c>
      <c r="J915" s="1" t="s">
        <v>30</v>
      </c>
      <c r="K915" s="1" t="s">
        <v>122</v>
      </c>
      <c r="L915" s="1" t="s">
        <v>44</v>
      </c>
      <c r="M915" s="1" t="s">
        <v>169</v>
      </c>
      <c r="N915">
        <v>126948.85</v>
      </c>
      <c r="O915">
        <v>7429.78</v>
      </c>
      <c r="P915">
        <v>69277.94</v>
      </c>
      <c r="Q915">
        <v>3</v>
      </c>
      <c r="R915">
        <v>103</v>
      </c>
      <c r="S915">
        <v>2</v>
      </c>
      <c r="T915" s="1" t="s">
        <v>94</v>
      </c>
      <c r="U915" s="1" t="s">
        <v>95</v>
      </c>
      <c r="V915" s="1" t="s">
        <v>33</v>
      </c>
      <c r="W915" s="1" t="s">
        <v>131</v>
      </c>
    </row>
    <row r="916" spans="1:23" x14ac:dyDescent="0.35">
      <c r="A916" s="1" t="s">
        <v>1950</v>
      </c>
      <c r="B916" s="1" t="s">
        <v>1951</v>
      </c>
      <c r="C916">
        <v>11</v>
      </c>
      <c r="D916" s="1" t="s">
        <v>25</v>
      </c>
      <c r="E916" s="1" t="s">
        <v>263</v>
      </c>
      <c r="F916" s="1" t="s">
        <v>98</v>
      </c>
      <c r="G916" s="1" t="s">
        <v>1300</v>
      </c>
      <c r="H916" s="2">
        <v>45418</v>
      </c>
      <c r="I916" s="1" t="s">
        <v>257</v>
      </c>
      <c r="J916" s="1" t="s">
        <v>141</v>
      </c>
      <c r="K916" s="1" t="s">
        <v>91</v>
      </c>
      <c r="L916" s="1" t="s">
        <v>33</v>
      </c>
      <c r="M916" s="1" t="s">
        <v>93</v>
      </c>
      <c r="N916">
        <v>266215.93</v>
      </c>
      <c r="O916">
        <v>9649.73</v>
      </c>
      <c r="P916">
        <v>34029.69</v>
      </c>
      <c r="Q916">
        <v>5</v>
      </c>
      <c r="R916">
        <v>132</v>
      </c>
      <c r="S916">
        <v>4.4000000000000004</v>
      </c>
      <c r="T916" s="1" t="s">
        <v>46</v>
      </c>
      <c r="U916" s="1" t="s">
        <v>149</v>
      </c>
      <c r="V916" s="1" t="s">
        <v>130</v>
      </c>
      <c r="W916" s="1" t="s">
        <v>33</v>
      </c>
    </row>
    <row r="917" spans="1:23" x14ac:dyDescent="0.35">
      <c r="A917" s="1" t="s">
        <v>1952</v>
      </c>
      <c r="B917" s="1" t="s">
        <v>1425</v>
      </c>
      <c r="C917">
        <v>41</v>
      </c>
      <c r="D917" s="1" t="s">
        <v>119</v>
      </c>
      <c r="E917" s="1" t="s">
        <v>134</v>
      </c>
      <c r="F917" s="1" t="s">
        <v>27</v>
      </c>
      <c r="G917" s="1" t="s">
        <v>1187</v>
      </c>
      <c r="H917" s="2">
        <v>45584</v>
      </c>
      <c r="I917" s="1" t="s">
        <v>173</v>
      </c>
      <c r="J917" s="1" t="s">
        <v>33</v>
      </c>
      <c r="K917" s="1" t="s">
        <v>122</v>
      </c>
      <c r="L917" s="1" t="s">
        <v>33</v>
      </c>
      <c r="M917" s="1" t="s">
        <v>142</v>
      </c>
      <c r="N917">
        <v>262903.12</v>
      </c>
      <c r="O917">
        <v>19056.57</v>
      </c>
      <c r="P917">
        <v>50459.7</v>
      </c>
      <c r="Q917">
        <v>8</v>
      </c>
      <c r="R917">
        <v>127</v>
      </c>
      <c r="S917">
        <v>3.6</v>
      </c>
      <c r="T917" s="1" t="s">
        <v>33</v>
      </c>
      <c r="U917" s="1" t="s">
        <v>149</v>
      </c>
      <c r="V917" s="1" t="s">
        <v>130</v>
      </c>
      <c r="W917" s="1" t="s">
        <v>131</v>
      </c>
    </row>
    <row r="918" spans="1:23" x14ac:dyDescent="0.35">
      <c r="A918" s="1" t="s">
        <v>1953</v>
      </c>
      <c r="B918" s="1" t="s">
        <v>800</v>
      </c>
      <c r="C918">
        <v>50</v>
      </c>
      <c r="D918" s="1" t="s">
        <v>78</v>
      </c>
      <c r="E918" s="1" t="s">
        <v>112</v>
      </c>
      <c r="F918" s="1" t="s">
        <v>33</v>
      </c>
      <c r="G918" s="1" t="s">
        <v>1954</v>
      </c>
      <c r="H918" s="2">
        <v>45339</v>
      </c>
      <c r="I918" s="1" t="s">
        <v>159</v>
      </c>
      <c r="J918" s="1" t="s">
        <v>30</v>
      </c>
      <c r="K918" s="1" t="s">
        <v>163</v>
      </c>
      <c r="L918" s="1" t="s">
        <v>66</v>
      </c>
      <c r="M918" s="1" t="s">
        <v>142</v>
      </c>
      <c r="N918">
        <v>271038.61</v>
      </c>
      <c r="O918">
        <v>12995.66</v>
      </c>
      <c r="P918">
        <v>6468.39</v>
      </c>
      <c r="Q918">
        <v>1</v>
      </c>
      <c r="R918">
        <v>205</v>
      </c>
      <c r="S918">
        <v>4.3</v>
      </c>
      <c r="T918" s="1" t="s">
        <v>34</v>
      </c>
      <c r="U918" s="1" t="s">
        <v>33</v>
      </c>
      <c r="V918" s="1" t="s">
        <v>68</v>
      </c>
      <c r="W918" s="1" t="s">
        <v>83</v>
      </c>
    </row>
    <row r="919" spans="1:23" x14ac:dyDescent="0.35">
      <c r="A919" s="1" t="s">
        <v>1955</v>
      </c>
      <c r="B919" s="1" t="s">
        <v>723</v>
      </c>
      <c r="C919">
        <v>17</v>
      </c>
      <c r="D919" s="1" t="s">
        <v>39</v>
      </c>
      <c r="E919" s="1" t="s">
        <v>177</v>
      </c>
      <c r="F919" s="1" t="s">
        <v>27</v>
      </c>
      <c r="G919" s="1" t="s">
        <v>509</v>
      </c>
      <c r="H919" s="2">
        <v>45600</v>
      </c>
      <c r="I919" s="1" t="s">
        <v>221</v>
      </c>
      <c r="J919" s="1" t="s">
        <v>33</v>
      </c>
      <c r="K919" s="1" t="s">
        <v>163</v>
      </c>
      <c r="L919" s="1" t="s">
        <v>56</v>
      </c>
      <c r="M919" s="1" t="s">
        <v>129</v>
      </c>
      <c r="N919">
        <v>104945.92</v>
      </c>
      <c r="O919">
        <v>62564.76</v>
      </c>
      <c r="P919">
        <v>49129.86</v>
      </c>
      <c r="Q919">
        <v>2</v>
      </c>
      <c r="R919">
        <v>53</v>
      </c>
      <c r="S919">
        <v>4.4000000000000004</v>
      </c>
      <c r="T919" s="1" t="s">
        <v>33</v>
      </c>
      <c r="U919" s="1" t="s">
        <v>149</v>
      </c>
      <c r="V919" s="1" t="s">
        <v>47</v>
      </c>
      <c r="W919" s="1" t="s">
        <v>36</v>
      </c>
    </row>
    <row r="920" spans="1:23" x14ac:dyDescent="0.35">
      <c r="A920" s="1" t="s">
        <v>1956</v>
      </c>
      <c r="B920" s="1" t="s">
        <v>716</v>
      </c>
      <c r="C920">
        <v>76</v>
      </c>
      <c r="D920" s="1" t="s">
        <v>78</v>
      </c>
      <c r="E920" s="1" t="s">
        <v>134</v>
      </c>
      <c r="F920" s="1" t="s">
        <v>120</v>
      </c>
      <c r="G920" s="1" t="s">
        <v>1957</v>
      </c>
      <c r="H920" s="2">
        <v>45367</v>
      </c>
      <c r="I920" s="1" t="s">
        <v>168</v>
      </c>
      <c r="J920" s="1" t="s">
        <v>30</v>
      </c>
      <c r="K920" s="1" t="s">
        <v>208</v>
      </c>
      <c r="L920" s="1" t="s">
        <v>33</v>
      </c>
      <c r="M920" s="1" t="s">
        <v>45</v>
      </c>
      <c r="N920">
        <v>409392.07</v>
      </c>
      <c r="O920">
        <v>18335.650000000001</v>
      </c>
      <c r="P920">
        <v>26139.89</v>
      </c>
      <c r="Q920">
        <v>1</v>
      </c>
      <c r="R920">
        <v>0</v>
      </c>
      <c r="S920">
        <v>1.8</v>
      </c>
      <c r="T920" s="1" t="s">
        <v>33</v>
      </c>
      <c r="U920" s="1" t="s">
        <v>67</v>
      </c>
      <c r="V920" s="1" t="s">
        <v>33</v>
      </c>
      <c r="W920" s="1" t="s">
        <v>83</v>
      </c>
    </row>
    <row r="921" spans="1:23" x14ac:dyDescent="0.35">
      <c r="A921" s="1" t="s">
        <v>1958</v>
      </c>
      <c r="B921" s="1" t="s">
        <v>1045</v>
      </c>
      <c r="C921">
        <v>45</v>
      </c>
      <c r="D921" s="1" t="s">
        <v>33</v>
      </c>
      <c r="E921" s="1" t="s">
        <v>263</v>
      </c>
      <c r="F921" s="1" t="s">
        <v>227</v>
      </c>
      <c r="G921" s="1" t="s">
        <v>1555</v>
      </c>
      <c r="H921" s="2">
        <v>46106</v>
      </c>
      <c r="I921" s="1" t="s">
        <v>29</v>
      </c>
      <c r="J921" s="1" t="s">
        <v>90</v>
      </c>
      <c r="K921" s="1" t="s">
        <v>31</v>
      </c>
      <c r="L921" s="1" t="s">
        <v>33</v>
      </c>
      <c r="M921" s="1" t="s">
        <v>169</v>
      </c>
      <c r="N921">
        <v>174327.28</v>
      </c>
      <c r="O921">
        <v>0</v>
      </c>
      <c r="P921">
        <v>36565.08</v>
      </c>
      <c r="Q921">
        <v>1</v>
      </c>
      <c r="R921">
        <v>132</v>
      </c>
      <c r="S921">
        <v>4.4000000000000004</v>
      </c>
      <c r="T921" s="1" t="s">
        <v>33</v>
      </c>
      <c r="U921" s="1" t="s">
        <v>33</v>
      </c>
      <c r="V921" s="1" t="s">
        <v>164</v>
      </c>
      <c r="W921" s="1" t="s">
        <v>179</v>
      </c>
    </row>
    <row r="922" spans="1:23" x14ac:dyDescent="0.35">
      <c r="A922" s="1" t="s">
        <v>1959</v>
      </c>
      <c r="B922" s="1" t="s">
        <v>1960</v>
      </c>
      <c r="C922">
        <v>40</v>
      </c>
      <c r="D922" s="1" t="s">
        <v>71</v>
      </c>
      <c r="E922" s="1" t="s">
        <v>157</v>
      </c>
      <c r="F922" s="1" t="s">
        <v>145</v>
      </c>
      <c r="G922" s="1" t="s">
        <v>1296</v>
      </c>
      <c r="H922" s="2">
        <v>45348</v>
      </c>
      <c r="I922" s="1" t="s">
        <v>33</v>
      </c>
      <c r="J922" s="1" t="s">
        <v>115</v>
      </c>
      <c r="K922" s="1" t="s">
        <v>116</v>
      </c>
      <c r="L922" s="1" t="s">
        <v>92</v>
      </c>
      <c r="M922" s="1" t="s">
        <v>33</v>
      </c>
      <c r="N922">
        <v>26332.29</v>
      </c>
      <c r="O922">
        <v>52543.22</v>
      </c>
      <c r="P922">
        <v>68524.39</v>
      </c>
      <c r="Q922">
        <v>1</v>
      </c>
      <c r="R922">
        <v>27</v>
      </c>
      <c r="S922">
        <v>2.7</v>
      </c>
      <c r="T922" s="1" t="s">
        <v>46</v>
      </c>
      <c r="U922" s="1" t="s">
        <v>149</v>
      </c>
      <c r="V922" s="1" t="s">
        <v>130</v>
      </c>
      <c r="W922" s="1" t="s">
        <v>33</v>
      </c>
    </row>
    <row r="923" spans="1:23" x14ac:dyDescent="0.35">
      <c r="A923" s="1" t="s">
        <v>1961</v>
      </c>
      <c r="B923" s="1" t="s">
        <v>456</v>
      </c>
      <c r="C923">
        <v>0</v>
      </c>
      <c r="D923" s="1" t="s">
        <v>25</v>
      </c>
      <c r="E923" s="1" t="s">
        <v>40</v>
      </c>
      <c r="F923" s="1" t="s">
        <v>145</v>
      </c>
      <c r="G923" s="1" t="s">
        <v>1962</v>
      </c>
      <c r="H923" s="2">
        <v>45915</v>
      </c>
      <c r="I923" s="1" t="s">
        <v>221</v>
      </c>
      <c r="J923" s="1" t="s">
        <v>152</v>
      </c>
      <c r="K923" s="1" t="s">
        <v>174</v>
      </c>
      <c r="L923" s="1" t="s">
        <v>92</v>
      </c>
      <c r="M923" s="1" t="s">
        <v>57</v>
      </c>
      <c r="N923">
        <v>267035.53999999998</v>
      </c>
      <c r="O923">
        <v>23178.89</v>
      </c>
      <c r="P923">
        <v>74105.25</v>
      </c>
      <c r="Q923">
        <v>2</v>
      </c>
      <c r="R923">
        <v>12</v>
      </c>
      <c r="S923">
        <v>2.9</v>
      </c>
      <c r="T923" s="1" t="s">
        <v>46</v>
      </c>
      <c r="U923" s="1" t="s">
        <v>58</v>
      </c>
      <c r="V923" s="1" t="s">
        <v>47</v>
      </c>
      <c r="W923" s="1" t="s">
        <v>33</v>
      </c>
    </row>
    <row r="924" spans="1:23" x14ac:dyDescent="0.35">
      <c r="A924" s="1" t="s">
        <v>1963</v>
      </c>
      <c r="B924" s="1" t="s">
        <v>181</v>
      </c>
      <c r="C924">
        <v>20</v>
      </c>
      <c r="D924" s="1" t="s">
        <v>25</v>
      </c>
      <c r="E924" s="1" t="s">
        <v>33</v>
      </c>
      <c r="F924" s="1" t="s">
        <v>135</v>
      </c>
      <c r="G924" s="1" t="s">
        <v>1964</v>
      </c>
      <c r="H924" s="2">
        <v>45518</v>
      </c>
      <c r="I924" s="1" t="s">
        <v>53</v>
      </c>
      <c r="J924" s="1" t="s">
        <v>87</v>
      </c>
      <c r="K924" s="1" t="s">
        <v>128</v>
      </c>
      <c r="L924" s="1" t="s">
        <v>33</v>
      </c>
      <c r="M924" s="1" t="s">
        <v>33</v>
      </c>
      <c r="N924">
        <v>54522.52</v>
      </c>
      <c r="O924">
        <v>54899.34</v>
      </c>
      <c r="P924">
        <v>24052.14</v>
      </c>
      <c r="Q924">
        <v>1</v>
      </c>
      <c r="R924">
        <v>104</v>
      </c>
      <c r="T924" s="1" t="s">
        <v>46</v>
      </c>
      <c r="U924" s="1" t="s">
        <v>35</v>
      </c>
      <c r="V924" s="1" t="s">
        <v>47</v>
      </c>
      <c r="W924" s="1" t="s">
        <v>33</v>
      </c>
    </row>
    <row r="925" spans="1:23" x14ac:dyDescent="0.35">
      <c r="A925" s="1" t="s">
        <v>1965</v>
      </c>
      <c r="B925" s="1" t="s">
        <v>1413</v>
      </c>
      <c r="C925">
        <v>39</v>
      </c>
      <c r="D925" s="1" t="s">
        <v>119</v>
      </c>
      <c r="E925" s="1" t="s">
        <v>26</v>
      </c>
      <c r="F925" s="1" t="s">
        <v>120</v>
      </c>
      <c r="G925" s="1" t="s">
        <v>1700</v>
      </c>
      <c r="H925" s="2">
        <v>45973</v>
      </c>
      <c r="I925" s="1" t="s">
        <v>235</v>
      </c>
      <c r="J925" s="1" t="s">
        <v>147</v>
      </c>
      <c r="K925" s="1" t="s">
        <v>33</v>
      </c>
      <c r="L925" s="1" t="s">
        <v>33</v>
      </c>
      <c r="M925" s="1" t="s">
        <v>33</v>
      </c>
      <c r="N925">
        <v>303874.46999999997</v>
      </c>
      <c r="O925">
        <v>0</v>
      </c>
      <c r="P925">
        <v>69273.38</v>
      </c>
      <c r="Q925">
        <v>1</v>
      </c>
      <c r="R925">
        <v>31</v>
      </c>
      <c r="S925">
        <v>3.1</v>
      </c>
      <c r="T925" s="1" t="s">
        <v>154</v>
      </c>
      <c r="U925" s="1" t="s">
        <v>35</v>
      </c>
      <c r="V925" s="1" t="s">
        <v>75</v>
      </c>
      <c r="W925" s="1" t="s">
        <v>59</v>
      </c>
    </row>
    <row r="926" spans="1:23" x14ac:dyDescent="0.35">
      <c r="A926" s="1" t="s">
        <v>1966</v>
      </c>
      <c r="B926" s="1" t="s">
        <v>580</v>
      </c>
      <c r="C926">
        <v>28</v>
      </c>
      <c r="D926" s="1" t="s">
        <v>119</v>
      </c>
      <c r="E926" s="1" t="s">
        <v>177</v>
      </c>
      <c r="F926" s="1" t="s">
        <v>227</v>
      </c>
      <c r="G926" s="1" t="s">
        <v>1273</v>
      </c>
      <c r="H926" s="2">
        <v>46062</v>
      </c>
      <c r="I926" s="1" t="s">
        <v>235</v>
      </c>
      <c r="J926" s="1" t="s">
        <v>115</v>
      </c>
      <c r="K926" s="1" t="s">
        <v>116</v>
      </c>
      <c r="L926" s="1" t="s">
        <v>44</v>
      </c>
      <c r="M926" s="1" t="s">
        <v>123</v>
      </c>
      <c r="N926">
        <v>225260.48</v>
      </c>
      <c r="O926">
        <v>22132.73</v>
      </c>
      <c r="P926">
        <v>48881.04</v>
      </c>
      <c r="Q926">
        <v>4</v>
      </c>
      <c r="R926">
        <v>0</v>
      </c>
      <c r="S926">
        <v>1.3</v>
      </c>
      <c r="T926" s="1" t="s">
        <v>46</v>
      </c>
      <c r="U926" s="1" t="s">
        <v>58</v>
      </c>
      <c r="V926" s="1" t="s">
        <v>164</v>
      </c>
      <c r="W926" s="1" t="s">
        <v>12</v>
      </c>
    </row>
    <row r="927" spans="1:23" x14ac:dyDescent="0.35">
      <c r="A927" s="1" t="s">
        <v>1967</v>
      </c>
      <c r="B927" s="1" t="s">
        <v>252</v>
      </c>
      <c r="C927">
        <v>65</v>
      </c>
      <c r="D927" s="1" t="s">
        <v>25</v>
      </c>
      <c r="E927" s="1" t="s">
        <v>177</v>
      </c>
      <c r="F927" s="1" t="s">
        <v>135</v>
      </c>
      <c r="G927" s="1" t="s">
        <v>1968</v>
      </c>
      <c r="H927" s="2">
        <v>45798</v>
      </c>
      <c r="I927" s="1" t="s">
        <v>114</v>
      </c>
      <c r="J927" s="1" t="s">
        <v>54</v>
      </c>
      <c r="K927" s="1" t="s">
        <v>81</v>
      </c>
      <c r="L927" s="1" t="s">
        <v>33</v>
      </c>
      <c r="M927" s="1" t="s">
        <v>169</v>
      </c>
      <c r="N927">
        <v>92531.86</v>
      </c>
      <c r="O927">
        <v>23899.29</v>
      </c>
      <c r="P927">
        <v>53841.58</v>
      </c>
      <c r="Q927">
        <v>4</v>
      </c>
      <c r="R927">
        <v>146</v>
      </c>
      <c r="S927">
        <v>1.1000000000000001</v>
      </c>
      <c r="T927" s="1" t="s">
        <v>33</v>
      </c>
      <c r="U927" s="1" t="s">
        <v>33</v>
      </c>
      <c r="V927" s="1" t="s">
        <v>33</v>
      </c>
      <c r="W927" s="1" t="s">
        <v>36</v>
      </c>
    </row>
    <row r="928" spans="1:23" x14ac:dyDescent="0.35">
      <c r="A928" s="1" t="s">
        <v>1969</v>
      </c>
      <c r="B928" s="1" t="s">
        <v>347</v>
      </c>
      <c r="C928">
        <v>35</v>
      </c>
      <c r="D928" s="1" t="s">
        <v>39</v>
      </c>
      <c r="E928" s="1" t="s">
        <v>219</v>
      </c>
      <c r="F928" s="1" t="s">
        <v>56</v>
      </c>
      <c r="G928" s="1" t="s">
        <v>1370</v>
      </c>
      <c r="H928" s="2">
        <v>45544</v>
      </c>
      <c r="I928" s="1" t="s">
        <v>235</v>
      </c>
      <c r="J928" s="1" t="s">
        <v>87</v>
      </c>
      <c r="K928" s="1" t="s">
        <v>122</v>
      </c>
      <c r="L928" s="1" t="s">
        <v>33</v>
      </c>
      <c r="M928" s="1" t="s">
        <v>123</v>
      </c>
      <c r="N928">
        <v>318439.63</v>
      </c>
      <c r="O928">
        <v>92460.76</v>
      </c>
      <c r="P928">
        <v>38159.83</v>
      </c>
      <c r="Q928">
        <v>1</v>
      </c>
      <c r="R928">
        <v>0</v>
      </c>
      <c r="S928">
        <v>4.2</v>
      </c>
      <c r="T928" s="1" t="s">
        <v>33</v>
      </c>
      <c r="U928" s="1" t="s">
        <v>149</v>
      </c>
      <c r="V928" s="1" t="s">
        <v>33</v>
      </c>
      <c r="W928" s="1" t="s">
        <v>179</v>
      </c>
    </row>
    <row r="929" spans="1:23" x14ac:dyDescent="0.35">
      <c r="A929" s="1" t="s">
        <v>1970</v>
      </c>
      <c r="B929" s="1" t="s">
        <v>537</v>
      </c>
      <c r="C929">
        <v>45</v>
      </c>
      <c r="D929" s="1" t="s">
        <v>119</v>
      </c>
      <c r="E929" s="1" t="s">
        <v>219</v>
      </c>
      <c r="F929" s="1" t="s">
        <v>63</v>
      </c>
      <c r="G929" s="1" t="s">
        <v>1552</v>
      </c>
      <c r="H929" s="2">
        <v>45677</v>
      </c>
      <c r="I929" s="1" t="s">
        <v>100</v>
      </c>
      <c r="J929" s="1" t="s">
        <v>43</v>
      </c>
      <c r="K929" s="1" t="s">
        <v>81</v>
      </c>
      <c r="L929" s="1" t="s">
        <v>56</v>
      </c>
      <c r="M929" s="1" t="s">
        <v>33</v>
      </c>
      <c r="N929">
        <v>93069.2</v>
      </c>
      <c r="O929">
        <v>53949.85</v>
      </c>
      <c r="P929">
        <v>64906.37</v>
      </c>
      <c r="Q929">
        <v>7</v>
      </c>
      <c r="R929">
        <v>18</v>
      </c>
      <c r="S929">
        <v>4.2</v>
      </c>
      <c r="T929" s="1" t="s">
        <v>154</v>
      </c>
      <c r="U929" s="1" t="s">
        <v>95</v>
      </c>
      <c r="V929" s="1" t="s">
        <v>33</v>
      </c>
      <c r="W929" s="1" t="s">
        <v>36</v>
      </c>
    </row>
    <row r="930" spans="1:23" x14ac:dyDescent="0.35">
      <c r="A930" s="1" t="s">
        <v>1971</v>
      </c>
      <c r="B930" s="1" t="s">
        <v>1960</v>
      </c>
      <c r="C930">
        <v>69</v>
      </c>
      <c r="D930" s="1" t="s">
        <v>119</v>
      </c>
      <c r="E930" s="1" t="s">
        <v>33</v>
      </c>
      <c r="F930" s="1" t="s">
        <v>135</v>
      </c>
      <c r="G930" s="1" t="s">
        <v>1794</v>
      </c>
      <c r="H930" s="2">
        <v>46103</v>
      </c>
      <c r="I930" s="1" t="s">
        <v>277</v>
      </c>
      <c r="J930" s="1" t="s">
        <v>87</v>
      </c>
      <c r="K930" s="1" t="s">
        <v>148</v>
      </c>
      <c r="L930" s="1" t="s">
        <v>66</v>
      </c>
      <c r="M930" s="1" t="s">
        <v>169</v>
      </c>
      <c r="N930">
        <v>210697.14</v>
      </c>
      <c r="O930">
        <v>21048.01</v>
      </c>
      <c r="P930">
        <v>81818.210000000006</v>
      </c>
      <c r="Q930">
        <v>6</v>
      </c>
      <c r="R930">
        <v>4</v>
      </c>
      <c r="S930">
        <v>4.3</v>
      </c>
      <c r="T930" s="1" t="s">
        <v>34</v>
      </c>
      <c r="U930" s="1" t="s">
        <v>33</v>
      </c>
      <c r="V930" s="1" t="s">
        <v>164</v>
      </c>
      <c r="W930" s="1" t="s">
        <v>33</v>
      </c>
    </row>
    <row r="931" spans="1:23" x14ac:dyDescent="0.35">
      <c r="A931" s="1" t="s">
        <v>1972</v>
      </c>
      <c r="B931" s="1" t="s">
        <v>315</v>
      </c>
      <c r="C931">
        <v>66</v>
      </c>
      <c r="D931" s="1" t="s">
        <v>78</v>
      </c>
      <c r="E931" s="1" t="s">
        <v>33</v>
      </c>
      <c r="F931" s="1" t="s">
        <v>41</v>
      </c>
      <c r="G931" s="1" t="s">
        <v>1679</v>
      </c>
      <c r="H931" s="2">
        <v>46170</v>
      </c>
      <c r="I931" s="1" t="s">
        <v>257</v>
      </c>
      <c r="J931" s="1" t="s">
        <v>54</v>
      </c>
      <c r="K931" s="1" t="s">
        <v>31</v>
      </c>
      <c r="L931" s="1" t="s">
        <v>56</v>
      </c>
      <c r="M931" s="1" t="s">
        <v>33</v>
      </c>
      <c r="N931">
        <v>183873.63</v>
      </c>
      <c r="O931">
        <v>61714.58</v>
      </c>
      <c r="P931">
        <v>59742.38</v>
      </c>
      <c r="Q931">
        <v>1</v>
      </c>
      <c r="R931">
        <v>3</v>
      </c>
      <c r="S931">
        <v>5</v>
      </c>
      <c r="T931" s="1" t="s">
        <v>94</v>
      </c>
      <c r="U931" s="1" t="s">
        <v>101</v>
      </c>
      <c r="V931" s="1" t="s">
        <v>75</v>
      </c>
      <c r="W931" s="1" t="s">
        <v>179</v>
      </c>
    </row>
    <row r="932" spans="1:23" x14ac:dyDescent="0.35">
      <c r="A932" s="1" t="s">
        <v>1973</v>
      </c>
      <c r="B932" s="1" t="s">
        <v>432</v>
      </c>
      <c r="C932">
        <v>62</v>
      </c>
      <c r="D932" s="1" t="s">
        <v>78</v>
      </c>
      <c r="E932" s="1" t="s">
        <v>33</v>
      </c>
      <c r="F932" s="1" t="s">
        <v>193</v>
      </c>
      <c r="G932" s="1" t="s">
        <v>1974</v>
      </c>
      <c r="H932" s="2">
        <v>46044</v>
      </c>
      <c r="I932" s="1" t="s">
        <v>114</v>
      </c>
      <c r="J932" s="1" t="s">
        <v>115</v>
      </c>
      <c r="K932" s="1" t="s">
        <v>153</v>
      </c>
      <c r="L932" s="1" t="s">
        <v>32</v>
      </c>
      <c r="M932" s="1" t="s">
        <v>169</v>
      </c>
      <c r="N932">
        <v>113377.7</v>
      </c>
      <c r="O932">
        <v>22349.65</v>
      </c>
      <c r="P932">
        <v>49362.82</v>
      </c>
      <c r="Q932">
        <v>9</v>
      </c>
      <c r="R932">
        <v>42</v>
      </c>
      <c r="S932">
        <v>5</v>
      </c>
      <c r="T932" s="1" t="s">
        <v>33</v>
      </c>
      <c r="U932" s="1" t="s">
        <v>33</v>
      </c>
      <c r="V932" s="1" t="s">
        <v>102</v>
      </c>
      <c r="W932" s="1" t="s">
        <v>103</v>
      </c>
    </row>
    <row r="933" spans="1:23" x14ac:dyDescent="0.35">
      <c r="A933" s="1" t="s">
        <v>1975</v>
      </c>
      <c r="B933" s="1" t="s">
        <v>491</v>
      </c>
      <c r="C933">
        <v>0</v>
      </c>
      <c r="D933" s="1" t="s">
        <v>119</v>
      </c>
      <c r="E933" s="1" t="s">
        <v>62</v>
      </c>
      <c r="F933" s="1" t="s">
        <v>63</v>
      </c>
      <c r="G933" s="1" t="s">
        <v>466</v>
      </c>
      <c r="H933" s="2">
        <v>46189</v>
      </c>
      <c r="I933" s="1" t="s">
        <v>89</v>
      </c>
      <c r="J933" s="1" t="s">
        <v>147</v>
      </c>
      <c r="K933" s="1" t="s">
        <v>122</v>
      </c>
      <c r="L933" s="1" t="s">
        <v>33</v>
      </c>
      <c r="M933" s="1" t="s">
        <v>74</v>
      </c>
      <c r="N933">
        <v>267509.81</v>
      </c>
      <c r="O933">
        <v>21296.07</v>
      </c>
      <c r="P933">
        <v>42752.2</v>
      </c>
      <c r="Q933">
        <v>3</v>
      </c>
      <c r="R933">
        <v>67</v>
      </c>
      <c r="S933">
        <v>4.7</v>
      </c>
      <c r="T933" s="1" t="s">
        <v>154</v>
      </c>
      <c r="U933" s="1" t="s">
        <v>58</v>
      </c>
      <c r="V933" s="1" t="s">
        <v>130</v>
      </c>
      <c r="W933" s="1" t="s">
        <v>83</v>
      </c>
    </row>
    <row r="934" spans="1:23" x14ac:dyDescent="0.35">
      <c r="A934" s="1" t="s">
        <v>1976</v>
      </c>
      <c r="B934" s="1" t="s">
        <v>1381</v>
      </c>
      <c r="C934">
        <v>49</v>
      </c>
      <c r="D934" s="1" t="s">
        <v>119</v>
      </c>
      <c r="E934" s="1" t="s">
        <v>86</v>
      </c>
      <c r="F934" s="1" t="s">
        <v>41</v>
      </c>
      <c r="G934" s="1" t="s">
        <v>943</v>
      </c>
      <c r="H934" s="2">
        <v>46184</v>
      </c>
      <c r="I934" s="1" t="s">
        <v>89</v>
      </c>
      <c r="J934" s="1" t="s">
        <v>242</v>
      </c>
      <c r="K934" s="1" t="s">
        <v>128</v>
      </c>
      <c r="L934" s="1" t="s">
        <v>33</v>
      </c>
      <c r="M934" s="1" t="s">
        <v>93</v>
      </c>
      <c r="N934">
        <v>172496.43</v>
      </c>
      <c r="O934">
        <v>28966.57</v>
      </c>
      <c r="P934">
        <v>45587.99</v>
      </c>
      <c r="Q934">
        <v>6</v>
      </c>
      <c r="R934">
        <v>34</v>
      </c>
      <c r="S934">
        <v>4.5</v>
      </c>
      <c r="T934" s="1" t="s">
        <v>33</v>
      </c>
      <c r="U934" s="1" t="s">
        <v>58</v>
      </c>
      <c r="V934" s="1" t="s">
        <v>130</v>
      </c>
      <c r="W934" s="1" t="s">
        <v>59</v>
      </c>
    </row>
    <row r="935" spans="1:23" x14ac:dyDescent="0.35">
      <c r="A935" s="1" t="s">
        <v>1977</v>
      </c>
      <c r="B935" s="1" t="s">
        <v>537</v>
      </c>
      <c r="C935">
        <v>76</v>
      </c>
      <c r="D935" s="1" t="s">
        <v>106</v>
      </c>
      <c r="E935" s="1" t="s">
        <v>177</v>
      </c>
      <c r="F935" s="1" t="s">
        <v>41</v>
      </c>
      <c r="G935" s="1" t="s">
        <v>1014</v>
      </c>
      <c r="H935" s="2">
        <v>45578</v>
      </c>
      <c r="I935" s="1" t="s">
        <v>53</v>
      </c>
      <c r="J935" s="1" t="s">
        <v>65</v>
      </c>
      <c r="K935" s="1" t="s">
        <v>208</v>
      </c>
      <c r="L935" s="1" t="s">
        <v>66</v>
      </c>
      <c r="M935" s="1" t="s">
        <v>169</v>
      </c>
      <c r="N935">
        <v>395748.97</v>
      </c>
      <c r="O935">
        <v>12858.13</v>
      </c>
      <c r="P935">
        <v>69608.95</v>
      </c>
      <c r="Q935">
        <v>4</v>
      </c>
      <c r="R935">
        <v>23</v>
      </c>
      <c r="S935">
        <v>4.5999999999999996</v>
      </c>
      <c r="T935" s="1" t="s">
        <v>46</v>
      </c>
      <c r="U935" s="1" t="s">
        <v>95</v>
      </c>
      <c r="V935" s="1" t="s">
        <v>164</v>
      </c>
      <c r="W935" s="1" t="s">
        <v>59</v>
      </c>
    </row>
    <row r="936" spans="1:23" x14ac:dyDescent="0.35">
      <c r="A936" s="1" t="s">
        <v>1978</v>
      </c>
      <c r="B936" s="1" t="s">
        <v>833</v>
      </c>
      <c r="C936">
        <v>20</v>
      </c>
      <c r="D936" s="1" t="s">
        <v>106</v>
      </c>
      <c r="E936" s="1" t="s">
        <v>157</v>
      </c>
      <c r="F936" s="1" t="s">
        <v>87</v>
      </c>
      <c r="G936" s="1" t="s">
        <v>1979</v>
      </c>
      <c r="H936" s="2">
        <v>45895</v>
      </c>
      <c r="I936" s="1" t="s">
        <v>257</v>
      </c>
      <c r="J936" s="1" t="s">
        <v>43</v>
      </c>
      <c r="K936" s="1" t="s">
        <v>163</v>
      </c>
      <c r="L936" s="1" t="s">
        <v>33</v>
      </c>
      <c r="M936" s="1" t="s">
        <v>57</v>
      </c>
      <c r="N936">
        <v>259206.35</v>
      </c>
      <c r="O936">
        <v>0</v>
      </c>
      <c r="P936">
        <v>0</v>
      </c>
      <c r="Q936">
        <v>2</v>
      </c>
      <c r="R936">
        <v>81</v>
      </c>
      <c r="S936">
        <v>3.8</v>
      </c>
      <c r="T936" s="1" t="s">
        <v>154</v>
      </c>
      <c r="U936" s="1" t="s">
        <v>35</v>
      </c>
      <c r="V936" s="1" t="s">
        <v>33</v>
      </c>
      <c r="W936" s="1" t="s">
        <v>33</v>
      </c>
    </row>
    <row r="937" spans="1:23" x14ac:dyDescent="0.35">
      <c r="A937" s="1" t="s">
        <v>1980</v>
      </c>
      <c r="B937" s="1" t="s">
        <v>297</v>
      </c>
      <c r="C937">
        <v>8</v>
      </c>
      <c r="D937" s="1" t="s">
        <v>71</v>
      </c>
      <c r="E937" s="1" t="s">
        <v>33</v>
      </c>
      <c r="F937" s="1" t="s">
        <v>108</v>
      </c>
      <c r="G937" s="1" t="s">
        <v>186</v>
      </c>
      <c r="H937" s="2">
        <v>45989</v>
      </c>
      <c r="I937" s="1" t="s">
        <v>277</v>
      </c>
      <c r="J937" s="1" t="s">
        <v>115</v>
      </c>
      <c r="K937" s="1" t="s">
        <v>116</v>
      </c>
      <c r="L937" s="1" t="s">
        <v>66</v>
      </c>
      <c r="M937" s="1" t="s">
        <v>183</v>
      </c>
      <c r="N937">
        <v>105495.14</v>
      </c>
      <c r="O937">
        <v>39780.230000000003</v>
      </c>
      <c r="P937">
        <v>62453.45</v>
      </c>
      <c r="Q937">
        <v>2</v>
      </c>
      <c r="R937">
        <v>93</v>
      </c>
      <c r="S937">
        <v>5</v>
      </c>
      <c r="T937" s="1" t="s">
        <v>34</v>
      </c>
      <c r="U937" s="1" t="s">
        <v>33</v>
      </c>
      <c r="V937" s="1" t="s">
        <v>130</v>
      </c>
      <c r="W937" s="1" t="s">
        <v>131</v>
      </c>
    </row>
    <row r="938" spans="1:23" x14ac:dyDescent="0.35">
      <c r="A938" s="1" t="s">
        <v>1981</v>
      </c>
      <c r="B938" s="1" t="s">
        <v>833</v>
      </c>
      <c r="C938">
        <v>26</v>
      </c>
      <c r="D938" s="1" t="s">
        <v>39</v>
      </c>
      <c r="E938" s="1" t="s">
        <v>33</v>
      </c>
      <c r="F938" s="1" t="s">
        <v>44</v>
      </c>
      <c r="G938" s="1" t="s">
        <v>894</v>
      </c>
      <c r="H938" s="2">
        <v>45768</v>
      </c>
      <c r="I938" s="1" t="s">
        <v>273</v>
      </c>
      <c r="J938" s="1" t="s">
        <v>33</v>
      </c>
      <c r="K938" s="1" t="s">
        <v>163</v>
      </c>
      <c r="L938" s="1" t="s">
        <v>32</v>
      </c>
      <c r="M938" s="1" t="s">
        <v>169</v>
      </c>
      <c r="N938">
        <v>180729.71</v>
      </c>
      <c r="O938">
        <v>0</v>
      </c>
      <c r="P938">
        <v>41755.83</v>
      </c>
      <c r="Q938">
        <v>4</v>
      </c>
      <c r="R938">
        <v>178</v>
      </c>
      <c r="S938">
        <v>4.5999999999999996</v>
      </c>
      <c r="T938" s="1" t="s">
        <v>154</v>
      </c>
      <c r="U938" s="1" t="s">
        <v>95</v>
      </c>
      <c r="V938" s="1" t="s">
        <v>75</v>
      </c>
      <c r="W938" s="1" t="s">
        <v>103</v>
      </c>
    </row>
    <row r="939" spans="1:23" x14ac:dyDescent="0.35">
      <c r="A939" s="1" t="s">
        <v>1982</v>
      </c>
      <c r="B939" s="1" t="s">
        <v>1582</v>
      </c>
      <c r="C939">
        <v>36</v>
      </c>
      <c r="D939" s="1" t="s">
        <v>106</v>
      </c>
      <c r="E939" s="1" t="s">
        <v>33</v>
      </c>
      <c r="F939" s="1" t="s">
        <v>56</v>
      </c>
      <c r="G939" s="1" t="s">
        <v>1819</v>
      </c>
      <c r="H939" s="2">
        <v>45686</v>
      </c>
      <c r="I939" s="1" t="s">
        <v>33</v>
      </c>
      <c r="J939" s="1" t="s">
        <v>242</v>
      </c>
      <c r="K939" s="1" t="s">
        <v>208</v>
      </c>
      <c r="L939" s="1" t="s">
        <v>66</v>
      </c>
      <c r="M939" s="1" t="s">
        <v>82</v>
      </c>
      <c r="N939">
        <v>408453.97</v>
      </c>
      <c r="O939">
        <v>25167.39</v>
      </c>
      <c r="P939">
        <v>89147.55</v>
      </c>
      <c r="Q939">
        <v>8</v>
      </c>
      <c r="R939">
        <v>93</v>
      </c>
      <c r="S939">
        <v>4.5999999999999996</v>
      </c>
      <c r="T939" s="1" t="s">
        <v>154</v>
      </c>
      <c r="U939" s="1" t="s">
        <v>33</v>
      </c>
      <c r="V939" s="1" t="s">
        <v>130</v>
      </c>
      <c r="W939" s="1" t="s">
        <v>59</v>
      </c>
    </row>
    <row r="940" spans="1:23" x14ac:dyDescent="0.35">
      <c r="A940" s="1" t="s">
        <v>1983</v>
      </c>
      <c r="B940" s="1" t="s">
        <v>621</v>
      </c>
      <c r="C940">
        <v>38</v>
      </c>
      <c r="D940" s="1" t="s">
        <v>25</v>
      </c>
      <c r="E940" s="1" t="s">
        <v>33</v>
      </c>
      <c r="F940" s="1" t="s">
        <v>56</v>
      </c>
      <c r="G940" s="1" t="s">
        <v>1984</v>
      </c>
      <c r="H940" s="2">
        <v>45372</v>
      </c>
      <c r="I940" s="1" t="s">
        <v>114</v>
      </c>
      <c r="J940" s="1" t="s">
        <v>87</v>
      </c>
      <c r="K940" s="1" t="s">
        <v>174</v>
      </c>
      <c r="L940" s="1" t="s">
        <v>66</v>
      </c>
      <c r="M940" s="1" t="s">
        <v>183</v>
      </c>
      <c r="N940">
        <v>250574.46</v>
      </c>
      <c r="O940">
        <v>62221.59</v>
      </c>
      <c r="P940">
        <v>41009.910000000003</v>
      </c>
      <c r="Q940">
        <v>8</v>
      </c>
      <c r="R940">
        <v>0</v>
      </c>
      <c r="S940">
        <v>5</v>
      </c>
      <c r="T940" s="1" t="s">
        <v>34</v>
      </c>
      <c r="U940" s="1" t="s">
        <v>33</v>
      </c>
      <c r="V940" s="1" t="s">
        <v>33</v>
      </c>
      <c r="W940" s="1" t="s">
        <v>103</v>
      </c>
    </row>
    <row r="941" spans="1:23" x14ac:dyDescent="0.35">
      <c r="A941" s="1" t="s">
        <v>1985</v>
      </c>
      <c r="B941" s="1" t="s">
        <v>1111</v>
      </c>
      <c r="C941">
        <v>46</v>
      </c>
      <c r="D941" s="1" t="s">
        <v>71</v>
      </c>
      <c r="E941" s="1" t="s">
        <v>33</v>
      </c>
      <c r="F941" s="1" t="s">
        <v>135</v>
      </c>
      <c r="G941" s="1" t="s">
        <v>1829</v>
      </c>
      <c r="H941" s="2">
        <v>46258</v>
      </c>
      <c r="I941" s="1" t="s">
        <v>221</v>
      </c>
      <c r="J941" s="1" t="s">
        <v>30</v>
      </c>
      <c r="K941" s="1" t="s">
        <v>91</v>
      </c>
      <c r="L941" s="1" t="s">
        <v>66</v>
      </c>
      <c r="M941" s="1" t="s">
        <v>74</v>
      </c>
      <c r="N941">
        <v>381840.93</v>
      </c>
      <c r="O941">
        <v>14787.65</v>
      </c>
      <c r="P941">
        <v>14763.96</v>
      </c>
      <c r="Q941">
        <v>2</v>
      </c>
      <c r="R941">
        <v>114</v>
      </c>
      <c r="S941">
        <v>1.4</v>
      </c>
      <c r="T941" s="1" t="s">
        <v>94</v>
      </c>
      <c r="U941" s="1" t="s">
        <v>33</v>
      </c>
      <c r="V941" s="1" t="s">
        <v>75</v>
      </c>
      <c r="W941" s="1" t="s">
        <v>131</v>
      </c>
    </row>
    <row r="942" spans="1:23" x14ac:dyDescent="0.35">
      <c r="A942" s="1" t="s">
        <v>1986</v>
      </c>
      <c r="B942" s="1" t="s">
        <v>244</v>
      </c>
      <c r="C942">
        <v>48</v>
      </c>
      <c r="D942" s="1" t="s">
        <v>119</v>
      </c>
      <c r="E942" s="1" t="s">
        <v>219</v>
      </c>
      <c r="F942" s="1" t="s">
        <v>56</v>
      </c>
      <c r="G942" s="1" t="s">
        <v>1987</v>
      </c>
      <c r="H942" s="2">
        <v>46257</v>
      </c>
      <c r="I942" s="1" t="s">
        <v>273</v>
      </c>
      <c r="J942" s="1" t="s">
        <v>43</v>
      </c>
      <c r="K942" s="1" t="s">
        <v>33</v>
      </c>
      <c r="L942" s="1" t="s">
        <v>66</v>
      </c>
      <c r="M942" s="1" t="s">
        <v>183</v>
      </c>
      <c r="N942">
        <v>182206.73</v>
      </c>
      <c r="O942">
        <v>0</v>
      </c>
      <c r="P942">
        <v>92825.34</v>
      </c>
      <c r="Q942">
        <v>2</v>
      </c>
      <c r="R942">
        <v>102</v>
      </c>
      <c r="S942">
        <v>5</v>
      </c>
      <c r="T942" s="1" t="s">
        <v>33</v>
      </c>
      <c r="U942" s="1" t="s">
        <v>33</v>
      </c>
      <c r="V942" s="1" t="s">
        <v>33</v>
      </c>
      <c r="W942" s="1" t="s">
        <v>179</v>
      </c>
    </row>
    <row r="943" spans="1:23" x14ac:dyDescent="0.35">
      <c r="A943" s="1" t="s">
        <v>1988</v>
      </c>
      <c r="B943" s="1" t="s">
        <v>929</v>
      </c>
      <c r="C943">
        <v>23</v>
      </c>
      <c r="D943" s="1" t="s">
        <v>119</v>
      </c>
      <c r="E943" s="1" t="s">
        <v>112</v>
      </c>
      <c r="F943" s="1" t="s">
        <v>33</v>
      </c>
      <c r="G943" s="1" t="s">
        <v>1061</v>
      </c>
      <c r="H943" s="2">
        <v>45312</v>
      </c>
      <c r="I943" s="1" t="s">
        <v>53</v>
      </c>
      <c r="J943" s="1" t="s">
        <v>54</v>
      </c>
      <c r="K943" s="1" t="s">
        <v>31</v>
      </c>
      <c r="L943" s="1" t="s">
        <v>66</v>
      </c>
      <c r="M943" s="1" t="s">
        <v>129</v>
      </c>
      <c r="N943">
        <v>257685.33</v>
      </c>
      <c r="O943">
        <v>24605.32</v>
      </c>
      <c r="P943">
        <v>9667.16</v>
      </c>
      <c r="Q943">
        <v>2</v>
      </c>
      <c r="R943">
        <v>205</v>
      </c>
      <c r="S943">
        <v>2.9</v>
      </c>
      <c r="T943" s="1" t="s">
        <v>46</v>
      </c>
      <c r="U943" s="1" t="s">
        <v>35</v>
      </c>
      <c r="V943" s="1" t="s">
        <v>130</v>
      </c>
      <c r="W943" s="1" t="s">
        <v>179</v>
      </c>
    </row>
    <row r="944" spans="1:23" x14ac:dyDescent="0.35">
      <c r="A944" s="1" t="s">
        <v>1989</v>
      </c>
      <c r="B944" s="1" t="s">
        <v>574</v>
      </c>
      <c r="C944">
        <v>72</v>
      </c>
      <c r="D944" s="1" t="s">
        <v>50</v>
      </c>
      <c r="E944" s="1" t="s">
        <v>72</v>
      </c>
      <c r="F944" s="1" t="s">
        <v>227</v>
      </c>
      <c r="G944" s="1" t="s">
        <v>1251</v>
      </c>
      <c r="H944" s="2">
        <v>45516</v>
      </c>
      <c r="I944" s="1" t="s">
        <v>53</v>
      </c>
      <c r="J944" s="1" t="s">
        <v>33</v>
      </c>
      <c r="K944" s="1" t="s">
        <v>128</v>
      </c>
      <c r="L944" s="1" t="s">
        <v>92</v>
      </c>
      <c r="M944" s="1" t="s">
        <v>123</v>
      </c>
      <c r="N944">
        <v>149398.28</v>
      </c>
      <c r="O944">
        <v>14804.4</v>
      </c>
      <c r="P944">
        <v>0</v>
      </c>
      <c r="Q944">
        <v>1</v>
      </c>
      <c r="R944">
        <v>225</v>
      </c>
      <c r="S944">
        <v>2</v>
      </c>
      <c r="T944" s="1" t="s">
        <v>33</v>
      </c>
      <c r="U944" s="1" t="s">
        <v>33</v>
      </c>
      <c r="V944" s="1" t="s">
        <v>75</v>
      </c>
      <c r="W944" s="1" t="s">
        <v>33</v>
      </c>
    </row>
    <row r="945" spans="1:23" x14ac:dyDescent="0.35">
      <c r="A945" s="1" t="s">
        <v>1990</v>
      </c>
      <c r="B945" s="1" t="s">
        <v>291</v>
      </c>
      <c r="C945">
        <v>63</v>
      </c>
      <c r="D945" s="1" t="s">
        <v>50</v>
      </c>
      <c r="E945" s="1" t="s">
        <v>107</v>
      </c>
      <c r="F945" s="1" t="s">
        <v>27</v>
      </c>
      <c r="G945" s="1" t="s">
        <v>245</v>
      </c>
      <c r="H945" s="2">
        <v>45832</v>
      </c>
      <c r="I945" s="1" t="s">
        <v>53</v>
      </c>
      <c r="J945" s="1" t="s">
        <v>87</v>
      </c>
      <c r="K945" s="1" t="s">
        <v>31</v>
      </c>
      <c r="L945" s="1" t="s">
        <v>66</v>
      </c>
      <c r="M945" s="1" t="s">
        <v>123</v>
      </c>
      <c r="N945">
        <v>279040.37</v>
      </c>
      <c r="O945">
        <v>28508.639999999999</v>
      </c>
      <c r="P945">
        <v>0</v>
      </c>
      <c r="Q945">
        <v>3</v>
      </c>
      <c r="R945">
        <v>34</v>
      </c>
      <c r="S945">
        <v>3.9</v>
      </c>
      <c r="T945" s="1" t="s">
        <v>94</v>
      </c>
      <c r="U945" s="1" t="s">
        <v>33</v>
      </c>
      <c r="V945" s="1" t="s">
        <v>68</v>
      </c>
      <c r="W945" s="1" t="s">
        <v>103</v>
      </c>
    </row>
    <row r="946" spans="1:23" x14ac:dyDescent="0.35">
      <c r="A946" s="1" t="s">
        <v>1991</v>
      </c>
      <c r="B946" s="1" t="s">
        <v>244</v>
      </c>
      <c r="C946">
        <v>47</v>
      </c>
      <c r="D946" s="1" t="s">
        <v>119</v>
      </c>
      <c r="E946" s="1" t="s">
        <v>112</v>
      </c>
      <c r="F946" s="1" t="s">
        <v>108</v>
      </c>
      <c r="G946" s="1" t="s">
        <v>211</v>
      </c>
      <c r="H946" s="2">
        <v>45710</v>
      </c>
      <c r="I946" s="1" t="s">
        <v>173</v>
      </c>
      <c r="J946" s="1" t="s">
        <v>90</v>
      </c>
      <c r="K946" s="1" t="s">
        <v>208</v>
      </c>
      <c r="L946" s="1" t="s">
        <v>44</v>
      </c>
      <c r="M946" s="1" t="s">
        <v>169</v>
      </c>
      <c r="N946">
        <v>315444.08</v>
      </c>
      <c r="O946">
        <v>54062.57</v>
      </c>
      <c r="P946">
        <v>8214.6200000000008</v>
      </c>
      <c r="Q946">
        <v>1</v>
      </c>
      <c r="R946">
        <v>259</v>
      </c>
      <c r="S946">
        <v>4.7</v>
      </c>
      <c r="T946" s="1" t="s">
        <v>33</v>
      </c>
      <c r="U946" s="1" t="s">
        <v>67</v>
      </c>
      <c r="V946" s="1" t="s">
        <v>33</v>
      </c>
      <c r="W946" s="1" t="s">
        <v>36</v>
      </c>
    </row>
    <row r="947" spans="1:23" x14ac:dyDescent="0.35">
      <c r="A947" s="1" t="s">
        <v>1992</v>
      </c>
      <c r="B947" s="1" t="s">
        <v>297</v>
      </c>
      <c r="C947">
        <v>66</v>
      </c>
      <c r="D947" s="1" t="s">
        <v>78</v>
      </c>
      <c r="E947" s="1" t="s">
        <v>26</v>
      </c>
      <c r="F947" s="1" t="s">
        <v>27</v>
      </c>
      <c r="G947" s="1" t="s">
        <v>1993</v>
      </c>
      <c r="H947" s="2">
        <v>45587</v>
      </c>
      <c r="I947" s="1" t="s">
        <v>53</v>
      </c>
      <c r="J947" s="1" t="s">
        <v>242</v>
      </c>
      <c r="K947" s="1" t="s">
        <v>81</v>
      </c>
      <c r="L947" s="1" t="s">
        <v>33</v>
      </c>
      <c r="M947" s="1" t="s">
        <v>45</v>
      </c>
      <c r="N947">
        <v>551157.09</v>
      </c>
      <c r="O947">
        <v>0</v>
      </c>
      <c r="P947">
        <v>38242.120000000003</v>
      </c>
      <c r="Q947">
        <v>3</v>
      </c>
      <c r="R947">
        <v>0</v>
      </c>
      <c r="S947">
        <v>4</v>
      </c>
      <c r="T947" s="1" t="s">
        <v>33</v>
      </c>
      <c r="U947" s="1" t="s">
        <v>33</v>
      </c>
      <c r="V947" s="1" t="s">
        <v>33</v>
      </c>
      <c r="W947" s="1" t="s">
        <v>12</v>
      </c>
    </row>
    <row r="948" spans="1:23" x14ac:dyDescent="0.35">
      <c r="A948" s="1" t="s">
        <v>1994</v>
      </c>
      <c r="B948" s="1" t="s">
        <v>790</v>
      </c>
      <c r="C948">
        <v>42</v>
      </c>
      <c r="D948" s="1" t="s">
        <v>25</v>
      </c>
      <c r="E948" s="1" t="s">
        <v>33</v>
      </c>
      <c r="F948" s="1" t="s">
        <v>63</v>
      </c>
      <c r="G948" s="1" t="s">
        <v>1995</v>
      </c>
      <c r="H948" s="2">
        <v>45763</v>
      </c>
      <c r="I948" s="1" t="s">
        <v>277</v>
      </c>
      <c r="J948" s="1" t="s">
        <v>54</v>
      </c>
      <c r="K948" s="1" t="s">
        <v>33</v>
      </c>
      <c r="L948" s="1" t="s">
        <v>66</v>
      </c>
      <c r="M948" s="1" t="s">
        <v>82</v>
      </c>
      <c r="N948">
        <v>128365.3</v>
      </c>
      <c r="O948">
        <v>0</v>
      </c>
      <c r="P948">
        <v>56206.01</v>
      </c>
      <c r="Q948">
        <v>4</v>
      </c>
      <c r="R948">
        <v>204</v>
      </c>
      <c r="S948">
        <v>2.9</v>
      </c>
      <c r="T948" s="1" t="s">
        <v>33</v>
      </c>
      <c r="U948" s="1" t="s">
        <v>101</v>
      </c>
      <c r="V948" s="1" t="s">
        <v>102</v>
      </c>
      <c r="W948" s="1" t="s">
        <v>103</v>
      </c>
    </row>
    <row r="949" spans="1:23" x14ac:dyDescent="0.35">
      <c r="A949" s="1" t="s">
        <v>1996</v>
      </c>
      <c r="B949" s="1" t="s">
        <v>821</v>
      </c>
      <c r="C949">
        <v>8</v>
      </c>
      <c r="D949" s="1" t="s">
        <v>71</v>
      </c>
      <c r="E949" s="1" t="s">
        <v>192</v>
      </c>
      <c r="F949" s="1" t="s">
        <v>108</v>
      </c>
      <c r="G949" s="1" t="s">
        <v>1679</v>
      </c>
      <c r="H949" s="2">
        <v>46173</v>
      </c>
      <c r="I949" s="1" t="s">
        <v>127</v>
      </c>
      <c r="J949" s="1" t="s">
        <v>147</v>
      </c>
      <c r="K949" s="1" t="s">
        <v>33</v>
      </c>
      <c r="L949" s="1" t="s">
        <v>33</v>
      </c>
      <c r="M949" s="1" t="s">
        <v>183</v>
      </c>
      <c r="N949">
        <v>284009.83</v>
      </c>
      <c r="O949">
        <v>20165.439999999999</v>
      </c>
      <c r="P949">
        <v>22127.46</v>
      </c>
      <c r="Q949">
        <v>4</v>
      </c>
      <c r="R949">
        <v>37</v>
      </c>
      <c r="S949">
        <v>3.2</v>
      </c>
      <c r="T949" s="1" t="s">
        <v>33</v>
      </c>
      <c r="U949" s="1" t="s">
        <v>149</v>
      </c>
      <c r="V949" s="1" t="s">
        <v>33</v>
      </c>
      <c r="W949" s="1" t="s">
        <v>179</v>
      </c>
    </row>
    <row r="950" spans="1:23" x14ac:dyDescent="0.35">
      <c r="A950" s="1" t="s">
        <v>1997</v>
      </c>
      <c r="B950" s="1" t="s">
        <v>548</v>
      </c>
      <c r="C950">
        <v>14</v>
      </c>
      <c r="D950" s="1" t="s">
        <v>25</v>
      </c>
      <c r="E950" s="1" t="s">
        <v>203</v>
      </c>
      <c r="F950" s="1" t="s">
        <v>98</v>
      </c>
      <c r="G950" s="1" t="s">
        <v>581</v>
      </c>
      <c r="H950" s="2">
        <v>45703</v>
      </c>
      <c r="I950" s="1" t="s">
        <v>168</v>
      </c>
      <c r="J950" s="1" t="s">
        <v>33</v>
      </c>
      <c r="K950" s="1" t="s">
        <v>148</v>
      </c>
      <c r="L950" s="1" t="s">
        <v>33</v>
      </c>
      <c r="M950" s="1" t="s">
        <v>142</v>
      </c>
      <c r="N950">
        <v>164403.85</v>
      </c>
      <c r="O950">
        <v>28963.21</v>
      </c>
      <c r="P950">
        <v>12028.82</v>
      </c>
      <c r="Q950">
        <v>4</v>
      </c>
      <c r="R950">
        <v>229</v>
      </c>
      <c r="S950">
        <v>2.6</v>
      </c>
      <c r="T950" s="1" t="s">
        <v>33</v>
      </c>
      <c r="U950" s="1" t="s">
        <v>101</v>
      </c>
      <c r="V950" s="1" t="s">
        <v>164</v>
      </c>
      <c r="W950" s="1" t="s">
        <v>33</v>
      </c>
    </row>
    <row r="951" spans="1:23" x14ac:dyDescent="0.35">
      <c r="A951" s="1" t="s">
        <v>1998</v>
      </c>
      <c r="B951" s="1" t="s">
        <v>438</v>
      </c>
      <c r="C951">
        <v>21</v>
      </c>
      <c r="D951" s="1" t="s">
        <v>71</v>
      </c>
      <c r="E951" s="1" t="s">
        <v>33</v>
      </c>
      <c r="F951" s="1" t="s">
        <v>135</v>
      </c>
      <c r="G951" s="1" t="s">
        <v>1999</v>
      </c>
      <c r="H951" s="2">
        <v>45958</v>
      </c>
      <c r="I951" s="1" t="s">
        <v>273</v>
      </c>
      <c r="J951" s="1" t="s">
        <v>33</v>
      </c>
      <c r="K951" s="1" t="s">
        <v>33</v>
      </c>
      <c r="L951" s="1" t="s">
        <v>66</v>
      </c>
      <c r="M951" s="1" t="s">
        <v>169</v>
      </c>
      <c r="N951">
        <v>471787.21</v>
      </c>
      <c r="O951">
        <v>43822.63</v>
      </c>
      <c r="P951">
        <v>16902.240000000002</v>
      </c>
      <c r="Q951">
        <v>1</v>
      </c>
      <c r="R951">
        <v>177</v>
      </c>
      <c r="S951">
        <v>4</v>
      </c>
      <c r="T951" s="1" t="s">
        <v>33</v>
      </c>
      <c r="U951" s="1" t="s">
        <v>33</v>
      </c>
      <c r="V951" s="1" t="s">
        <v>75</v>
      </c>
      <c r="W951" s="1" t="s">
        <v>83</v>
      </c>
    </row>
    <row r="952" spans="1:23" x14ac:dyDescent="0.35">
      <c r="A952" s="1" t="s">
        <v>2000</v>
      </c>
      <c r="B952" s="1" t="s">
        <v>2001</v>
      </c>
      <c r="C952">
        <v>35</v>
      </c>
      <c r="D952" s="1" t="s">
        <v>106</v>
      </c>
      <c r="E952" s="1" t="s">
        <v>177</v>
      </c>
      <c r="F952" s="1" t="s">
        <v>87</v>
      </c>
      <c r="G952" s="1" t="s">
        <v>1811</v>
      </c>
      <c r="H952" s="2">
        <v>45710</v>
      </c>
      <c r="I952" s="1" t="s">
        <v>29</v>
      </c>
      <c r="J952" s="1" t="s">
        <v>87</v>
      </c>
      <c r="K952" s="1" t="s">
        <v>33</v>
      </c>
      <c r="L952" s="1" t="s">
        <v>92</v>
      </c>
      <c r="M952" s="1" t="s">
        <v>129</v>
      </c>
      <c r="N952">
        <v>115081.76</v>
      </c>
      <c r="O952">
        <v>38444.15</v>
      </c>
      <c r="P952">
        <v>28647.38</v>
      </c>
      <c r="Q952">
        <v>3</v>
      </c>
      <c r="R952">
        <v>231</v>
      </c>
      <c r="S952">
        <v>2</v>
      </c>
      <c r="T952" s="1" t="s">
        <v>33</v>
      </c>
      <c r="U952" s="1" t="s">
        <v>33</v>
      </c>
      <c r="V952" s="1" t="s">
        <v>47</v>
      </c>
      <c r="W952" s="1" t="s">
        <v>179</v>
      </c>
    </row>
    <row r="953" spans="1:23" x14ac:dyDescent="0.35">
      <c r="A953" s="1" t="s">
        <v>2002</v>
      </c>
      <c r="B953" s="1" t="s">
        <v>350</v>
      </c>
      <c r="C953">
        <v>40</v>
      </c>
      <c r="D953" s="1" t="s">
        <v>78</v>
      </c>
      <c r="E953" s="1" t="s">
        <v>112</v>
      </c>
      <c r="F953" s="1" t="s">
        <v>98</v>
      </c>
      <c r="G953" s="1" t="s">
        <v>2003</v>
      </c>
      <c r="H953" s="2">
        <v>45989</v>
      </c>
      <c r="I953" s="1" t="s">
        <v>33</v>
      </c>
      <c r="J953" s="1" t="s">
        <v>152</v>
      </c>
      <c r="K953" s="1" t="s">
        <v>81</v>
      </c>
      <c r="L953" s="1" t="s">
        <v>66</v>
      </c>
      <c r="M953" s="1" t="s">
        <v>57</v>
      </c>
      <c r="N953">
        <v>261872</v>
      </c>
      <c r="O953">
        <v>50828.94</v>
      </c>
      <c r="P953">
        <v>26092.52</v>
      </c>
      <c r="Q953">
        <v>9</v>
      </c>
      <c r="R953">
        <v>159</v>
      </c>
      <c r="S953">
        <v>0.2</v>
      </c>
      <c r="T953" s="1" t="s">
        <v>33</v>
      </c>
      <c r="U953" s="1" t="s">
        <v>101</v>
      </c>
      <c r="V953" s="1" t="s">
        <v>164</v>
      </c>
      <c r="W953" s="1" t="s">
        <v>179</v>
      </c>
    </row>
    <row r="954" spans="1:23" x14ac:dyDescent="0.35">
      <c r="A954" s="1" t="s">
        <v>2004</v>
      </c>
      <c r="B954" s="1" t="s">
        <v>397</v>
      </c>
      <c r="C954">
        <v>22</v>
      </c>
      <c r="D954" s="1" t="s">
        <v>119</v>
      </c>
      <c r="E954" s="1" t="s">
        <v>26</v>
      </c>
      <c r="F954" s="1" t="s">
        <v>33</v>
      </c>
      <c r="G954" s="1" t="s">
        <v>2005</v>
      </c>
      <c r="H954" s="2">
        <v>46213</v>
      </c>
      <c r="I954" s="1" t="s">
        <v>100</v>
      </c>
      <c r="J954" s="1" t="s">
        <v>137</v>
      </c>
      <c r="K954" s="1" t="s">
        <v>33</v>
      </c>
      <c r="L954" s="1" t="s">
        <v>32</v>
      </c>
      <c r="M954" s="1" t="s">
        <v>169</v>
      </c>
      <c r="N954">
        <v>44509.16</v>
      </c>
      <c r="O954">
        <v>24626.13</v>
      </c>
      <c r="P954">
        <v>56572.5</v>
      </c>
      <c r="Q954">
        <v>1</v>
      </c>
      <c r="R954">
        <v>147</v>
      </c>
      <c r="S954">
        <v>4</v>
      </c>
      <c r="T954" s="1" t="s">
        <v>34</v>
      </c>
      <c r="U954" s="1" t="s">
        <v>33</v>
      </c>
      <c r="V954" s="1" t="s">
        <v>33</v>
      </c>
      <c r="W954" s="1" t="s">
        <v>179</v>
      </c>
    </row>
    <row r="955" spans="1:23" x14ac:dyDescent="0.35">
      <c r="A955" s="1" t="s">
        <v>2006</v>
      </c>
      <c r="B955" s="1" t="s">
        <v>916</v>
      </c>
      <c r="C955">
        <v>51</v>
      </c>
      <c r="D955" s="1" t="s">
        <v>71</v>
      </c>
      <c r="E955" s="1" t="s">
        <v>72</v>
      </c>
      <c r="F955" s="1" t="s">
        <v>33</v>
      </c>
      <c r="G955" s="1" t="s">
        <v>1770</v>
      </c>
      <c r="H955" s="2">
        <v>45977</v>
      </c>
      <c r="I955" s="1" t="s">
        <v>273</v>
      </c>
      <c r="J955" s="1" t="s">
        <v>141</v>
      </c>
      <c r="K955" s="1" t="s">
        <v>55</v>
      </c>
      <c r="L955" s="1" t="s">
        <v>56</v>
      </c>
      <c r="M955" s="1" t="s">
        <v>123</v>
      </c>
      <c r="N955">
        <v>237400</v>
      </c>
      <c r="O955">
        <v>53401.4</v>
      </c>
      <c r="P955">
        <v>68308.100000000006</v>
      </c>
      <c r="Q955">
        <v>1</v>
      </c>
      <c r="R955">
        <v>97</v>
      </c>
      <c r="S955">
        <v>2.5</v>
      </c>
      <c r="T955" s="1" t="s">
        <v>33</v>
      </c>
      <c r="U955" s="1" t="s">
        <v>58</v>
      </c>
      <c r="V955" s="1" t="s">
        <v>75</v>
      </c>
      <c r="W955" s="1" t="s">
        <v>12</v>
      </c>
    </row>
    <row r="956" spans="1:23" x14ac:dyDescent="0.35">
      <c r="A956" s="1" t="s">
        <v>2007</v>
      </c>
      <c r="B956" s="1" t="s">
        <v>494</v>
      </c>
      <c r="C956">
        <v>30</v>
      </c>
      <c r="D956" s="1" t="s">
        <v>71</v>
      </c>
      <c r="E956" s="1" t="s">
        <v>203</v>
      </c>
      <c r="F956" s="1" t="s">
        <v>56</v>
      </c>
      <c r="G956" s="1" t="s">
        <v>1262</v>
      </c>
      <c r="H956" s="2">
        <v>46176</v>
      </c>
      <c r="I956" s="1" t="s">
        <v>168</v>
      </c>
      <c r="J956" s="1" t="s">
        <v>65</v>
      </c>
      <c r="K956" s="1" t="s">
        <v>163</v>
      </c>
      <c r="L956" s="1" t="s">
        <v>44</v>
      </c>
      <c r="M956" s="1" t="s">
        <v>33</v>
      </c>
      <c r="N956">
        <v>175862.71</v>
      </c>
      <c r="O956">
        <v>36701.26</v>
      </c>
      <c r="P956">
        <v>66455.23</v>
      </c>
      <c r="Q956">
        <v>1</v>
      </c>
      <c r="R956">
        <v>91</v>
      </c>
      <c r="S956">
        <v>3.7</v>
      </c>
      <c r="T956" s="1" t="s">
        <v>34</v>
      </c>
      <c r="U956" s="1" t="s">
        <v>101</v>
      </c>
      <c r="V956" s="1" t="s">
        <v>164</v>
      </c>
      <c r="W956" s="1" t="s">
        <v>12</v>
      </c>
    </row>
    <row r="957" spans="1:23" x14ac:dyDescent="0.35">
      <c r="A957" s="1" t="s">
        <v>2008</v>
      </c>
      <c r="B957" s="1" t="s">
        <v>770</v>
      </c>
      <c r="C957">
        <v>31</v>
      </c>
      <c r="D957" s="1" t="s">
        <v>78</v>
      </c>
      <c r="E957" s="1" t="s">
        <v>62</v>
      </c>
      <c r="F957" s="1" t="s">
        <v>98</v>
      </c>
      <c r="G957" s="1" t="s">
        <v>136</v>
      </c>
      <c r="H957" s="2">
        <v>45754</v>
      </c>
      <c r="I957" s="1" t="s">
        <v>168</v>
      </c>
      <c r="J957" s="1" t="s">
        <v>65</v>
      </c>
      <c r="K957" s="1" t="s">
        <v>163</v>
      </c>
      <c r="L957" s="1" t="s">
        <v>92</v>
      </c>
      <c r="M957" s="1" t="s">
        <v>45</v>
      </c>
      <c r="N957">
        <v>90445.08</v>
      </c>
      <c r="O957">
        <v>0</v>
      </c>
      <c r="P957">
        <v>24145.52</v>
      </c>
      <c r="Q957">
        <v>3</v>
      </c>
      <c r="R957">
        <v>130</v>
      </c>
      <c r="S957">
        <v>2.8</v>
      </c>
      <c r="T957" s="1" t="s">
        <v>33</v>
      </c>
      <c r="U957" s="1" t="s">
        <v>95</v>
      </c>
      <c r="V957" s="1" t="s">
        <v>75</v>
      </c>
      <c r="W957" s="1" t="s">
        <v>33</v>
      </c>
    </row>
    <row r="958" spans="1:23" x14ac:dyDescent="0.35">
      <c r="A958" s="1" t="s">
        <v>2009</v>
      </c>
      <c r="B958" s="1" t="s">
        <v>312</v>
      </c>
      <c r="C958">
        <v>53</v>
      </c>
      <c r="D958" s="1" t="s">
        <v>25</v>
      </c>
      <c r="E958" s="1" t="s">
        <v>263</v>
      </c>
      <c r="F958" s="1" t="s">
        <v>44</v>
      </c>
      <c r="G958" s="1" t="s">
        <v>1049</v>
      </c>
      <c r="H958" s="2">
        <v>45910</v>
      </c>
      <c r="I958" s="1" t="s">
        <v>89</v>
      </c>
      <c r="J958" s="1" t="s">
        <v>33</v>
      </c>
      <c r="K958" s="1" t="s">
        <v>174</v>
      </c>
      <c r="L958" s="1" t="s">
        <v>33</v>
      </c>
      <c r="M958" s="1" t="s">
        <v>123</v>
      </c>
      <c r="N958">
        <v>292896.53000000003</v>
      </c>
      <c r="O958">
        <v>3011.68</v>
      </c>
      <c r="P958">
        <v>74911.78</v>
      </c>
      <c r="Q958">
        <v>2</v>
      </c>
      <c r="R958">
        <v>179</v>
      </c>
      <c r="S958">
        <v>2.2000000000000002</v>
      </c>
      <c r="T958" s="1" t="s">
        <v>46</v>
      </c>
      <c r="U958" s="1" t="s">
        <v>35</v>
      </c>
      <c r="V958" s="1" t="s">
        <v>68</v>
      </c>
      <c r="W958" s="1" t="s">
        <v>59</v>
      </c>
    </row>
    <row r="959" spans="1:23" x14ac:dyDescent="0.35">
      <c r="A959" s="1" t="s">
        <v>2010</v>
      </c>
      <c r="B959" s="1" t="s">
        <v>815</v>
      </c>
      <c r="C959">
        <v>69</v>
      </c>
      <c r="D959" s="1" t="s">
        <v>78</v>
      </c>
      <c r="E959" s="1" t="s">
        <v>112</v>
      </c>
      <c r="F959" s="1" t="s">
        <v>227</v>
      </c>
      <c r="G959" s="1" t="s">
        <v>1906</v>
      </c>
      <c r="H959" s="2">
        <v>46245</v>
      </c>
      <c r="I959" s="1" t="s">
        <v>89</v>
      </c>
      <c r="J959" s="1" t="s">
        <v>87</v>
      </c>
      <c r="K959" s="1" t="s">
        <v>91</v>
      </c>
      <c r="L959" s="1" t="s">
        <v>92</v>
      </c>
      <c r="M959" s="1" t="s">
        <v>57</v>
      </c>
      <c r="N959">
        <v>199440.51</v>
      </c>
      <c r="O959">
        <v>0</v>
      </c>
      <c r="P959">
        <v>3009.55</v>
      </c>
      <c r="Q959">
        <v>1</v>
      </c>
      <c r="R959">
        <v>76</v>
      </c>
      <c r="S959">
        <v>2.2000000000000002</v>
      </c>
      <c r="T959" s="1" t="s">
        <v>33</v>
      </c>
      <c r="U959" s="1" t="s">
        <v>95</v>
      </c>
      <c r="V959" s="1" t="s">
        <v>68</v>
      </c>
      <c r="W959" s="1" t="s">
        <v>83</v>
      </c>
    </row>
    <row r="960" spans="1:23" x14ac:dyDescent="0.35">
      <c r="A960" s="1" t="s">
        <v>2011</v>
      </c>
      <c r="B960" s="1" t="s">
        <v>753</v>
      </c>
      <c r="C960">
        <v>43</v>
      </c>
      <c r="D960" s="1" t="s">
        <v>106</v>
      </c>
      <c r="E960" s="1" t="s">
        <v>177</v>
      </c>
      <c r="F960" s="1" t="s">
        <v>41</v>
      </c>
      <c r="G960" s="1" t="s">
        <v>322</v>
      </c>
      <c r="H960" s="2">
        <v>45537</v>
      </c>
      <c r="I960" s="1" t="s">
        <v>33</v>
      </c>
      <c r="J960" s="1" t="s">
        <v>54</v>
      </c>
      <c r="K960" s="1" t="s">
        <v>81</v>
      </c>
      <c r="L960" s="1" t="s">
        <v>66</v>
      </c>
      <c r="M960" s="1" t="s">
        <v>129</v>
      </c>
      <c r="N960">
        <v>424715.64</v>
      </c>
      <c r="O960">
        <v>22738.65</v>
      </c>
      <c r="P960">
        <v>77176.25</v>
      </c>
      <c r="Q960">
        <v>2</v>
      </c>
      <c r="R960">
        <v>202</v>
      </c>
      <c r="S960">
        <v>5</v>
      </c>
      <c r="T960" s="1" t="s">
        <v>34</v>
      </c>
      <c r="U960" s="1" t="s">
        <v>101</v>
      </c>
      <c r="V960" s="1" t="s">
        <v>68</v>
      </c>
      <c r="W960" s="1" t="s">
        <v>33</v>
      </c>
    </row>
    <row r="961" spans="1:23" x14ac:dyDescent="0.35">
      <c r="A961" s="1" t="s">
        <v>2012</v>
      </c>
      <c r="B961" s="1" t="s">
        <v>312</v>
      </c>
      <c r="C961">
        <v>0</v>
      </c>
      <c r="D961" s="1" t="s">
        <v>106</v>
      </c>
      <c r="E961" s="1" t="s">
        <v>51</v>
      </c>
      <c r="F961" s="1" t="s">
        <v>135</v>
      </c>
      <c r="G961" s="1" t="s">
        <v>1129</v>
      </c>
      <c r="H961" s="2">
        <v>45887</v>
      </c>
      <c r="I961" s="1" t="s">
        <v>89</v>
      </c>
      <c r="J961" s="1" t="s">
        <v>242</v>
      </c>
      <c r="K961" s="1" t="s">
        <v>174</v>
      </c>
      <c r="L961" s="1" t="s">
        <v>44</v>
      </c>
      <c r="M961" s="1" t="s">
        <v>57</v>
      </c>
      <c r="N961">
        <v>284515.48</v>
      </c>
      <c r="O961">
        <v>56210</v>
      </c>
      <c r="P961">
        <v>42567.99</v>
      </c>
      <c r="Q961">
        <v>3</v>
      </c>
      <c r="R961">
        <v>225</v>
      </c>
      <c r="S961">
        <v>4.8</v>
      </c>
      <c r="T961" s="1" t="s">
        <v>46</v>
      </c>
      <c r="U961" s="1" t="s">
        <v>58</v>
      </c>
      <c r="V961" s="1" t="s">
        <v>164</v>
      </c>
      <c r="W961" s="1" t="s">
        <v>36</v>
      </c>
    </row>
    <row r="962" spans="1:23" x14ac:dyDescent="0.35">
      <c r="A962" s="1" t="s">
        <v>2013</v>
      </c>
      <c r="B962" s="1" t="s">
        <v>2014</v>
      </c>
      <c r="C962">
        <v>66</v>
      </c>
      <c r="D962" s="1" t="s">
        <v>78</v>
      </c>
      <c r="E962" s="1" t="s">
        <v>203</v>
      </c>
      <c r="F962" s="1" t="s">
        <v>27</v>
      </c>
      <c r="G962" s="1" t="s">
        <v>2015</v>
      </c>
      <c r="H962" s="2">
        <v>46245</v>
      </c>
      <c r="I962" s="1" t="s">
        <v>33</v>
      </c>
      <c r="J962" s="1" t="s">
        <v>65</v>
      </c>
      <c r="K962" s="1" t="s">
        <v>174</v>
      </c>
      <c r="L962" s="1" t="s">
        <v>32</v>
      </c>
      <c r="M962" s="1" t="s">
        <v>45</v>
      </c>
      <c r="N962">
        <v>266671.78000000003</v>
      </c>
      <c r="O962">
        <v>0</v>
      </c>
      <c r="P962">
        <v>30025.83</v>
      </c>
      <c r="Q962">
        <v>4</v>
      </c>
      <c r="R962">
        <v>184</v>
      </c>
      <c r="S962">
        <v>2.7</v>
      </c>
      <c r="T962" s="1" t="s">
        <v>154</v>
      </c>
      <c r="U962" s="1" t="s">
        <v>95</v>
      </c>
      <c r="V962" s="1" t="s">
        <v>102</v>
      </c>
      <c r="W962" s="1" t="s">
        <v>131</v>
      </c>
    </row>
    <row r="963" spans="1:23" x14ac:dyDescent="0.35">
      <c r="A963" s="1" t="s">
        <v>2016</v>
      </c>
      <c r="B963" s="1" t="s">
        <v>669</v>
      </c>
      <c r="C963">
        <v>20</v>
      </c>
      <c r="D963" s="1" t="s">
        <v>78</v>
      </c>
      <c r="E963" s="1" t="s">
        <v>72</v>
      </c>
      <c r="F963" s="1" t="s">
        <v>27</v>
      </c>
      <c r="G963" s="1" t="s">
        <v>2017</v>
      </c>
      <c r="H963" s="2">
        <v>45723</v>
      </c>
      <c r="I963" s="1" t="s">
        <v>33</v>
      </c>
      <c r="J963" s="1" t="s">
        <v>43</v>
      </c>
      <c r="K963" s="1" t="s">
        <v>208</v>
      </c>
      <c r="L963" s="1" t="s">
        <v>33</v>
      </c>
      <c r="M963" s="1" t="s">
        <v>82</v>
      </c>
      <c r="N963">
        <v>469749.16</v>
      </c>
      <c r="O963">
        <v>72037.31</v>
      </c>
      <c r="P963">
        <v>18483.93</v>
      </c>
      <c r="Q963">
        <v>2</v>
      </c>
      <c r="R963">
        <v>106</v>
      </c>
      <c r="S963">
        <v>2.8</v>
      </c>
      <c r="T963" s="1" t="s">
        <v>33</v>
      </c>
      <c r="U963" s="1" t="s">
        <v>101</v>
      </c>
      <c r="V963" s="1" t="s">
        <v>33</v>
      </c>
      <c r="W963" s="1" t="s">
        <v>59</v>
      </c>
    </row>
    <row r="964" spans="1:23" x14ac:dyDescent="0.35">
      <c r="A964" s="1" t="s">
        <v>2018</v>
      </c>
      <c r="B964" s="1" t="s">
        <v>1000</v>
      </c>
      <c r="C964">
        <v>54</v>
      </c>
      <c r="D964" s="1" t="s">
        <v>119</v>
      </c>
      <c r="E964" s="1" t="s">
        <v>72</v>
      </c>
      <c r="F964" s="1" t="s">
        <v>108</v>
      </c>
      <c r="G964" s="1" t="s">
        <v>2019</v>
      </c>
      <c r="H964" s="2">
        <v>45714</v>
      </c>
      <c r="I964" s="1" t="s">
        <v>53</v>
      </c>
      <c r="J964" s="1" t="s">
        <v>80</v>
      </c>
      <c r="K964" s="1" t="s">
        <v>148</v>
      </c>
      <c r="L964" s="1" t="s">
        <v>56</v>
      </c>
      <c r="M964" s="1" t="s">
        <v>33</v>
      </c>
      <c r="N964">
        <v>333638.78000000003</v>
      </c>
      <c r="O964">
        <v>38297.96</v>
      </c>
      <c r="P964">
        <v>133062.19</v>
      </c>
      <c r="Q964">
        <v>4</v>
      </c>
      <c r="R964">
        <v>17</v>
      </c>
      <c r="S964">
        <v>1.5</v>
      </c>
      <c r="T964" s="1" t="s">
        <v>154</v>
      </c>
      <c r="U964" s="1" t="s">
        <v>33</v>
      </c>
      <c r="V964" s="1" t="s">
        <v>33</v>
      </c>
      <c r="W964" s="1" t="s">
        <v>131</v>
      </c>
    </row>
    <row r="965" spans="1:23" x14ac:dyDescent="0.35">
      <c r="A965" s="1" t="s">
        <v>2020</v>
      </c>
      <c r="B965" s="1" t="s">
        <v>840</v>
      </c>
      <c r="C965">
        <v>8</v>
      </c>
      <c r="D965" s="1" t="s">
        <v>78</v>
      </c>
      <c r="E965" s="1" t="s">
        <v>26</v>
      </c>
      <c r="F965" s="1" t="s">
        <v>227</v>
      </c>
      <c r="G965" s="1" t="s">
        <v>2021</v>
      </c>
      <c r="H965" s="2">
        <v>45824</v>
      </c>
      <c r="I965" s="1" t="s">
        <v>273</v>
      </c>
      <c r="J965" s="1" t="s">
        <v>115</v>
      </c>
      <c r="K965" s="1" t="s">
        <v>174</v>
      </c>
      <c r="L965" s="1" t="s">
        <v>32</v>
      </c>
      <c r="M965" s="1" t="s">
        <v>57</v>
      </c>
      <c r="N965">
        <v>11055.28</v>
      </c>
      <c r="O965">
        <v>4967.13</v>
      </c>
      <c r="P965">
        <v>17334.330000000002</v>
      </c>
      <c r="Q965">
        <v>2</v>
      </c>
      <c r="R965">
        <v>23</v>
      </c>
      <c r="S965">
        <v>4.4000000000000004</v>
      </c>
      <c r="T965" s="1" t="s">
        <v>33</v>
      </c>
      <c r="U965" s="1" t="s">
        <v>149</v>
      </c>
      <c r="V965" s="1" t="s">
        <v>102</v>
      </c>
      <c r="W965" s="1" t="s">
        <v>59</v>
      </c>
    </row>
    <row r="966" spans="1:23" x14ac:dyDescent="0.35">
      <c r="A966" s="1" t="s">
        <v>2022</v>
      </c>
      <c r="B966" s="1" t="s">
        <v>318</v>
      </c>
      <c r="C966">
        <v>39</v>
      </c>
      <c r="D966" s="1" t="s">
        <v>119</v>
      </c>
      <c r="E966" s="1" t="s">
        <v>72</v>
      </c>
      <c r="F966" s="1" t="s">
        <v>145</v>
      </c>
      <c r="G966" s="1" t="s">
        <v>304</v>
      </c>
      <c r="H966" s="2">
        <v>45668</v>
      </c>
      <c r="I966" s="1" t="s">
        <v>53</v>
      </c>
      <c r="J966" s="1" t="s">
        <v>33</v>
      </c>
      <c r="K966" s="1" t="s">
        <v>55</v>
      </c>
      <c r="L966" s="1" t="s">
        <v>33</v>
      </c>
      <c r="M966" s="1" t="s">
        <v>93</v>
      </c>
      <c r="N966">
        <v>345192.59</v>
      </c>
      <c r="O966">
        <v>10841.94</v>
      </c>
      <c r="P966">
        <v>37063.620000000003</v>
      </c>
      <c r="Q966">
        <v>2</v>
      </c>
      <c r="R966">
        <v>122</v>
      </c>
      <c r="S966">
        <v>1.2</v>
      </c>
      <c r="T966" s="1" t="s">
        <v>33</v>
      </c>
      <c r="U966" s="1" t="s">
        <v>149</v>
      </c>
      <c r="V966" s="1" t="s">
        <v>75</v>
      </c>
      <c r="W966" s="1" t="s">
        <v>33</v>
      </c>
    </row>
    <row r="967" spans="1:23" x14ac:dyDescent="0.35">
      <c r="A967" s="1" t="s">
        <v>2023</v>
      </c>
      <c r="B967" s="1" t="s">
        <v>488</v>
      </c>
      <c r="C967">
        <v>50</v>
      </c>
      <c r="D967" s="1" t="s">
        <v>119</v>
      </c>
      <c r="E967" s="1" t="s">
        <v>263</v>
      </c>
      <c r="F967" s="1" t="s">
        <v>108</v>
      </c>
      <c r="G967" s="1" t="s">
        <v>2024</v>
      </c>
      <c r="H967" s="2">
        <v>46066</v>
      </c>
      <c r="I967" s="1" t="s">
        <v>168</v>
      </c>
      <c r="J967" s="1" t="s">
        <v>90</v>
      </c>
      <c r="K967" s="1" t="s">
        <v>81</v>
      </c>
      <c r="L967" s="1" t="s">
        <v>92</v>
      </c>
      <c r="M967" s="1" t="s">
        <v>93</v>
      </c>
      <c r="N967">
        <v>288882</v>
      </c>
      <c r="O967">
        <v>81605.5</v>
      </c>
      <c r="P967">
        <v>49742.85</v>
      </c>
      <c r="Q967">
        <v>1</v>
      </c>
      <c r="R967">
        <v>156</v>
      </c>
      <c r="S967">
        <v>3.4</v>
      </c>
      <c r="T967" s="1" t="s">
        <v>34</v>
      </c>
      <c r="U967" s="1" t="s">
        <v>95</v>
      </c>
      <c r="V967" s="1" t="s">
        <v>102</v>
      </c>
      <c r="W967" s="1" t="s">
        <v>83</v>
      </c>
    </row>
    <row r="968" spans="1:23" x14ac:dyDescent="0.35">
      <c r="A968" s="1" t="s">
        <v>2025</v>
      </c>
      <c r="B968" s="1" t="s">
        <v>1681</v>
      </c>
      <c r="C968">
        <v>79</v>
      </c>
      <c r="D968" s="1" t="s">
        <v>39</v>
      </c>
      <c r="E968" s="1" t="s">
        <v>263</v>
      </c>
      <c r="F968" s="1" t="s">
        <v>145</v>
      </c>
      <c r="G968" s="1" t="s">
        <v>1825</v>
      </c>
      <c r="H968" s="2">
        <v>45850</v>
      </c>
      <c r="I968" s="1" t="s">
        <v>114</v>
      </c>
      <c r="J968" s="1" t="s">
        <v>65</v>
      </c>
      <c r="K968" s="1" t="s">
        <v>163</v>
      </c>
      <c r="L968" s="1" t="s">
        <v>66</v>
      </c>
      <c r="M968" s="1" t="s">
        <v>82</v>
      </c>
      <c r="N968">
        <v>0</v>
      </c>
      <c r="O968">
        <v>40340.410000000003</v>
      </c>
      <c r="P968">
        <v>109067.6</v>
      </c>
      <c r="Q968">
        <v>3</v>
      </c>
      <c r="R968">
        <v>116</v>
      </c>
      <c r="S968">
        <v>5</v>
      </c>
      <c r="T968" s="1" t="s">
        <v>94</v>
      </c>
      <c r="U968" s="1" t="s">
        <v>35</v>
      </c>
      <c r="V968" s="1" t="s">
        <v>75</v>
      </c>
      <c r="W968" s="1" t="s">
        <v>12</v>
      </c>
    </row>
    <row r="969" spans="1:23" x14ac:dyDescent="0.35">
      <c r="A969" s="1" t="s">
        <v>2026</v>
      </c>
      <c r="B969" s="1" t="s">
        <v>456</v>
      </c>
      <c r="C969">
        <v>42</v>
      </c>
      <c r="D969" s="1" t="s">
        <v>33</v>
      </c>
      <c r="E969" s="1" t="s">
        <v>86</v>
      </c>
      <c r="F969" s="1" t="s">
        <v>227</v>
      </c>
      <c r="G969" s="1" t="s">
        <v>2027</v>
      </c>
      <c r="H969" s="2">
        <v>46005</v>
      </c>
      <c r="I969" s="1" t="s">
        <v>100</v>
      </c>
      <c r="J969" s="1" t="s">
        <v>30</v>
      </c>
      <c r="K969" s="1" t="s">
        <v>174</v>
      </c>
      <c r="L969" s="1" t="s">
        <v>56</v>
      </c>
      <c r="M969" s="1" t="s">
        <v>142</v>
      </c>
      <c r="N969">
        <v>224693.46</v>
      </c>
      <c r="O969">
        <v>0</v>
      </c>
      <c r="P969">
        <v>9954.67</v>
      </c>
      <c r="Q969">
        <v>2</v>
      </c>
      <c r="R969">
        <v>12</v>
      </c>
      <c r="S969">
        <v>4.8</v>
      </c>
      <c r="T969" s="1" t="s">
        <v>33</v>
      </c>
      <c r="U969" s="1" t="s">
        <v>33</v>
      </c>
      <c r="V969" s="1" t="s">
        <v>68</v>
      </c>
      <c r="W969" s="1" t="s">
        <v>33</v>
      </c>
    </row>
    <row r="970" spans="1:23" x14ac:dyDescent="0.35">
      <c r="A970" s="1" t="s">
        <v>2028</v>
      </c>
      <c r="B970" s="1" t="s">
        <v>721</v>
      </c>
      <c r="C970">
        <v>50</v>
      </c>
      <c r="D970" s="1" t="s">
        <v>25</v>
      </c>
      <c r="E970" s="1" t="s">
        <v>203</v>
      </c>
      <c r="F970" s="1" t="s">
        <v>41</v>
      </c>
      <c r="G970" s="1" t="s">
        <v>512</v>
      </c>
      <c r="H970" s="2">
        <v>45925</v>
      </c>
      <c r="I970" s="1" t="s">
        <v>33</v>
      </c>
      <c r="J970" s="1" t="s">
        <v>115</v>
      </c>
      <c r="K970" s="1" t="s">
        <v>174</v>
      </c>
      <c r="L970" s="1" t="s">
        <v>32</v>
      </c>
      <c r="M970" s="1" t="s">
        <v>82</v>
      </c>
      <c r="N970">
        <v>335374.40999999997</v>
      </c>
      <c r="O970">
        <v>25896.26</v>
      </c>
      <c r="P970">
        <v>81057.95</v>
      </c>
      <c r="Q970">
        <v>5</v>
      </c>
      <c r="R970">
        <v>95</v>
      </c>
      <c r="S970">
        <v>3.8</v>
      </c>
      <c r="T970" s="1" t="s">
        <v>46</v>
      </c>
      <c r="U970" s="1" t="s">
        <v>33</v>
      </c>
      <c r="V970" s="1" t="s">
        <v>33</v>
      </c>
      <c r="W970" s="1" t="s">
        <v>83</v>
      </c>
    </row>
    <row r="971" spans="1:23" x14ac:dyDescent="0.35">
      <c r="A971" s="1" t="s">
        <v>2029</v>
      </c>
      <c r="B971" s="1" t="s">
        <v>1137</v>
      </c>
      <c r="C971">
        <v>58</v>
      </c>
      <c r="D971" s="1" t="s">
        <v>106</v>
      </c>
      <c r="E971" s="1" t="s">
        <v>33</v>
      </c>
      <c r="F971" s="1" t="s">
        <v>44</v>
      </c>
      <c r="G971" s="1" t="s">
        <v>2030</v>
      </c>
      <c r="H971" s="2">
        <v>45838</v>
      </c>
      <c r="I971" s="1" t="s">
        <v>89</v>
      </c>
      <c r="J971" s="1" t="s">
        <v>65</v>
      </c>
      <c r="K971" s="1" t="s">
        <v>163</v>
      </c>
      <c r="L971" s="1" t="s">
        <v>33</v>
      </c>
      <c r="M971" s="1" t="s">
        <v>33</v>
      </c>
      <c r="N971">
        <v>161032.17000000001</v>
      </c>
      <c r="O971">
        <v>54410.78</v>
      </c>
      <c r="P971">
        <v>11035.53</v>
      </c>
      <c r="Q971">
        <v>2</v>
      </c>
      <c r="R971">
        <v>12</v>
      </c>
      <c r="S971">
        <v>4.5999999999999996</v>
      </c>
      <c r="T971" s="1" t="s">
        <v>33</v>
      </c>
      <c r="U971" s="1" t="s">
        <v>101</v>
      </c>
      <c r="V971" s="1" t="s">
        <v>47</v>
      </c>
      <c r="W971" s="1" t="s">
        <v>36</v>
      </c>
    </row>
    <row r="972" spans="1:23" x14ac:dyDescent="0.35">
      <c r="A972" s="1" t="s">
        <v>2031</v>
      </c>
      <c r="B972" s="1" t="s">
        <v>966</v>
      </c>
      <c r="C972">
        <v>33</v>
      </c>
      <c r="D972" s="1" t="s">
        <v>106</v>
      </c>
      <c r="E972" s="1" t="s">
        <v>203</v>
      </c>
      <c r="F972" s="1" t="s">
        <v>193</v>
      </c>
      <c r="G972" s="1" t="s">
        <v>1404</v>
      </c>
      <c r="H972" s="2">
        <v>45684</v>
      </c>
      <c r="I972" s="1" t="s">
        <v>53</v>
      </c>
      <c r="J972" s="1" t="s">
        <v>141</v>
      </c>
      <c r="K972" s="1" t="s">
        <v>116</v>
      </c>
      <c r="L972" s="1" t="s">
        <v>44</v>
      </c>
      <c r="M972" s="1" t="s">
        <v>45</v>
      </c>
      <c r="N972">
        <v>344608.08</v>
      </c>
      <c r="O972">
        <v>14818.46</v>
      </c>
      <c r="P972">
        <v>38993.96</v>
      </c>
      <c r="Q972">
        <v>2</v>
      </c>
      <c r="R972">
        <v>199</v>
      </c>
      <c r="S972">
        <v>5</v>
      </c>
      <c r="T972" s="1" t="s">
        <v>94</v>
      </c>
      <c r="U972" s="1" t="s">
        <v>149</v>
      </c>
      <c r="V972" s="1" t="s">
        <v>47</v>
      </c>
      <c r="W972" s="1" t="s">
        <v>103</v>
      </c>
    </row>
    <row r="973" spans="1:23" x14ac:dyDescent="0.35">
      <c r="A973" s="1" t="s">
        <v>2032</v>
      </c>
      <c r="B973" s="1" t="s">
        <v>1960</v>
      </c>
      <c r="C973">
        <v>36</v>
      </c>
      <c r="D973" s="1" t="s">
        <v>50</v>
      </c>
      <c r="E973" s="1" t="s">
        <v>192</v>
      </c>
      <c r="F973" s="1" t="s">
        <v>56</v>
      </c>
      <c r="G973" s="1" t="s">
        <v>1064</v>
      </c>
      <c r="H973" s="2">
        <v>45662</v>
      </c>
      <c r="I973" s="1" t="s">
        <v>257</v>
      </c>
      <c r="J973" s="1" t="s">
        <v>65</v>
      </c>
      <c r="K973" s="1" t="s">
        <v>163</v>
      </c>
      <c r="L973" s="1" t="s">
        <v>33</v>
      </c>
      <c r="M973" s="1" t="s">
        <v>123</v>
      </c>
      <c r="N973">
        <v>392298.41</v>
      </c>
      <c r="O973">
        <v>6276.18</v>
      </c>
      <c r="P973">
        <v>17792.91</v>
      </c>
      <c r="Q973">
        <v>9</v>
      </c>
      <c r="R973">
        <v>0</v>
      </c>
      <c r="S973">
        <v>5</v>
      </c>
      <c r="T973" s="1" t="s">
        <v>46</v>
      </c>
      <c r="U973" s="1" t="s">
        <v>58</v>
      </c>
      <c r="V973" s="1" t="s">
        <v>33</v>
      </c>
      <c r="W973" s="1" t="s">
        <v>59</v>
      </c>
    </row>
    <row r="974" spans="1:23" x14ac:dyDescent="0.35">
      <c r="A974" s="1" t="s">
        <v>2033</v>
      </c>
      <c r="B974" s="1" t="s">
        <v>303</v>
      </c>
      <c r="C974">
        <v>40</v>
      </c>
      <c r="D974" s="1" t="s">
        <v>106</v>
      </c>
      <c r="E974" s="1" t="s">
        <v>192</v>
      </c>
      <c r="F974" s="1" t="s">
        <v>145</v>
      </c>
      <c r="G974" s="1" t="s">
        <v>2034</v>
      </c>
      <c r="H974" s="2">
        <v>45374</v>
      </c>
      <c r="I974" s="1" t="s">
        <v>235</v>
      </c>
      <c r="J974" s="1" t="s">
        <v>80</v>
      </c>
      <c r="K974" s="1" t="s">
        <v>91</v>
      </c>
      <c r="L974" s="1" t="s">
        <v>32</v>
      </c>
      <c r="M974" s="1" t="s">
        <v>74</v>
      </c>
      <c r="N974">
        <v>92554.59</v>
      </c>
      <c r="O974">
        <v>47379.13</v>
      </c>
      <c r="P974">
        <v>33730.99</v>
      </c>
      <c r="Q974">
        <v>1</v>
      </c>
      <c r="R974">
        <v>0</v>
      </c>
      <c r="S974">
        <v>4.3</v>
      </c>
      <c r="T974" s="1" t="s">
        <v>33</v>
      </c>
      <c r="U974" s="1" t="s">
        <v>149</v>
      </c>
      <c r="V974" s="1" t="s">
        <v>102</v>
      </c>
      <c r="W974" s="1" t="s">
        <v>179</v>
      </c>
    </row>
    <row r="975" spans="1:23" x14ac:dyDescent="0.35">
      <c r="A975" s="1" t="s">
        <v>2035</v>
      </c>
      <c r="B975" s="1" t="s">
        <v>569</v>
      </c>
      <c r="C975">
        <v>24</v>
      </c>
      <c r="D975" s="1" t="s">
        <v>71</v>
      </c>
      <c r="E975" s="1" t="s">
        <v>33</v>
      </c>
      <c r="F975" s="1" t="s">
        <v>120</v>
      </c>
      <c r="G975" s="1" t="s">
        <v>570</v>
      </c>
      <c r="H975" s="2">
        <v>45397</v>
      </c>
      <c r="I975" s="1" t="s">
        <v>89</v>
      </c>
      <c r="J975" s="1" t="s">
        <v>152</v>
      </c>
      <c r="K975" s="1" t="s">
        <v>122</v>
      </c>
      <c r="L975" s="1" t="s">
        <v>44</v>
      </c>
      <c r="M975" s="1" t="s">
        <v>33</v>
      </c>
      <c r="N975">
        <v>0</v>
      </c>
      <c r="O975">
        <v>0</v>
      </c>
      <c r="P975">
        <v>50355.88</v>
      </c>
      <c r="Q975">
        <v>1</v>
      </c>
      <c r="R975">
        <v>0</v>
      </c>
      <c r="S975">
        <v>1.8</v>
      </c>
      <c r="T975" s="1" t="s">
        <v>94</v>
      </c>
      <c r="U975" s="1" t="s">
        <v>58</v>
      </c>
      <c r="V975" s="1" t="s">
        <v>33</v>
      </c>
      <c r="W975" s="1" t="s">
        <v>33</v>
      </c>
    </row>
    <row r="976" spans="1:23" x14ac:dyDescent="0.35">
      <c r="A976" s="1" t="s">
        <v>2036</v>
      </c>
      <c r="B976" s="1" t="s">
        <v>891</v>
      </c>
      <c r="C976">
        <v>31</v>
      </c>
      <c r="D976" s="1" t="s">
        <v>119</v>
      </c>
      <c r="E976" s="1" t="s">
        <v>112</v>
      </c>
      <c r="F976" s="1" t="s">
        <v>63</v>
      </c>
      <c r="G976" s="1" t="s">
        <v>1095</v>
      </c>
      <c r="H976" s="2">
        <v>45524</v>
      </c>
      <c r="I976" s="1" t="s">
        <v>127</v>
      </c>
      <c r="J976" s="1" t="s">
        <v>33</v>
      </c>
      <c r="K976" s="1" t="s">
        <v>116</v>
      </c>
      <c r="L976" s="1" t="s">
        <v>92</v>
      </c>
      <c r="M976" s="1" t="s">
        <v>82</v>
      </c>
      <c r="N976">
        <v>498885.13</v>
      </c>
      <c r="O976">
        <v>75847.41</v>
      </c>
      <c r="P976">
        <v>18962.330000000002</v>
      </c>
      <c r="Q976">
        <v>3</v>
      </c>
      <c r="R976">
        <v>136</v>
      </c>
      <c r="S976">
        <v>4.7</v>
      </c>
      <c r="T976" s="1" t="s">
        <v>46</v>
      </c>
      <c r="U976" s="1" t="s">
        <v>35</v>
      </c>
      <c r="V976" s="1" t="s">
        <v>33</v>
      </c>
      <c r="W976" s="1" t="s">
        <v>33</v>
      </c>
    </row>
    <row r="977" spans="1:23" x14ac:dyDescent="0.35">
      <c r="A977" s="1" t="s">
        <v>2037</v>
      </c>
      <c r="B977" s="1" t="s">
        <v>347</v>
      </c>
      <c r="C977">
        <v>10</v>
      </c>
      <c r="D977" s="1" t="s">
        <v>25</v>
      </c>
      <c r="E977" s="1" t="s">
        <v>219</v>
      </c>
      <c r="F977" s="1" t="s">
        <v>108</v>
      </c>
      <c r="G977" s="1" t="s">
        <v>1475</v>
      </c>
      <c r="H977" s="2">
        <v>45332</v>
      </c>
      <c r="I977" s="1" t="s">
        <v>89</v>
      </c>
      <c r="J977" s="1" t="s">
        <v>242</v>
      </c>
      <c r="K977" s="1" t="s">
        <v>55</v>
      </c>
      <c r="L977" s="1" t="s">
        <v>66</v>
      </c>
      <c r="M977" s="1" t="s">
        <v>93</v>
      </c>
      <c r="N977">
        <v>218278.22</v>
      </c>
      <c r="O977">
        <v>25678.86</v>
      </c>
      <c r="P977">
        <v>31927.07</v>
      </c>
      <c r="Q977">
        <v>2</v>
      </c>
      <c r="R977">
        <v>128</v>
      </c>
      <c r="S977">
        <v>2.7</v>
      </c>
      <c r="T977" s="1" t="s">
        <v>46</v>
      </c>
      <c r="U977" s="1" t="s">
        <v>35</v>
      </c>
      <c r="V977" s="1" t="s">
        <v>47</v>
      </c>
      <c r="W977" s="1" t="s">
        <v>103</v>
      </c>
    </row>
    <row r="978" spans="1:23" x14ac:dyDescent="0.35">
      <c r="A978" s="1" t="s">
        <v>2038</v>
      </c>
      <c r="B978" s="1" t="s">
        <v>49</v>
      </c>
      <c r="C978">
        <v>45</v>
      </c>
      <c r="D978" s="1" t="s">
        <v>25</v>
      </c>
      <c r="E978" s="1" t="s">
        <v>40</v>
      </c>
      <c r="F978" s="1" t="s">
        <v>98</v>
      </c>
      <c r="G978" s="1" t="s">
        <v>957</v>
      </c>
      <c r="H978" s="2">
        <v>45780</v>
      </c>
      <c r="I978" s="1" t="s">
        <v>168</v>
      </c>
      <c r="J978" s="1" t="s">
        <v>137</v>
      </c>
      <c r="K978" s="1" t="s">
        <v>33</v>
      </c>
      <c r="L978" s="1" t="s">
        <v>66</v>
      </c>
      <c r="M978" s="1" t="s">
        <v>169</v>
      </c>
      <c r="N978">
        <v>274035.81</v>
      </c>
      <c r="O978">
        <v>583.88</v>
      </c>
      <c r="P978">
        <v>72842.720000000001</v>
      </c>
      <c r="Q978">
        <v>1</v>
      </c>
      <c r="R978">
        <v>0</v>
      </c>
      <c r="S978">
        <v>2.9</v>
      </c>
      <c r="T978" s="1" t="s">
        <v>94</v>
      </c>
      <c r="U978" s="1" t="s">
        <v>58</v>
      </c>
      <c r="V978" s="1" t="s">
        <v>102</v>
      </c>
      <c r="W978" s="1" t="s">
        <v>131</v>
      </c>
    </row>
    <row r="979" spans="1:23" x14ac:dyDescent="0.35">
      <c r="A979" s="1" t="s">
        <v>2039</v>
      </c>
      <c r="B979" s="1" t="s">
        <v>736</v>
      </c>
      <c r="C979">
        <v>29</v>
      </c>
      <c r="D979" s="1" t="s">
        <v>33</v>
      </c>
      <c r="E979" s="1" t="s">
        <v>51</v>
      </c>
      <c r="F979" s="1" t="s">
        <v>193</v>
      </c>
      <c r="G979" s="1" t="s">
        <v>1302</v>
      </c>
      <c r="H979" s="2">
        <v>45418</v>
      </c>
      <c r="I979" s="1" t="s">
        <v>277</v>
      </c>
      <c r="J979" s="1" t="s">
        <v>43</v>
      </c>
      <c r="K979" s="1" t="s">
        <v>91</v>
      </c>
      <c r="L979" s="1" t="s">
        <v>44</v>
      </c>
      <c r="M979" s="1" t="s">
        <v>93</v>
      </c>
      <c r="N979">
        <v>140891.53</v>
      </c>
      <c r="O979">
        <v>76776.86</v>
      </c>
      <c r="P979">
        <v>19473.48</v>
      </c>
      <c r="Q979">
        <v>2</v>
      </c>
      <c r="R979">
        <v>278</v>
      </c>
      <c r="S979">
        <v>4.3</v>
      </c>
      <c r="T979" s="1" t="s">
        <v>33</v>
      </c>
      <c r="U979" s="1" t="s">
        <v>149</v>
      </c>
      <c r="V979" s="1" t="s">
        <v>68</v>
      </c>
      <c r="W979" s="1" t="s">
        <v>33</v>
      </c>
    </row>
    <row r="980" spans="1:23" x14ac:dyDescent="0.35">
      <c r="A980" s="1" t="s">
        <v>2040</v>
      </c>
      <c r="B980" s="1" t="s">
        <v>826</v>
      </c>
      <c r="C980">
        <v>53</v>
      </c>
      <c r="D980" s="1" t="s">
        <v>39</v>
      </c>
      <c r="E980" s="1" t="s">
        <v>134</v>
      </c>
      <c r="F980" s="1" t="s">
        <v>44</v>
      </c>
      <c r="G980" s="1" t="s">
        <v>307</v>
      </c>
      <c r="H980" s="2">
        <v>45865</v>
      </c>
      <c r="I980" s="1" t="s">
        <v>235</v>
      </c>
      <c r="J980" s="1" t="s">
        <v>33</v>
      </c>
      <c r="K980" s="1" t="s">
        <v>33</v>
      </c>
      <c r="L980" s="1" t="s">
        <v>92</v>
      </c>
      <c r="M980" s="1" t="s">
        <v>123</v>
      </c>
      <c r="N980">
        <v>574189.88</v>
      </c>
      <c r="O980">
        <v>5160.17</v>
      </c>
      <c r="P980">
        <v>11387.46</v>
      </c>
      <c r="Q980">
        <v>3</v>
      </c>
      <c r="R980">
        <v>38</v>
      </c>
      <c r="S980">
        <v>3.7</v>
      </c>
      <c r="T980" s="1" t="s">
        <v>94</v>
      </c>
      <c r="U980" s="1" t="s">
        <v>33</v>
      </c>
      <c r="V980" s="1" t="s">
        <v>33</v>
      </c>
      <c r="W980" s="1" t="s">
        <v>12</v>
      </c>
    </row>
    <row r="981" spans="1:23" x14ac:dyDescent="0.35">
      <c r="A981" s="1" t="s">
        <v>2041</v>
      </c>
      <c r="B981" s="1" t="s">
        <v>1365</v>
      </c>
      <c r="C981">
        <v>43</v>
      </c>
      <c r="D981" s="1" t="s">
        <v>50</v>
      </c>
      <c r="E981" s="1" t="s">
        <v>72</v>
      </c>
      <c r="F981" s="1" t="s">
        <v>27</v>
      </c>
      <c r="G981" s="1" t="s">
        <v>2042</v>
      </c>
      <c r="H981" s="2">
        <v>45978</v>
      </c>
      <c r="I981" s="1" t="s">
        <v>168</v>
      </c>
      <c r="J981" s="1" t="s">
        <v>152</v>
      </c>
      <c r="K981" s="1" t="s">
        <v>33</v>
      </c>
      <c r="L981" s="1" t="s">
        <v>33</v>
      </c>
      <c r="M981" s="1" t="s">
        <v>74</v>
      </c>
      <c r="N981">
        <v>457096.6</v>
      </c>
      <c r="O981">
        <v>33785.18</v>
      </c>
      <c r="P981">
        <v>36219.440000000002</v>
      </c>
      <c r="Q981">
        <v>1</v>
      </c>
      <c r="R981">
        <v>48</v>
      </c>
      <c r="S981">
        <v>4.9000000000000004</v>
      </c>
      <c r="T981" s="1" t="s">
        <v>46</v>
      </c>
      <c r="U981" s="1" t="s">
        <v>58</v>
      </c>
      <c r="V981" s="1" t="s">
        <v>102</v>
      </c>
      <c r="W981" s="1" t="s">
        <v>33</v>
      </c>
    </row>
    <row r="982" spans="1:23" x14ac:dyDescent="0.35">
      <c r="A982" s="1" t="s">
        <v>2043</v>
      </c>
      <c r="B982" s="1" t="s">
        <v>497</v>
      </c>
      <c r="C982">
        <v>83</v>
      </c>
      <c r="D982" s="1" t="s">
        <v>119</v>
      </c>
      <c r="E982" s="1" t="s">
        <v>177</v>
      </c>
      <c r="F982" s="1" t="s">
        <v>33</v>
      </c>
      <c r="G982" s="1" t="s">
        <v>2044</v>
      </c>
      <c r="H982" s="2">
        <v>45633</v>
      </c>
      <c r="I982" s="1" t="s">
        <v>273</v>
      </c>
      <c r="J982" s="1" t="s">
        <v>33</v>
      </c>
      <c r="K982" s="1" t="s">
        <v>148</v>
      </c>
      <c r="L982" s="1" t="s">
        <v>44</v>
      </c>
      <c r="M982" s="1" t="s">
        <v>45</v>
      </c>
      <c r="N982">
        <v>490670.36</v>
      </c>
      <c r="O982">
        <v>36418.769999999997</v>
      </c>
      <c r="P982">
        <v>44654.55</v>
      </c>
      <c r="Q982">
        <v>1</v>
      </c>
      <c r="R982">
        <v>172</v>
      </c>
      <c r="S982">
        <v>5</v>
      </c>
      <c r="T982" s="1" t="s">
        <v>33</v>
      </c>
      <c r="U982" s="1" t="s">
        <v>58</v>
      </c>
      <c r="V982" s="1" t="s">
        <v>47</v>
      </c>
      <c r="W982" s="1" t="s">
        <v>59</v>
      </c>
    </row>
    <row r="983" spans="1:23" x14ac:dyDescent="0.35">
      <c r="A983" s="1" t="s">
        <v>2045</v>
      </c>
      <c r="B983" s="1" t="s">
        <v>483</v>
      </c>
      <c r="C983">
        <v>31</v>
      </c>
      <c r="D983" s="1" t="s">
        <v>25</v>
      </c>
      <c r="E983" s="1" t="s">
        <v>72</v>
      </c>
      <c r="F983" s="1" t="s">
        <v>33</v>
      </c>
      <c r="G983" s="1" t="s">
        <v>1612</v>
      </c>
      <c r="H983" s="2">
        <v>46139</v>
      </c>
      <c r="I983" s="1" t="s">
        <v>235</v>
      </c>
      <c r="J983" s="1" t="s">
        <v>87</v>
      </c>
      <c r="K983" s="1" t="s">
        <v>31</v>
      </c>
      <c r="L983" s="1" t="s">
        <v>44</v>
      </c>
      <c r="M983" s="1" t="s">
        <v>74</v>
      </c>
      <c r="N983">
        <v>34871.360000000001</v>
      </c>
      <c r="O983">
        <v>40226.620000000003</v>
      </c>
      <c r="P983">
        <v>64998.84</v>
      </c>
      <c r="Q983">
        <v>1</v>
      </c>
      <c r="R983">
        <v>0</v>
      </c>
      <c r="S983">
        <v>3.1</v>
      </c>
      <c r="T983" s="1" t="s">
        <v>46</v>
      </c>
      <c r="U983" s="1" t="s">
        <v>33</v>
      </c>
      <c r="V983" s="1" t="s">
        <v>130</v>
      </c>
      <c r="W983" s="1" t="s">
        <v>33</v>
      </c>
    </row>
    <row r="984" spans="1:23" x14ac:dyDescent="0.35">
      <c r="A984" s="1" t="s">
        <v>2046</v>
      </c>
      <c r="B984" s="1" t="s">
        <v>188</v>
      </c>
      <c r="C984">
        <v>23</v>
      </c>
      <c r="D984" s="1" t="s">
        <v>39</v>
      </c>
      <c r="E984" s="1" t="s">
        <v>62</v>
      </c>
      <c r="F984" s="1" t="s">
        <v>193</v>
      </c>
      <c r="G984" s="1" t="s">
        <v>2047</v>
      </c>
      <c r="H984" s="2">
        <v>45825</v>
      </c>
      <c r="I984" s="1" t="s">
        <v>33</v>
      </c>
      <c r="J984" s="1" t="s">
        <v>147</v>
      </c>
      <c r="K984" s="1" t="s">
        <v>91</v>
      </c>
      <c r="L984" s="1" t="s">
        <v>33</v>
      </c>
      <c r="M984" s="1" t="s">
        <v>33</v>
      </c>
      <c r="N984">
        <v>297142.39</v>
      </c>
      <c r="O984">
        <v>11662.95</v>
      </c>
      <c r="P984">
        <v>35975.22</v>
      </c>
      <c r="Q984">
        <v>1</v>
      </c>
      <c r="R984">
        <v>0</v>
      </c>
      <c r="S984">
        <v>3.9</v>
      </c>
      <c r="T984" s="1" t="s">
        <v>33</v>
      </c>
      <c r="U984" s="1" t="s">
        <v>33</v>
      </c>
      <c r="V984" s="1" t="s">
        <v>33</v>
      </c>
      <c r="W984" s="1" t="s">
        <v>33</v>
      </c>
    </row>
    <row r="985" spans="1:23" x14ac:dyDescent="0.35">
      <c r="A985" s="1" t="s">
        <v>2048</v>
      </c>
      <c r="B985" s="1" t="s">
        <v>350</v>
      </c>
      <c r="C985">
        <v>26</v>
      </c>
      <c r="D985" s="1" t="s">
        <v>78</v>
      </c>
      <c r="E985" s="1" t="s">
        <v>219</v>
      </c>
      <c r="F985" s="1" t="s">
        <v>63</v>
      </c>
      <c r="G985" s="1" t="s">
        <v>2049</v>
      </c>
      <c r="H985" s="2">
        <v>46051</v>
      </c>
      <c r="I985" s="1" t="s">
        <v>159</v>
      </c>
      <c r="J985" s="1" t="s">
        <v>87</v>
      </c>
      <c r="K985" s="1" t="s">
        <v>174</v>
      </c>
      <c r="L985" s="1" t="s">
        <v>32</v>
      </c>
      <c r="M985" s="1" t="s">
        <v>45</v>
      </c>
      <c r="N985">
        <v>193538</v>
      </c>
      <c r="O985">
        <v>34507.370000000003</v>
      </c>
      <c r="P985">
        <v>20553.96</v>
      </c>
      <c r="Q985">
        <v>3</v>
      </c>
      <c r="R985">
        <v>0</v>
      </c>
      <c r="S985">
        <v>5</v>
      </c>
      <c r="T985" s="1" t="s">
        <v>34</v>
      </c>
      <c r="U985" s="1" t="s">
        <v>35</v>
      </c>
      <c r="V985" s="1" t="s">
        <v>102</v>
      </c>
      <c r="W985" s="1" t="s">
        <v>59</v>
      </c>
    </row>
    <row r="986" spans="1:23" x14ac:dyDescent="0.35">
      <c r="A986" s="1" t="s">
        <v>2050</v>
      </c>
      <c r="B986" s="1" t="s">
        <v>1718</v>
      </c>
      <c r="C986">
        <v>40</v>
      </c>
      <c r="D986" s="1" t="s">
        <v>25</v>
      </c>
      <c r="E986" s="1" t="s">
        <v>51</v>
      </c>
      <c r="F986" s="1" t="s">
        <v>87</v>
      </c>
      <c r="G986" s="1" t="s">
        <v>1774</v>
      </c>
      <c r="H986" s="2">
        <v>45933</v>
      </c>
      <c r="I986" s="1" t="s">
        <v>273</v>
      </c>
      <c r="J986" s="1" t="s">
        <v>33</v>
      </c>
      <c r="K986" s="1" t="s">
        <v>55</v>
      </c>
      <c r="L986" s="1" t="s">
        <v>92</v>
      </c>
      <c r="M986" s="1" t="s">
        <v>183</v>
      </c>
      <c r="N986">
        <v>361517.56</v>
      </c>
      <c r="O986">
        <v>118226.38</v>
      </c>
      <c r="P986">
        <v>7665.41</v>
      </c>
      <c r="Q986">
        <v>2</v>
      </c>
      <c r="R986">
        <v>128</v>
      </c>
      <c r="S986">
        <v>2.8</v>
      </c>
      <c r="T986" s="1" t="s">
        <v>46</v>
      </c>
      <c r="U986" s="1" t="s">
        <v>58</v>
      </c>
      <c r="V986" s="1" t="s">
        <v>33</v>
      </c>
      <c r="W986" s="1" t="s">
        <v>83</v>
      </c>
    </row>
    <row r="987" spans="1:23" x14ac:dyDescent="0.35">
      <c r="A987" s="1" t="s">
        <v>2051</v>
      </c>
      <c r="B987" s="1" t="s">
        <v>374</v>
      </c>
      <c r="C987">
        <v>27</v>
      </c>
      <c r="D987" s="1" t="s">
        <v>25</v>
      </c>
      <c r="E987" s="1" t="s">
        <v>203</v>
      </c>
      <c r="F987" s="1" t="s">
        <v>135</v>
      </c>
      <c r="G987" s="1" t="s">
        <v>1139</v>
      </c>
      <c r="H987" s="2">
        <v>46017</v>
      </c>
      <c r="I987" s="1" t="s">
        <v>100</v>
      </c>
      <c r="J987" s="1" t="s">
        <v>33</v>
      </c>
      <c r="K987" s="1" t="s">
        <v>122</v>
      </c>
      <c r="L987" s="1" t="s">
        <v>56</v>
      </c>
      <c r="M987" s="1" t="s">
        <v>142</v>
      </c>
      <c r="N987">
        <v>62408.3</v>
      </c>
      <c r="O987">
        <v>28967.72</v>
      </c>
      <c r="P987">
        <v>764.92</v>
      </c>
      <c r="Q987">
        <v>2</v>
      </c>
      <c r="R987">
        <v>166</v>
      </c>
      <c r="T987" s="1" t="s">
        <v>33</v>
      </c>
      <c r="U987" s="1" t="s">
        <v>58</v>
      </c>
      <c r="V987" s="1" t="s">
        <v>47</v>
      </c>
      <c r="W987" s="1" t="s">
        <v>33</v>
      </c>
    </row>
    <row r="988" spans="1:23" x14ac:dyDescent="0.35">
      <c r="A988" s="1" t="s">
        <v>2052</v>
      </c>
      <c r="B988" s="1" t="s">
        <v>202</v>
      </c>
      <c r="C988">
        <v>32</v>
      </c>
      <c r="D988" s="1" t="s">
        <v>25</v>
      </c>
      <c r="E988" s="1" t="s">
        <v>33</v>
      </c>
      <c r="F988" s="1" t="s">
        <v>33</v>
      </c>
      <c r="G988" s="1" t="s">
        <v>2053</v>
      </c>
      <c r="H988" s="2">
        <v>45441</v>
      </c>
      <c r="I988" s="1" t="s">
        <v>53</v>
      </c>
      <c r="J988" s="1" t="s">
        <v>115</v>
      </c>
      <c r="K988" s="1" t="s">
        <v>116</v>
      </c>
      <c r="L988" s="1" t="s">
        <v>92</v>
      </c>
      <c r="M988" s="1" t="s">
        <v>183</v>
      </c>
      <c r="N988">
        <v>168591.45</v>
      </c>
      <c r="O988">
        <v>37189.1</v>
      </c>
      <c r="P988">
        <v>10078.48</v>
      </c>
      <c r="Q988">
        <v>4</v>
      </c>
      <c r="R988">
        <v>68</v>
      </c>
      <c r="S988">
        <v>2.6</v>
      </c>
      <c r="T988" s="1" t="s">
        <v>33</v>
      </c>
      <c r="U988" s="1" t="s">
        <v>35</v>
      </c>
      <c r="V988" s="1" t="s">
        <v>33</v>
      </c>
      <c r="W988" s="1" t="s">
        <v>36</v>
      </c>
    </row>
    <row r="989" spans="1:23" x14ac:dyDescent="0.35">
      <c r="A989" s="1" t="s">
        <v>2054</v>
      </c>
      <c r="B989" s="1" t="s">
        <v>650</v>
      </c>
      <c r="C989">
        <v>0</v>
      </c>
      <c r="D989" s="1" t="s">
        <v>71</v>
      </c>
      <c r="E989" s="1" t="s">
        <v>112</v>
      </c>
      <c r="F989" s="1" t="s">
        <v>41</v>
      </c>
      <c r="G989" s="1" t="s">
        <v>1358</v>
      </c>
      <c r="H989" s="2">
        <v>45996</v>
      </c>
      <c r="I989" s="1" t="s">
        <v>159</v>
      </c>
      <c r="J989" s="1" t="s">
        <v>33</v>
      </c>
      <c r="K989" s="1" t="s">
        <v>81</v>
      </c>
      <c r="L989" s="1" t="s">
        <v>33</v>
      </c>
      <c r="M989" s="1" t="s">
        <v>82</v>
      </c>
      <c r="N989">
        <v>407505.72</v>
      </c>
      <c r="O989">
        <v>12836.53</v>
      </c>
      <c r="P989">
        <v>79901.279999999999</v>
      </c>
      <c r="Q989">
        <v>1</v>
      </c>
      <c r="R989">
        <v>175</v>
      </c>
      <c r="S989">
        <v>2</v>
      </c>
      <c r="T989" s="1" t="s">
        <v>46</v>
      </c>
      <c r="U989" s="1" t="s">
        <v>95</v>
      </c>
      <c r="V989" s="1" t="s">
        <v>47</v>
      </c>
      <c r="W989" s="1" t="s">
        <v>83</v>
      </c>
    </row>
    <row r="990" spans="1:23" x14ac:dyDescent="0.35">
      <c r="A990" s="1" t="s">
        <v>2055</v>
      </c>
      <c r="B990" s="1" t="s">
        <v>350</v>
      </c>
      <c r="C990">
        <v>92</v>
      </c>
      <c r="D990" s="1" t="s">
        <v>25</v>
      </c>
      <c r="E990" s="1" t="s">
        <v>134</v>
      </c>
      <c r="F990" s="1" t="s">
        <v>98</v>
      </c>
      <c r="G990" s="1" t="s">
        <v>1652</v>
      </c>
      <c r="H990" s="2">
        <v>45468</v>
      </c>
      <c r="I990" s="1" t="s">
        <v>235</v>
      </c>
      <c r="J990" s="1" t="s">
        <v>65</v>
      </c>
      <c r="K990" s="1" t="s">
        <v>33</v>
      </c>
      <c r="L990" s="1" t="s">
        <v>92</v>
      </c>
      <c r="M990" s="1" t="s">
        <v>57</v>
      </c>
      <c r="N990">
        <v>465129.63</v>
      </c>
      <c r="O990">
        <v>29212.04</v>
      </c>
      <c r="P990">
        <v>52721.19</v>
      </c>
      <c r="Q990">
        <v>1</v>
      </c>
      <c r="R990">
        <v>47</v>
      </c>
      <c r="S990">
        <v>4.3</v>
      </c>
      <c r="T990" s="1" t="s">
        <v>33</v>
      </c>
      <c r="U990" s="1" t="s">
        <v>58</v>
      </c>
      <c r="V990" s="1" t="s">
        <v>68</v>
      </c>
      <c r="W990" s="1" t="s">
        <v>33</v>
      </c>
    </row>
    <row r="991" spans="1:23" x14ac:dyDescent="0.35">
      <c r="A991" s="1" t="s">
        <v>2056</v>
      </c>
      <c r="B991" s="1" t="s">
        <v>215</v>
      </c>
      <c r="C991">
        <v>0</v>
      </c>
      <c r="D991" s="1" t="s">
        <v>71</v>
      </c>
      <c r="E991" s="1" t="s">
        <v>72</v>
      </c>
      <c r="F991" s="1" t="s">
        <v>145</v>
      </c>
      <c r="G991" s="1" t="s">
        <v>1198</v>
      </c>
      <c r="H991" s="2">
        <v>46101</v>
      </c>
      <c r="I991" s="1" t="s">
        <v>114</v>
      </c>
      <c r="J991" s="1" t="s">
        <v>242</v>
      </c>
      <c r="K991" s="1" t="s">
        <v>128</v>
      </c>
      <c r="L991" s="1" t="s">
        <v>44</v>
      </c>
      <c r="M991" s="1" t="s">
        <v>142</v>
      </c>
      <c r="N991">
        <v>34982.19</v>
      </c>
      <c r="O991">
        <v>30527.32</v>
      </c>
      <c r="P991">
        <v>11067.98</v>
      </c>
      <c r="Q991">
        <v>1</v>
      </c>
      <c r="R991">
        <v>89</v>
      </c>
      <c r="S991">
        <v>2.2999999999999998</v>
      </c>
      <c r="T991" s="1" t="s">
        <v>46</v>
      </c>
      <c r="U991" s="1" t="s">
        <v>33</v>
      </c>
      <c r="V991" s="1" t="s">
        <v>33</v>
      </c>
      <c r="W991" s="1" t="s">
        <v>59</v>
      </c>
    </row>
    <row r="992" spans="1:23" x14ac:dyDescent="0.35">
      <c r="A992" s="1" t="s">
        <v>2057</v>
      </c>
      <c r="B992" s="1" t="s">
        <v>945</v>
      </c>
      <c r="C992">
        <v>61</v>
      </c>
      <c r="D992" s="1" t="s">
        <v>33</v>
      </c>
      <c r="E992" s="1" t="s">
        <v>157</v>
      </c>
      <c r="F992" s="1" t="s">
        <v>135</v>
      </c>
      <c r="G992" s="1" t="s">
        <v>2058</v>
      </c>
      <c r="H992" s="2">
        <v>45884</v>
      </c>
      <c r="I992" s="1" t="s">
        <v>53</v>
      </c>
      <c r="J992" s="1" t="s">
        <v>90</v>
      </c>
      <c r="K992" s="1" t="s">
        <v>33</v>
      </c>
      <c r="L992" s="1" t="s">
        <v>33</v>
      </c>
      <c r="M992" s="1" t="s">
        <v>82</v>
      </c>
      <c r="N992">
        <v>254647.28</v>
      </c>
      <c r="O992">
        <v>29758.39</v>
      </c>
      <c r="P992">
        <v>71368.92</v>
      </c>
      <c r="Q992">
        <v>1</v>
      </c>
      <c r="R992">
        <v>131</v>
      </c>
      <c r="S992">
        <v>5</v>
      </c>
      <c r="T992" s="1" t="s">
        <v>154</v>
      </c>
      <c r="U992" s="1" t="s">
        <v>95</v>
      </c>
      <c r="V992" s="1" t="s">
        <v>102</v>
      </c>
      <c r="W992" s="1" t="s">
        <v>83</v>
      </c>
    </row>
    <row r="993" spans="1:23" x14ac:dyDescent="0.35">
      <c r="A993" s="1" t="s">
        <v>2059</v>
      </c>
      <c r="B993" s="1" t="s">
        <v>1629</v>
      </c>
      <c r="C993">
        <v>33</v>
      </c>
      <c r="D993" s="1" t="s">
        <v>33</v>
      </c>
      <c r="E993" s="1" t="s">
        <v>157</v>
      </c>
      <c r="F993" s="1" t="s">
        <v>108</v>
      </c>
      <c r="G993" s="1" t="s">
        <v>2060</v>
      </c>
      <c r="H993" s="2">
        <v>45833</v>
      </c>
      <c r="I993" s="1" t="s">
        <v>33</v>
      </c>
      <c r="J993" s="1" t="s">
        <v>80</v>
      </c>
      <c r="K993" s="1" t="s">
        <v>33</v>
      </c>
      <c r="L993" s="1" t="s">
        <v>66</v>
      </c>
      <c r="M993" s="1" t="s">
        <v>45</v>
      </c>
      <c r="N993">
        <v>37844.699999999997</v>
      </c>
      <c r="O993">
        <v>19275.48</v>
      </c>
      <c r="P993">
        <v>73943.100000000006</v>
      </c>
      <c r="Q993">
        <v>2</v>
      </c>
      <c r="R993">
        <v>192</v>
      </c>
      <c r="S993">
        <v>4.9000000000000004</v>
      </c>
      <c r="T993" s="1" t="s">
        <v>34</v>
      </c>
      <c r="U993" s="1" t="s">
        <v>101</v>
      </c>
      <c r="V993" s="1" t="s">
        <v>102</v>
      </c>
      <c r="W993" s="1" t="s">
        <v>83</v>
      </c>
    </row>
    <row r="994" spans="1:23" x14ac:dyDescent="0.35">
      <c r="A994" s="1" t="s">
        <v>2061</v>
      </c>
      <c r="B994" s="1" t="s">
        <v>161</v>
      </c>
      <c r="C994">
        <v>66</v>
      </c>
      <c r="D994" s="1" t="s">
        <v>71</v>
      </c>
      <c r="E994" s="1" t="s">
        <v>192</v>
      </c>
      <c r="F994" s="1" t="s">
        <v>44</v>
      </c>
      <c r="G994" s="1" t="s">
        <v>326</v>
      </c>
      <c r="H994" s="2">
        <v>45854</v>
      </c>
      <c r="I994" s="1" t="s">
        <v>53</v>
      </c>
      <c r="J994" s="1" t="s">
        <v>242</v>
      </c>
      <c r="K994" s="1" t="s">
        <v>33</v>
      </c>
      <c r="L994" s="1" t="s">
        <v>92</v>
      </c>
      <c r="M994" s="1" t="s">
        <v>142</v>
      </c>
      <c r="N994">
        <v>0</v>
      </c>
      <c r="O994">
        <v>52452.93</v>
      </c>
      <c r="P994">
        <v>33966.46</v>
      </c>
      <c r="Q994">
        <v>1</v>
      </c>
      <c r="R994">
        <v>147</v>
      </c>
      <c r="S994">
        <v>2</v>
      </c>
      <c r="T994" s="1" t="s">
        <v>33</v>
      </c>
      <c r="U994" s="1" t="s">
        <v>33</v>
      </c>
      <c r="V994" s="1" t="s">
        <v>33</v>
      </c>
      <c r="W994" s="1" t="s">
        <v>103</v>
      </c>
    </row>
    <row r="995" spans="1:23" x14ac:dyDescent="0.35">
      <c r="A995" s="1" t="s">
        <v>2062</v>
      </c>
      <c r="B995" s="1" t="s">
        <v>929</v>
      </c>
      <c r="C995">
        <v>10</v>
      </c>
      <c r="D995" s="1" t="s">
        <v>71</v>
      </c>
      <c r="E995" s="1" t="s">
        <v>62</v>
      </c>
      <c r="F995" s="1" t="s">
        <v>44</v>
      </c>
      <c r="G995" s="1" t="s">
        <v>2063</v>
      </c>
      <c r="H995" s="2">
        <v>45488</v>
      </c>
      <c r="I995" s="1" t="s">
        <v>53</v>
      </c>
      <c r="J995" s="1" t="s">
        <v>30</v>
      </c>
      <c r="K995" s="1" t="s">
        <v>148</v>
      </c>
      <c r="L995" s="1" t="s">
        <v>66</v>
      </c>
      <c r="M995" s="1" t="s">
        <v>93</v>
      </c>
      <c r="N995">
        <v>126416.31</v>
      </c>
      <c r="O995">
        <v>5047.63</v>
      </c>
      <c r="P995">
        <v>0</v>
      </c>
      <c r="Q995">
        <v>7</v>
      </c>
      <c r="R995">
        <v>102</v>
      </c>
      <c r="S995">
        <v>5</v>
      </c>
      <c r="T995" s="1" t="s">
        <v>34</v>
      </c>
      <c r="U995" s="1" t="s">
        <v>33</v>
      </c>
      <c r="V995" s="1" t="s">
        <v>75</v>
      </c>
      <c r="W995" s="1" t="s">
        <v>103</v>
      </c>
    </row>
    <row r="996" spans="1:23" x14ac:dyDescent="0.35">
      <c r="A996" s="1" t="s">
        <v>2064</v>
      </c>
      <c r="B996" s="1" t="s">
        <v>2065</v>
      </c>
      <c r="C996">
        <v>45</v>
      </c>
      <c r="D996" s="1" t="s">
        <v>25</v>
      </c>
      <c r="E996" s="1" t="s">
        <v>26</v>
      </c>
      <c r="F996" s="1" t="s">
        <v>98</v>
      </c>
      <c r="G996" s="1" t="s">
        <v>1739</v>
      </c>
      <c r="H996" s="2">
        <v>45896</v>
      </c>
      <c r="I996" s="1" t="s">
        <v>277</v>
      </c>
      <c r="J996" s="1" t="s">
        <v>65</v>
      </c>
      <c r="K996" s="1" t="s">
        <v>81</v>
      </c>
      <c r="L996" s="1" t="s">
        <v>32</v>
      </c>
      <c r="M996" s="1" t="s">
        <v>33</v>
      </c>
      <c r="N996">
        <v>376335.38</v>
      </c>
      <c r="O996">
        <v>35802.370000000003</v>
      </c>
      <c r="P996">
        <v>59966.5</v>
      </c>
      <c r="Q996">
        <v>20</v>
      </c>
      <c r="R996">
        <v>69</v>
      </c>
      <c r="S996">
        <v>4</v>
      </c>
      <c r="T996" s="1" t="s">
        <v>94</v>
      </c>
      <c r="U996" s="1" t="s">
        <v>67</v>
      </c>
      <c r="V996" s="1" t="s">
        <v>130</v>
      </c>
      <c r="W996" s="1" t="s">
        <v>131</v>
      </c>
    </row>
    <row r="997" spans="1:23" x14ac:dyDescent="0.35">
      <c r="A997" s="1" t="s">
        <v>2066</v>
      </c>
      <c r="B997" s="1" t="s">
        <v>683</v>
      </c>
      <c r="C997">
        <v>30</v>
      </c>
      <c r="D997" s="1" t="s">
        <v>71</v>
      </c>
      <c r="E997" s="1" t="s">
        <v>26</v>
      </c>
      <c r="F997" s="1" t="s">
        <v>193</v>
      </c>
      <c r="G997" s="1" t="s">
        <v>2067</v>
      </c>
      <c r="H997" s="2">
        <v>46139</v>
      </c>
      <c r="I997" s="1" t="s">
        <v>168</v>
      </c>
      <c r="J997" s="1" t="s">
        <v>137</v>
      </c>
      <c r="K997" s="1" t="s">
        <v>55</v>
      </c>
      <c r="L997" s="1" t="s">
        <v>32</v>
      </c>
      <c r="M997" s="1" t="s">
        <v>33</v>
      </c>
      <c r="N997">
        <v>209150.8</v>
      </c>
      <c r="O997">
        <v>28539.25</v>
      </c>
      <c r="P997">
        <v>69792.100000000006</v>
      </c>
      <c r="Q997">
        <v>4</v>
      </c>
      <c r="R997">
        <v>15</v>
      </c>
      <c r="S997">
        <v>3.6</v>
      </c>
      <c r="T997" s="1" t="s">
        <v>46</v>
      </c>
      <c r="U997" s="1" t="s">
        <v>33</v>
      </c>
      <c r="V997" s="1" t="s">
        <v>75</v>
      </c>
      <c r="W997" s="1" t="s">
        <v>131</v>
      </c>
    </row>
    <row r="998" spans="1:23" x14ac:dyDescent="0.35">
      <c r="A998" s="1" t="s">
        <v>2068</v>
      </c>
      <c r="B998" s="1" t="s">
        <v>1227</v>
      </c>
      <c r="C998">
        <v>68</v>
      </c>
      <c r="D998" s="1" t="s">
        <v>33</v>
      </c>
      <c r="E998" s="1" t="s">
        <v>134</v>
      </c>
      <c r="F998" s="1" t="s">
        <v>41</v>
      </c>
      <c r="G998" s="1" t="s">
        <v>64</v>
      </c>
      <c r="H998" s="2">
        <v>46191</v>
      </c>
      <c r="I998" s="1" t="s">
        <v>277</v>
      </c>
      <c r="J998" s="1" t="s">
        <v>141</v>
      </c>
      <c r="K998" s="1" t="s">
        <v>55</v>
      </c>
      <c r="L998" s="1" t="s">
        <v>92</v>
      </c>
      <c r="M998" s="1" t="s">
        <v>33</v>
      </c>
      <c r="N998">
        <v>408885.07</v>
      </c>
      <c r="O998">
        <v>30610.799999999999</v>
      </c>
      <c r="P998">
        <v>54629.93</v>
      </c>
      <c r="Q998">
        <v>12</v>
      </c>
      <c r="R998">
        <v>170</v>
      </c>
      <c r="S998">
        <v>5</v>
      </c>
      <c r="T998" s="1" t="s">
        <v>154</v>
      </c>
      <c r="U998" s="1" t="s">
        <v>35</v>
      </c>
      <c r="V998" s="1" t="s">
        <v>75</v>
      </c>
      <c r="W998" s="1" t="s">
        <v>131</v>
      </c>
    </row>
    <row r="999" spans="1:23" x14ac:dyDescent="0.35">
      <c r="A999" s="1" t="s">
        <v>2069</v>
      </c>
      <c r="B999" s="1" t="s">
        <v>294</v>
      </c>
      <c r="C999">
        <v>14</v>
      </c>
      <c r="D999" s="1" t="s">
        <v>78</v>
      </c>
      <c r="E999" s="1" t="s">
        <v>72</v>
      </c>
      <c r="F999" s="1" t="s">
        <v>56</v>
      </c>
      <c r="G999" s="1" t="s">
        <v>2070</v>
      </c>
      <c r="H999" s="2">
        <v>45750</v>
      </c>
      <c r="I999" s="1" t="s">
        <v>33</v>
      </c>
      <c r="J999" s="1" t="s">
        <v>43</v>
      </c>
      <c r="K999" s="1" t="s">
        <v>91</v>
      </c>
      <c r="L999" s="1" t="s">
        <v>32</v>
      </c>
      <c r="M999" s="1" t="s">
        <v>183</v>
      </c>
      <c r="N999">
        <v>403322.17</v>
      </c>
      <c r="O999">
        <v>23077.77</v>
      </c>
      <c r="P999">
        <v>24848.38</v>
      </c>
      <c r="Q999">
        <v>1</v>
      </c>
      <c r="R999">
        <v>0</v>
      </c>
      <c r="S999">
        <v>3</v>
      </c>
      <c r="T999" s="1" t="s">
        <v>33</v>
      </c>
      <c r="U999" s="1" t="s">
        <v>101</v>
      </c>
      <c r="V999" s="1" t="s">
        <v>130</v>
      </c>
      <c r="W999" s="1" t="s">
        <v>12</v>
      </c>
    </row>
    <row r="1000" spans="1:23" x14ac:dyDescent="0.35">
      <c r="A1000" s="1" t="s">
        <v>2071</v>
      </c>
      <c r="B1000" s="1" t="s">
        <v>713</v>
      </c>
      <c r="C1000">
        <v>89</v>
      </c>
      <c r="D1000" s="1" t="s">
        <v>50</v>
      </c>
      <c r="E1000" s="1" t="s">
        <v>33</v>
      </c>
      <c r="F1000" s="1" t="s">
        <v>120</v>
      </c>
      <c r="G1000" s="1" t="s">
        <v>2072</v>
      </c>
      <c r="H1000" s="2">
        <v>45959</v>
      </c>
      <c r="I1000" s="1" t="s">
        <v>277</v>
      </c>
      <c r="J1000" s="1" t="s">
        <v>43</v>
      </c>
      <c r="K1000" s="1" t="s">
        <v>33</v>
      </c>
      <c r="L1000" s="1" t="s">
        <v>66</v>
      </c>
      <c r="M1000" s="1" t="s">
        <v>45</v>
      </c>
      <c r="N1000">
        <v>216858.95</v>
      </c>
      <c r="O1000">
        <v>28551.24</v>
      </c>
      <c r="P1000">
        <v>62642.3</v>
      </c>
      <c r="Q1000">
        <v>1</v>
      </c>
      <c r="R1000">
        <v>167</v>
      </c>
      <c r="S1000">
        <v>4.9000000000000004</v>
      </c>
      <c r="T1000" s="1" t="s">
        <v>33</v>
      </c>
      <c r="U1000" s="1" t="s">
        <v>35</v>
      </c>
      <c r="V1000" s="1" t="s">
        <v>164</v>
      </c>
      <c r="W1000" s="1" t="s">
        <v>36</v>
      </c>
    </row>
    <row r="1001" spans="1:23" x14ac:dyDescent="0.35">
      <c r="A1001" s="1" t="s">
        <v>2073</v>
      </c>
      <c r="B1001" s="1" t="s">
        <v>883</v>
      </c>
      <c r="C1001">
        <v>29</v>
      </c>
      <c r="D1001" s="1" t="s">
        <v>78</v>
      </c>
      <c r="E1001" s="1" t="s">
        <v>177</v>
      </c>
      <c r="F1001" s="1" t="s">
        <v>193</v>
      </c>
      <c r="G1001" s="1" t="s">
        <v>2074</v>
      </c>
      <c r="H1001" s="2">
        <v>45632</v>
      </c>
      <c r="I1001" s="1" t="s">
        <v>114</v>
      </c>
      <c r="J1001" s="1" t="s">
        <v>115</v>
      </c>
      <c r="K1001" s="1" t="s">
        <v>163</v>
      </c>
      <c r="L1001" s="1" t="s">
        <v>44</v>
      </c>
      <c r="M1001" s="1" t="s">
        <v>82</v>
      </c>
      <c r="N1001">
        <v>178298.65</v>
      </c>
      <c r="O1001">
        <v>49225.79</v>
      </c>
      <c r="P1001">
        <v>29178.33</v>
      </c>
      <c r="Q1001">
        <v>6</v>
      </c>
      <c r="R1001">
        <v>94</v>
      </c>
      <c r="S1001">
        <v>4.2</v>
      </c>
      <c r="T1001" s="1" t="s">
        <v>34</v>
      </c>
      <c r="U1001" s="1" t="s">
        <v>67</v>
      </c>
      <c r="V1001" s="1" t="s">
        <v>47</v>
      </c>
      <c r="W1001" s="1" t="s">
        <v>179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CF4-B1BE-49DD-B1C0-27FAE343ED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2C16B4-FBA2-41AB-BD18-9AF7D3C17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clean_patient_hospital_data (2)</vt:lpstr>
      <vt:lpstr>dirty_patient_hospital_dataset_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okpeh peter</dc:creator>
  <cp:lastModifiedBy>okpeh peter</cp:lastModifiedBy>
  <dcterms:created xsi:type="dcterms:W3CDTF">2026-09-04T16:18:47Z</dcterms:created>
  <dcterms:modified xsi:type="dcterms:W3CDTF">2026-09-07T08:35:22Z</dcterms:modified>
</cp:coreProperties>
</file>